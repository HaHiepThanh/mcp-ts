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fbc6a959c24c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s" sheetId="1" r:id="R240e1578444948a5"/>
    <x:sheet xmlns:r="http://schemas.openxmlformats.org/officeDocument/2006/relationships" name="Students" sheetId="2" r:id="Rc7094893635d4df6"/>
    <x:sheet xmlns:r="http://schemas.openxmlformats.org/officeDocument/2006/relationships" name="Courses" sheetId="3" r:id="R498a191d07ec4ce2"/>
    <x:sheet xmlns:r="http://schemas.openxmlformats.org/officeDocument/2006/relationships" name="Teachers" sheetId="4" r:id="Rb400d8fab53a43b5"/>
    <x:sheet xmlns:r="http://schemas.openxmlformats.org/officeDocument/2006/relationships" name="Sections" sheetId="5" r:id="R3028548c88ae479d"/>
    <x:sheet xmlns:r="http://schemas.openxmlformats.org/officeDocument/2006/relationships" name="Grades" sheetId="6" r:id="R052761ba4cbb4420"/>
    <x:sheet xmlns:r="http://schemas.openxmlformats.org/officeDocument/2006/relationships" name="Attendance" sheetId="7" r:id="R5af9e9b0df4b44eb"/>
    <x:sheet xmlns:r="http://schemas.openxmlformats.org/officeDocument/2006/relationships" name="Conduct" sheetId="8" r:id="R7e0c2725148942d9"/>
    <x:sheet xmlns:r="http://schemas.openxmlformats.org/officeDocument/2006/relationships" name="F_Teachers" sheetId="9" r:id="Rccd4977cee0c482d"/>
    <x:sheet xmlns:r="http://schemas.openxmlformats.org/officeDocument/2006/relationships" name="F_Sections" sheetId="10" r:id="R890a589ab2fc4348"/>
    <x:sheet xmlns:r="http://schemas.openxmlformats.org/officeDocument/2006/relationships" name="F_Conduct" sheetId="11" r:id="Rfd7ac3f717f54f0d"/>
    <x:sheet xmlns:r="http://schemas.openxmlformats.org/officeDocument/2006/relationships" name="Tuition" sheetId="12" r:id="R8aa10c46ae044055"/>
    <x:sheet xmlns:r="http://schemas.openxmlformats.org/officeDocument/2006/relationships" name="Payroll" sheetId="13" r:id="R0aeb44d7e3ed44b0"/>
    <x:sheet xmlns:r="http://schemas.openxmlformats.org/officeDocument/2006/relationships" name="Scholarships" sheetId="14" r:id="R19b4e77214434871"/>
    <x:sheet xmlns:r="http://schemas.openxmlformats.org/officeDocument/2006/relationships" name="Rules" sheetId="15" r:id="R1f05025a0aff4a75"/>
    <x:sheet xmlns:r="http://schemas.openxmlformats.org/officeDocument/2006/relationships" name="AttendanceGroups" sheetId="16" r:id="R7aed2a8a254b46ae"/>
    <x:sheet xmlns:r="http://schemas.openxmlformats.org/officeDocument/2006/relationships" name="Risk" sheetId="17" r:id="Ra47f8e3214ec4470"/>
    <x:sheet xmlns:r="http://schemas.openxmlformats.org/officeDocument/2006/relationships" name="PayCalculation" sheetId="18" r:id="Ra87c4eb2982f4d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5">
    <x:font>
      <x:sz val="11"/>
      <x:name val="Carlito"/>
    </x:font>
    <x:font>
      <x:b/>
      <x:sz val="18"/>
      <x:color rgb="FF12324A"/>
      <x:name val="Carlito"/>
    </x:font>
    <x:font>
      <x:sz val="11"/>
      <x:color rgb="FF1D4ED8"/>
      <x:name val="Carlito"/>
    </x:font>
    <x:font>
      <x:sz val="11"/>
      <x:color rgb="FF172B3A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2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200" fontId="3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317f73e8bb41e6" /><Relationship Type="http://schemas.openxmlformats.org/officeDocument/2006/relationships/theme" Target="/xl/theme/theme1.xml" Id="Rb0f5390b0ffe4cd6" /><Relationship Type="http://schemas.microsoft.com/office/2022/11/relationships/FeaturePropertyBag" Target="/xl/featurePropertyBag/featurePropertyBag.xml" Id="R52021229ddf14631" /><Relationship Type="http://schemas.openxmlformats.org/officeDocument/2006/relationships/sharedStrings" Target="/xl/sharedStrings.xml" Id="Rde1d2c3af9be4311" /><Relationship Type="http://schemas.openxmlformats.org/officeDocument/2006/relationships/worksheet" Target="/xl/worksheets/sheet1.xml" Id="R240e1578444948a5" /><Relationship Type="http://schemas.openxmlformats.org/officeDocument/2006/relationships/worksheet" Target="/xl/worksheets/sheet2.xml" Id="Rc7094893635d4df6" /><Relationship Type="http://schemas.openxmlformats.org/officeDocument/2006/relationships/worksheet" Target="/xl/worksheets/sheet3.xml" Id="R498a191d07ec4ce2" /><Relationship Type="http://schemas.openxmlformats.org/officeDocument/2006/relationships/worksheet" Target="/xl/worksheets/sheet4.xml" Id="Rb400d8fab53a43b5" /><Relationship Type="http://schemas.openxmlformats.org/officeDocument/2006/relationships/worksheet" Target="/xl/worksheets/sheet5.xml" Id="R3028548c88ae479d" /><Relationship Type="http://schemas.openxmlformats.org/officeDocument/2006/relationships/worksheet" Target="/xl/worksheets/sheet6.xml" Id="R052761ba4cbb4420" /><Relationship Type="http://schemas.openxmlformats.org/officeDocument/2006/relationships/worksheet" Target="/xl/worksheets/sheet7.xml" Id="R5af9e9b0df4b44eb" /><Relationship Type="http://schemas.openxmlformats.org/officeDocument/2006/relationships/worksheet" Target="/xl/worksheets/sheet8.xml" Id="R7e0c2725148942d9" /><Relationship Type="http://schemas.openxmlformats.org/officeDocument/2006/relationships/worksheet" Target="/xl/worksheets/sheet9.xml" Id="Rccd4977cee0c482d" /><Relationship Type="http://schemas.openxmlformats.org/officeDocument/2006/relationships/worksheet" Target="/xl/worksheets/sheet10.xml" Id="R890a589ab2fc4348" /><Relationship Type="http://schemas.openxmlformats.org/officeDocument/2006/relationships/worksheet" Target="/xl/worksheets/sheet11.xml" Id="Rfd7ac3f717f54f0d" /><Relationship Type="http://schemas.openxmlformats.org/officeDocument/2006/relationships/worksheet" Target="/xl/worksheets/sheet12.xml" Id="R8aa10c46ae044055" /><Relationship Type="http://schemas.openxmlformats.org/officeDocument/2006/relationships/worksheet" Target="/xl/worksheets/sheet13.xml" Id="R0aeb44d7e3ed44b0" /><Relationship Type="http://schemas.openxmlformats.org/officeDocument/2006/relationships/worksheet" Target="/xl/worksheets/sheet14.xml" Id="R19b4e77214434871" /><Relationship Type="http://schemas.openxmlformats.org/officeDocument/2006/relationships/worksheet" Target="/xl/worksheets/sheet15.xml" Id="R1f05025a0aff4a75" /><Relationship Type="http://schemas.openxmlformats.org/officeDocument/2006/relationships/worksheet" Target="/xl/worksheets/sheet16.xml" Id="R7aed2a8a254b46ae" /><Relationship Type="http://schemas.openxmlformats.org/officeDocument/2006/relationships/worksheet" Target="/xl/worksheets/sheet17.xml" Id="Ra47f8e3214ec4470" /><Relationship Type="http://schemas.openxmlformats.org/officeDocument/2006/relationships/worksheet" Target="/xl/worksheets/sheet18.xml" Id="Ra87c4eb2982f4d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2" hidden="0" customWidth="1"/>
    <x:col min="3" max="3" width="21" hidden="0" customWidth="1"/>
    <x:col min="4" max="4" width="21" hidden="0" customWidth="1"/>
    <x:col min="5" max="5" width="16" hidden="0" customWidth="1"/>
  </x:cols>
  <x:sheetData>
    <x:row r="1">
      <x:c r="A1" s="1" t="str">
        <x:v>Phase 2 answer key: Excel formulas and independent CSV checks</x:v>
      </x:c>
    </x:row>
    <x:row r="2">
      <x:c r="A2" t="str">
        <x:v>Independent calculation from the cited CSV inputs</x:v>
      </x:c>
    </x:row>
    <x:row r="3">
      <x:c r="A3" t="str">
        <x:v>Human review pending. Formula engine: Artifact Tool. Not verified in Microsoft Excel.</x:v>
      </x:c>
    </x:row>
    <x:row r="4" ht="21" customHeight="1">
      <x:c r="A4" s="7" t="str">
        <x:v>case_id</x:v>
      </x:c>
      <x:c r="B4" s="7" t="str">
        <x:v>metric</x:v>
      </x:c>
      <x:c r="C4" s="7" t="str">
        <x:v>Excel_answer</x:v>
      </x:c>
      <x:c r="D4" s="7" t="str">
        <x:v>CSV_crosscheck</x:v>
      </x:c>
      <x:c r="E4" s="7" t="str">
        <x:v>agrees</x:v>
      </x:c>
    </x:row>
    <x:row r="5" ht="21" customHeight="1">
      <x:c r="A5" s="3" t="str">
        <x:v>P2-01</x:v>
      </x:c>
      <x:c r="B5" s="3" t="str">
        <x:v>total_matches</x:v>
      </x:c>
      <x:c r="C5" s="8" t="n">
        <x:f>COUNTIFS('Teachers'!$A$5:$A$24,"T006")</x:f>
        <x:v>1</x:v>
      </x:c>
      <x:c r="D5" s="9" t="n">
        <x:v>1</x:v>
      </x:c>
      <x:c r="E5" s="5" t="b">
        <x:f>C5=D5</x:f>
        <x:v>1</x:v>
      </x:c>
    </x:row>
    <x:row r="6" ht="21" customHeight="1">
      <x:c r="A6" s="3" t="str">
        <x:v>P2-02</x:v>
      </x:c>
      <x:c r="B6" s="3" t="str">
        <x:v>total_matches</x:v>
      </x:c>
      <x:c r="C6" s="8" t="n">
        <x:f>COUNTIFS('Teachers'!$C$5:$C$24,"Information Technology",'Teachers'!$D$5:$D$24,"Professor")</x:f>
        <x:v>2</x:v>
      </x:c>
      <x:c r="D6" s="9" t="n">
        <x:v>2</x:v>
      </x:c>
      <x:c r="E6" s="5" t="b">
        <x:f>C6=D6</x:f>
        <x:v>1</x:v>
      </x:c>
    </x:row>
    <x:row r="7" ht="21" customHeight="1">
      <x:c r="A7" s="3" t="str">
        <x:v>P2-03</x:v>
      </x:c>
      <x:c r="B7" s="3" t="str">
        <x:v>total_matches</x:v>
      </x:c>
      <x:c r="C7" s="8" t="n">
        <x:f>COUNTIFS('Teachers'!$C$5:$C$24,"Information Technology")</x:f>
        <x:v>10</x:v>
      </x:c>
      <x:c r="D7" s="9" t="n">
        <x:v>10</x:v>
      </x:c>
      <x:c r="E7" s="5" t="b">
        <x:f>C7=D7</x:f>
        <x:v>1</x:v>
      </x:c>
    </x:row>
    <x:row r="8" ht="21" customHeight="1">
      <x:c r="A8" s="3" t="str">
        <x:v>P2-03</x:v>
      </x:c>
      <x:c r="B8" s="3" t="str">
        <x:v>returned</x:v>
      </x:c>
      <x:c r="C8" s="8" t="n">
        <x:f>MIN(1,COUNTIFS(Teachers!$C$5:$C$24,"Information Technology"))</x:f>
        <x:v>1</x:v>
      </x:c>
      <x:c r="D8" s="9" t="n">
        <x:v>1</x:v>
      </x:c>
      <x:c r="E8" s="5" t="b">
        <x:f>C8=D8</x:f>
        <x:v>1</x:v>
      </x:c>
    </x:row>
    <x:row r="9" ht="21" customHeight="1">
      <x:c r="A9" s="3" t="str">
        <x:v>P2-04</x:v>
      </x:c>
      <x:c r="B9" s="3" t="str">
        <x:v>total_matches</x:v>
      </x:c>
      <x:c r="C9" s="8" t="n">
        <x:f>COUNTIFS('Teachers'!$B$5:$B$24,"*XYZNOTFOUND*")</x:f>
        <x:v>0</x:v>
      </x:c>
      <x:c r="D9" s="9" t="n">
        <x:v>0</x:v>
      </x:c>
      <x:c r="E9" s="5" t="b">
        <x:f>C9=D9</x:f>
        <x:v>1</x:v>
      </x:c>
    </x:row>
    <x:row r="10" ht="21" customHeight="1">
      <x:c r="A10" s="3" t="str">
        <x:v>P2-05</x:v>
      </x:c>
      <x:c r="B10" s="3" t="str">
        <x:v>total_sections</x:v>
      </x:c>
      <x:c r="C10" s="8" t="n">
        <x:f>COUNTIFS('Sections'!$D$5:$D$45,"IT01",'Sections'!$C$5:$C$45,"2024-1")</x:f>
        <x:v>3</x:v>
      </x:c>
      <x:c r="D10" s="9" t="n">
        <x:v>3</x:v>
      </x:c>
      <x:c r="E10" s="5" t="b">
        <x:f>C10=D10</x:f>
        <x:v>1</x:v>
      </x:c>
    </x:row>
    <x:row r="11" ht="21" customHeight="1">
      <x:c r="A11" s="3" t="str">
        <x:v>P2-06</x:v>
      </x:c>
      <x:c r="B11" s="3" t="str">
        <x:v>total_sections</x:v>
      </x:c>
      <x:c r="C11" s="8" t="n">
        <x:f>COUNTIFS('Sections'!$D$5:$D$45,"BA02",'Sections'!$C$5:$C$45,"2024-2")</x:f>
        <x:v>2</x:v>
      </x:c>
      <x:c r="D11" s="9" t="n">
        <x:v>2</x:v>
      </x:c>
      <x:c r="E11" s="5" t="b">
        <x:f>C11=D11</x:f>
        <x:v>1</x:v>
      </x:c>
    </x:row>
    <x:row r="12" ht="21" customHeight="1">
      <x:c r="A12" s="3" t="str">
        <x:v>P2-08</x:v>
      </x:c>
      <x:c r="B12" s="3" t="str">
        <x:v>total_sections</x:v>
      </x:c>
      <x:c r="C12" s="8" t="n">
        <x:f>COUNTIFS('Sections'!$E$5:$E$45,"T001",'Sections'!$C$5:$C$45,"2024-1")</x:f>
        <x:v>3</x:v>
      </x:c>
      <x:c r="D12" s="9" t="n">
        <x:v>3</x:v>
      </x:c>
      <x:c r="E12" s="5" t="b">
        <x:f>C12=D12</x:f>
        <x:v>1</x:v>
      </x:c>
    </x:row>
    <x:row r="13" ht="21" customHeight="1">
      <x:c r="A13" s="3" t="str">
        <x:v>P2-08</x:v>
      </x:c>
      <x:c r="B13" s="3" t="str">
        <x:v>total_periods_per_week</x:v>
      </x:c>
      <x:c r="C13" s="8" t="n">
        <x:f>SUMIFS('Sections'!$I$5:$I$45,'Sections'!$E$5:$E$45,"T001",'Sections'!$C$5:$C$45,"2024-1")</x:f>
        <x:v>9</x:v>
      </x:c>
      <x:c r="D13" s="9" t="n">
        <x:v>9</x:v>
      </x:c>
      <x:c r="E13" s="5" t="b">
        <x:f>C13=D13</x:f>
        <x:v>1</x:v>
      </x:c>
    </x:row>
    <x:row r="14" ht="21" customHeight="1">
      <x:c r="A14" s="3" t="str">
        <x:v>P2-09</x:v>
      </x:c>
      <x:c r="B14" s="3" t="str">
        <x:v>total_sections</x:v>
      </x:c>
      <x:c r="C14" s="8" t="n">
        <x:f>COUNTIFS('Sections'!$E$5:$E$45,"T001",'Sections'!$C$5:$C$45,"2025-1")</x:f>
        <x:v>6</x:v>
      </x:c>
      <x:c r="D14" s="9" t="n">
        <x:v>6</x:v>
      </x:c>
      <x:c r="E14" s="5" t="b">
        <x:f>C14=D14</x:f>
        <x:v>1</x:v>
      </x:c>
    </x:row>
    <x:row r="15" ht="21" customHeight="1">
      <x:c r="A15" s="3" t="str">
        <x:v>P2-09</x:v>
      </x:c>
      <x:c r="B15" s="3" t="str">
        <x:v>total_periods_per_week</x:v>
      </x:c>
      <x:c r="C15" s="8" t="n">
        <x:f>SUMIFS('Sections'!$I$5:$I$45,'Sections'!$E$5:$E$45,"T001",'Sections'!$C$5:$C$45,"2025-1")</x:f>
        <x:v>18</x:v>
      </x:c>
      <x:c r="D15" s="9" t="n">
        <x:v>18</x:v>
      </x:c>
      <x:c r="E15" s="5" t="b">
        <x:f>C15=D15</x:f>
        <x:v>1</x:v>
      </x:c>
    </x:row>
    <x:row r="16" ht="21" customHeight="1">
      <x:c r="A16" s="3" t="str">
        <x:v>P2-10</x:v>
      </x:c>
      <x:c r="B16" s="3" t="str">
        <x:v>total_sections</x:v>
      </x:c>
      <x:c r="C16" s="8" t="n">
        <x:f>COUNTIFS('Sections'!$E$5:$E$45,"T001",'Sections'!$C$5:$C$45,"2099-1")</x:f>
        <x:v>0</x:v>
      </x:c>
      <x:c r="D16" s="9" t="n">
        <x:v>0</x:v>
      </x:c>
      <x:c r="E16" s="5" t="b">
        <x:f>C16=D16</x:f>
        <x:v>1</x:v>
      </x:c>
    </x:row>
    <x:row r="17" ht="21" customHeight="1">
      <x:c r="A17" s="3" t="str">
        <x:v>P2-10</x:v>
      </x:c>
      <x:c r="B17" s="3" t="str">
        <x:v>total_periods_per_week</x:v>
      </x:c>
      <x:c r="C17" s="8" t="n">
        <x:f>SUMIFS('Sections'!$I$5:$I$45,'Sections'!$E$5:$E$45,"T001",'Sections'!$C$5:$C$45,"2099-1")</x:f>
        <x:v>0</x:v>
      </x:c>
      <x:c r="D17" s="9" t="n">
        <x:v>0</x:v>
      </x:c>
      <x:c r="E17" s="5" t="b">
        <x:f>C17=D17</x:f>
        <x:v>1</x:v>
      </x:c>
    </x:row>
    <x:row r="18" ht="21" customHeight="1">
      <x:c r="A18" s="3" t="str">
        <x:v>P2-12</x:v>
      </x:c>
      <x:c r="B18" s="3" t="str">
        <x:v>students_graded</x:v>
      </x:c>
      <x:c r="C18" s="8" t="n">
        <x:f>COUNTIFS('Grades'!$N$5:$N$271,"T001",'Grades'!$C$5:$C$271,"2024-1",'Grades'!$F$5:$F$271,1)</x:f>
        <x:v>30</x:v>
      </x:c>
      <x:c r="D18" s="9" t="n">
        <x:v>30</x:v>
      </x:c>
      <x:c r="E18" s="5" t="b">
        <x:f>C18=D18</x:f>
        <x:v>1</x:v>
      </x:c>
    </x:row>
    <x:row r="19" ht="21" customHeight="1">
      <x:c r="A19" s="3" t="str">
        <x:v>P2-12</x:v>
      </x:c>
      <x:c r="B19" s="3" t="str">
        <x:v>overall_average_score</x:v>
      </x:c>
      <x:c r="C19" s="8" t="n">
        <x:f>ROUND(SUMIFS('Grades'!$I$5:$I$271,'Grades'!$N$5:$N$271,"T001",'Grades'!$C$5:$C$271,"2024-1",'Grades'!$F$5:$F$271,1)/COUNTIFS('Grades'!$N$5:$N$271,"T001",'Grades'!$C$5:$C$271,"2024-1",'Grades'!$F$5:$F$271,1),1)</x:f>
        <x:v>7.4</x:v>
      </x:c>
      <x:c r="D19" s="9" t="n">
        <x:v>7.4</x:v>
      </x:c>
      <x:c r="E19" s="5" t="b">
        <x:f>C19=D19</x:f>
        <x:v>1</x:v>
      </x:c>
    </x:row>
    <x:row r="20" ht="21" customHeight="1">
      <x:c r="A20" s="3" t="str">
        <x:v>P2-12</x:v>
      </x:c>
      <x:c r="B20" s="3" t="str">
        <x:v>overall_pass_rate_pct</x:v>
      </x:c>
      <x:c r="C20" s="8" t="n">
        <x:f>ROUND(COUNTIFS('Grades'!$N$5:$N$271,"T001",'Grades'!$C$5:$C$271,"2024-1",'Grades'!$F$5:$F$271,1,'Grades'!$O$5:$O$271,1)/COUNTIFS('Grades'!$N$5:$N$271,"T001",'Grades'!$C$5:$C$271,"2024-1",'Grades'!$F$5:$F$271,1)*100,1)</x:f>
        <x:v>90</x:v>
      </x:c>
      <x:c r="D20" s="9" t="n">
        <x:v>90</x:v>
      </x:c>
      <x:c r="E20" s="5" t="b">
        <x:f>C20=D20</x:f>
        <x:v>1</x:v>
      </x:c>
    </x:row>
    <x:row r="21" ht="21" customHeight="1">
      <x:c r="A21" s="3" t="str">
        <x:v>P2-13</x:v>
      </x:c>
      <x:c r="B21" s="3" t="str">
        <x:v>total_sessions</x:v>
      </x:c>
      <x:c r="C21" s="8" t="n">
        <x:f>COUNTIFS('Attendance'!$A$5:$A$3919,"2202015",'Attendance'!$B$5:$B$3919,"SEC002",'Attendance'!$E$5:$E$3919,"2024-1")</x:f>
        <x:v>15</x:v>
      </x:c>
      <x:c r="D21" s="9" t="n">
        <x:v>15</x:v>
      </x:c>
      <x:c r="E21" s="5" t="b">
        <x:f>C21=D21</x:f>
        <x:v>1</x:v>
      </x:c>
    </x:row>
    <x:row r="22" ht="21" customHeight="1">
      <x:c r="A22" s="3" t="str">
        <x:v>P2-13</x:v>
      </x:c>
      <x:c r="B22" s="3" t="str">
        <x:v>absent</x:v>
      </x:c>
      <x:c r="C22" s="8" t="n">
        <x:f>COUNTIFS('Attendance'!$A$5:$A$3919,"2202015",'Attendance'!$B$5:$B$3919,"SEC002",'Attendance'!$E$5:$E$3919,"2024-1",'Attendance'!$D$5:$D$3919,"absent")</x:f>
        <x:v>3</x:v>
      </x:c>
      <x:c r="D22" s="9" t="n">
        <x:v>3</x:v>
      </x:c>
      <x:c r="E22" s="5" t="b">
        <x:f>C22=D22</x:f>
        <x:v>1</x:v>
      </x:c>
    </x:row>
    <x:row r="23" ht="21" customHeight="1">
      <x:c r="A23" s="3" t="str">
        <x:v>P2-13</x:v>
      </x:c>
      <x:c r="B23" s="3" t="str">
        <x:v>absence_rate_pct</x:v>
      </x:c>
      <x:c r="C23" s="8" t="n">
        <x:f>ROUND(COUNTIFS('Attendance'!$A$5:$A$3919,"2202015",'Attendance'!$B$5:$B$3919,"SEC002",'Attendance'!$E$5:$E$3919,"2024-1",'Attendance'!$D$5:$D$3919,"absent")/COUNTIFS('Attendance'!$A$5:$A$3919,"2202015",'Attendance'!$B$5:$B$3919,"SEC002",'Attendance'!$E$5:$E$3919,"2024-1")*100,1)</x:f>
        <x:v>20</x:v>
      </x:c>
      <x:c r="D23" s="9" t="n">
        <x:v>20</x:v>
      </x:c>
      <x:c r="E23" s="5" t="b">
        <x:f>C23=D23</x:f>
        <x:v>1</x:v>
      </x:c>
    </x:row>
    <x:row r="24" ht="21" customHeight="1">
      <x:c r="A24" s="3" t="str">
        <x:v>P2-13</x:v>
      </x:c>
      <x:c r="B24" s="3" t="str">
        <x:v>banned_from_exam</x:v>
      </x:c>
      <x:c r="C24" s="8" t="b">
        <x:f>COUNTIFS('Attendance'!$A$5:$A$3919,"2202015",'Attendance'!$B$5:$B$3919,"SEC002",'Attendance'!$E$5:$E$3919,"2024-1",'Attendance'!$D$5:$D$3919,"absent")/COUNTIFS('Attendance'!$A$5:$A$3919,"2202015",'Attendance'!$B$5:$B$3919,"SEC002",'Attendance'!$E$5:$E$3919,"2024-1")&gt;Rules!$B$7</x:f>
        <x:v>0</x:v>
      </x:c>
      <x:c r="D24" s="10" t="b">
        <x:v>0</x:v>
      </x:c>
      <x:c r="E24" s="5" t="b">
        <x:f>C24=D24</x:f>
        <x:v>1</x:v>
      </x:c>
    </x:row>
    <x:row r="25" ht="21" customHeight="1">
      <x:c r="A25" s="3" t="str">
        <x:v>P2-14</x:v>
      </x:c>
      <x:c r="B25" s="3" t="str">
        <x:v>total_sessions</x:v>
      </x:c>
      <x:c r="C25" s="8" t="n">
        <x:f>COUNTIFS('Attendance'!$A$5:$A$3919,"2202010",'Attendance'!$B$5:$B$3919,"SEC001",'Attendance'!$E$5:$E$3919,"2024-1")</x:f>
        <x:v>15</x:v>
      </x:c>
      <x:c r="D25" s="9" t="n">
        <x:v>15</x:v>
      </x:c>
      <x:c r="E25" s="5" t="b">
        <x:f>C25=D25</x:f>
        <x:v>1</x:v>
      </x:c>
    </x:row>
    <x:row r="26" ht="21" customHeight="1">
      <x:c r="A26" s="3" t="str">
        <x:v>P2-14</x:v>
      </x:c>
      <x:c r="B26" s="3" t="str">
        <x:v>absent</x:v>
      </x:c>
      <x:c r="C26" s="8" t="n">
        <x:f>COUNTIFS('Attendance'!$A$5:$A$3919,"2202010",'Attendance'!$B$5:$B$3919,"SEC001",'Attendance'!$E$5:$E$3919,"2024-1",'Attendance'!$D$5:$D$3919,"absent")</x:f>
        <x:v>4</x:v>
      </x:c>
      <x:c r="D26" s="9" t="n">
        <x:v>4</x:v>
      </x:c>
      <x:c r="E26" s="5" t="b">
        <x:f>C26=D26</x:f>
        <x:v>1</x:v>
      </x:c>
    </x:row>
    <x:row r="27" ht="21" customHeight="1">
      <x:c r="A27" s="3" t="str">
        <x:v>P2-14</x:v>
      </x:c>
      <x:c r="B27" s="3" t="str">
        <x:v>absence_rate_pct</x:v>
      </x:c>
      <x:c r="C27" s="8" t="n">
        <x:f>ROUND(COUNTIFS('Attendance'!$A$5:$A$3919,"2202010",'Attendance'!$B$5:$B$3919,"SEC001",'Attendance'!$E$5:$E$3919,"2024-1",'Attendance'!$D$5:$D$3919,"absent")/COUNTIFS('Attendance'!$A$5:$A$3919,"2202010",'Attendance'!$B$5:$B$3919,"SEC001",'Attendance'!$E$5:$E$3919,"2024-1")*100,1)</x:f>
        <x:v>26.7</x:v>
      </x:c>
      <x:c r="D27" s="9" t="n">
        <x:v>26.7</x:v>
      </x:c>
      <x:c r="E27" s="5" t="b">
        <x:f>C27=D27</x:f>
        <x:v>1</x:v>
      </x:c>
    </x:row>
    <x:row r="28" ht="21" customHeight="1">
      <x:c r="A28" s="3" t="str">
        <x:v>P2-14</x:v>
      </x:c>
      <x:c r="B28" s="3" t="str">
        <x:v>banned_from_exam</x:v>
      </x:c>
      <x:c r="C28" s="8" t="b">
        <x:f>COUNTIFS('Attendance'!$A$5:$A$3919,"2202010",'Attendance'!$B$5:$B$3919,"SEC001",'Attendance'!$E$5:$E$3919,"2024-1",'Attendance'!$D$5:$D$3919,"absent")/COUNTIFS('Attendance'!$A$5:$A$3919,"2202010",'Attendance'!$B$5:$B$3919,"SEC001",'Attendance'!$E$5:$E$3919,"2024-1")&gt;Rules!$B$7</x:f>
        <x:v>1</x:v>
      </x:c>
      <x:c r="D28" s="10" t="b">
        <x:v>1</x:v>
      </x:c>
      <x:c r="E28" s="5" t="b">
        <x:f>C28=D28</x:f>
        <x:v>1</x:v>
      </x:c>
    </x:row>
    <x:row r="29" ht="21" customHeight="1">
      <x:c r="A29" s="3" t="str">
        <x:v>P2-15</x:v>
      </x:c>
      <x:c r="B29" s="3" t="str">
        <x:v>total_sessions</x:v>
      </x:c>
      <x:c r="C29" s="8" t="n">
        <x:f>COUNTIFS('Attendance'!$A$5:$A$3919,"2201005")</x:f>
        <x:v>105</x:v>
      </x:c>
      <x:c r="D29" s="9" t="n">
        <x:v>105</x:v>
      </x:c>
      <x:c r="E29" s="5" t="b">
        <x:f>C29=D29</x:f>
        <x:v>1</x:v>
      </x:c>
    </x:row>
    <x:row r="30" ht="21" customHeight="1">
      <x:c r="A30" s="3" t="str">
        <x:v>P2-15</x:v>
      </x:c>
      <x:c r="B30" s="3" t="str">
        <x:v>absent</x:v>
      </x:c>
      <x:c r="C30" s="8" t="n">
        <x:f>COUNTIFS('Attendance'!$A$5:$A$3919,"2201005",'Attendance'!$D$5:$D$3919,"absent")</x:f>
        <x:v>27</x:v>
      </x:c>
      <x:c r="D30" s="9" t="n">
        <x:v>27</x:v>
      </x:c>
      <x:c r="E30" s="5" t="b">
        <x:f>C30=D30</x:f>
        <x:v>1</x:v>
      </x:c>
    </x:row>
    <x:row r="31" ht="21" customHeight="1">
      <x:c r="A31" s="3" t="str">
        <x:v>P2-15</x:v>
      </x:c>
      <x:c r="B31" s="3" t="str">
        <x:v>absence_rate_pct</x:v>
      </x:c>
      <x:c r="C31" s="8" t="n">
        <x:f>ROUND(COUNTIFS('Attendance'!$A$5:$A$3919,"2201005",'Attendance'!$D$5:$D$3919,"absent")/COUNTIFS('Attendance'!$A$5:$A$3919,"2201005")*100,1)</x:f>
        <x:v>25.7</x:v>
      </x:c>
      <x:c r="D31" s="9" t="n">
        <x:v>25.7</x:v>
      </x:c>
      <x:c r="E31" s="5" t="b">
        <x:f>C31=D31</x:f>
        <x:v>1</x:v>
      </x:c>
    </x:row>
    <x:row r="32" ht="21" customHeight="1">
      <x:c r="A32" s="3" t="str">
        <x:v>P2-16</x:v>
      </x:c>
      <x:c r="B32" s="3" t="str">
        <x:v>total_sessions</x:v>
      </x:c>
      <x:c r="C32" s="8" t="n">
        <x:f>COUNTIFS('Attendance'!$B$5:$B$3919,"SEC001",'Attendance'!$E$5:$E$3919,"2024-1")</x:f>
        <x:v>150</x:v>
      </x:c>
      <x:c r="D32" s="9" t="n">
        <x:v>150</x:v>
      </x:c>
      <x:c r="E32" s="5" t="b">
        <x:f>C32=D32</x:f>
        <x:v>1</x:v>
      </x:c>
    </x:row>
    <x:row r="33" ht="21" customHeight="1">
      <x:c r="A33" s="3" t="str">
        <x:v>P2-16</x:v>
      </x:c>
      <x:c r="B33" s="3" t="str">
        <x:v>absent</x:v>
      </x:c>
      <x:c r="C33" s="8" t="n">
        <x:f>COUNTIFS('Attendance'!$B$5:$B$3919,"SEC001",'Attendance'!$E$5:$E$3919,"2024-1",'Attendance'!$D$5:$D$3919,"absent")</x:f>
        <x:v>12</x:v>
      </x:c>
      <x:c r="D33" s="9" t="n">
        <x:v>12</x:v>
      </x:c>
      <x:c r="E33" s="5" t="b">
        <x:f>C33=D33</x:f>
        <x:v>1</x:v>
      </x:c>
    </x:row>
    <x:row r="34" ht="21" customHeight="1">
      <x:c r="A34" s="3" t="str">
        <x:v>P2-16</x:v>
      </x:c>
      <x:c r="B34" s="3" t="str">
        <x:v>absence_rate_pct</x:v>
      </x:c>
      <x:c r="C34" s="8" t="n">
        <x:f>ROUND(COUNTIFS('Attendance'!$B$5:$B$3919,"SEC001",'Attendance'!$E$5:$E$3919,"2024-1",'Attendance'!$D$5:$D$3919,"absent")/COUNTIFS('Attendance'!$B$5:$B$3919,"SEC001",'Attendance'!$E$5:$E$3919,"2024-1")*100,1)</x:f>
        <x:v>8</x:v>
      </x:c>
      <x:c r="D34" s="9" t="n">
        <x:v>8</x:v>
      </x:c>
      <x:c r="E34" s="5" t="b">
        <x:f>C34=D34</x:f>
        <x:v>1</x:v>
      </x:c>
    </x:row>
    <x:row r="35" ht="21" customHeight="1">
      <x:c r="A35" s="3" t="str">
        <x:v>P2-18</x:v>
      </x:c>
      <x:c r="B35" s="3" t="str">
        <x:v>records.0.score</x:v>
      </x:c>
      <x:c r="C35" s="8" t="n">
        <x:f>Conduct!C5</x:f>
        <x:v>92</x:v>
      </x:c>
      <x:c r="D35" s="9" t="n">
        <x:v>92</x:v>
      </x:c>
      <x:c r="E35" s="5" t="b">
        <x:f>C35=D35</x:f>
        <x:v>1</x:v>
      </x:c>
    </x:row>
    <x:row r="36" ht="21" customHeight="1">
      <x:c r="A36" s="3" t="str">
        <x:v>P2-18</x:v>
      </x:c>
      <x:c r="B36" s="3" t="str">
        <x:v>records.0.grade</x:v>
      </x:c>
      <x:c r="C36" s="8" t="str">
        <x:f>IF(Conduct!C5&gt;=Rules!$B$18,"Excellent",IF(Conduct!C5&gt;=Rules!$B$19,"Good",IF(Conduct!C5&gt;=Rules!$B$20,"Fairly good",IF(Conduct!C5&gt;=Rules!$B$21,"Average","Weak"))))</x:f>
        <x:v>Excellent</x:v>
      </x:c>
      <x:c r="D36" s="9" t="str">
        <x:v>Excellent</x:v>
      </x:c>
      <x:c r="E36" s="5" t="b">
        <x:f>C36=D36</x:f>
        <x:v>1</x:v>
      </x:c>
    </x:row>
    <x:row r="37" ht="21" customHeight="1">
      <x:c r="A37" s="3" t="str">
        <x:v>P2-19</x:v>
      </x:c>
      <x:c r="B37" s="3" t="str">
        <x:v>records.0.score</x:v>
      </x:c>
      <x:c r="C37" s="8" t="n">
        <x:f>Conduct!C9</x:f>
        <x:v>81</x:v>
      </x:c>
      <x:c r="D37" s="9" t="n">
        <x:v>81</x:v>
      </x:c>
      <x:c r="E37" s="5" t="b">
        <x:f>C37=D37</x:f>
        <x:v>1</x:v>
      </x:c>
    </x:row>
    <x:row r="38" ht="21" customHeight="1">
      <x:c r="A38" s="3" t="str">
        <x:v>P2-19</x:v>
      </x:c>
      <x:c r="B38" s="3" t="str">
        <x:v>records.0.grade</x:v>
      </x:c>
      <x:c r="C38" s="8" t="str">
        <x:f>IF(Conduct!C9&gt;=Rules!$B$18,"Excellent",IF(Conduct!C9&gt;=Rules!$B$19,"Good",IF(Conduct!C9&gt;=Rules!$B$20,"Fairly good",IF(Conduct!C9&gt;=Rules!$B$21,"Average","Weak"))))</x:f>
        <x:v>Good</x:v>
      </x:c>
      <x:c r="D38" s="9" t="str">
        <x:v>Good</x:v>
      </x:c>
      <x:c r="E38" s="5" t="b">
        <x:f>C38=D38</x:f>
        <x:v>1</x:v>
      </x:c>
    </x:row>
    <x:row r="39" ht="21" customHeight="1">
      <x:c r="A39" s="3" t="str">
        <x:v>P2-20</x:v>
      </x:c>
      <x:c r="B39" s="3" t="str">
        <x:v>records.0.score</x:v>
      </x:c>
      <x:c r="C39" s="8" t="n">
        <x:f>Conduct!C17</x:f>
        <x:v>50</x:v>
      </x:c>
      <x:c r="D39" s="9" t="n">
        <x:v>50</x:v>
      </x:c>
      <x:c r="E39" s="5" t="b">
        <x:f>C39=D39</x:f>
        <x:v>1</x:v>
      </x:c>
    </x:row>
    <x:row r="40" ht="21" customHeight="1">
      <x:c r="A40" s="3" t="str">
        <x:v>P2-20</x:v>
      </x:c>
      <x:c r="B40" s="3" t="str">
        <x:v>records.0.grade</x:v>
      </x:c>
      <x:c r="C40" s="8" t="str">
        <x:f>IF(Conduct!C17&gt;=Rules!$B$18,"Excellent",IF(Conduct!C17&gt;=Rules!$B$19,"Good",IF(Conduct!C17&gt;=Rules!$B$20,"Fairly good",IF(Conduct!C17&gt;=Rules!$B$21,"Average","Weak"))))</x:f>
        <x:v>Average</x:v>
      </x:c>
      <x:c r="D40" s="9" t="str">
        <x:v>Average</x:v>
      </x:c>
      <x:c r="E40" s="5" t="b">
        <x:f>C40=D40</x:f>
        <x:v>1</x:v>
      </x:c>
    </x:row>
    <x:row r="41" ht="21" customHeight="1">
      <x:c r="A41" s="3" t="str">
        <x:v>P2-21</x:v>
      </x:c>
      <x:c r="B41" s="3" t="str">
        <x:v>average_score</x:v>
      </x:c>
      <x:c r="C41" s="8" t="n">
        <x:f>ROUND(AVERAGEIFS('Conduct'!$C$5:$C$124,'Conduct'!$A$5:$A$124,"2201002"),1)</x:f>
        <x:v>85.3</x:v>
      </x:c>
      <x:c r="D41" s="9" t="n">
        <x:v>85.3</x:v>
      </x:c>
      <x:c r="E41" s="5" t="b">
        <x:f>C41=D41</x:f>
        <x:v>1</x:v>
      </x:c>
    </x:row>
    <x:row r="42" ht="21" customHeight="1">
      <x:c r="A42" s="3" t="str">
        <x:v>P2-23</x:v>
      </x:c>
      <x:c r="B42" s="3" t="str">
        <x:v>total_evaluated</x:v>
      </x:c>
      <x:c r="C42" s="8" t="n">
        <x:f>COUNTIFS('Risk'!$B$5:$B$44,"IT01")</x:f>
        <x:v>10</x:v>
      </x:c>
      <x:c r="D42" s="9" t="n">
        <x:v>10</x:v>
      </x:c>
      <x:c r="E42" s="5" t="b">
        <x:f>C42=D42</x:f>
        <x:v>1</x:v>
      </x:c>
    </x:row>
    <x:row r="43" ht="21" customHeight="1">
      <x:c r="A43" s="3" t="str">
        <x:v>P2-23</x:v>
      </x:c>
      <x:c r="B43" s="3" t="str">
        <x:v>at_risk_count</x:v>
      </x:c>
      <x:c r="C43" s="8" t="n">
        <x:f>COUNTIFS('Risk'!$B$5:$B$44,"IT01",'Risk'!$H$5:$H$44,1)</x:f>
        <x:v>2</x:v>
      </x:c>
      <x:c r="D43" s="9" t="n">
        <x:v>2</x:v>
      </x:c>
      <x:c r="E43" s="5" t="b">
        <x:f>C43=D43</x:f>
        <x:v>1</x:v>
      </x:c>
    </x:row>
    <x:row r="44" ht="21" customHeight="1">
      <x:c r="A44" s="3" t="str">
        <x:v>P2-24</x:v>
      </x:c>
      <x:c r="B44" s="3" t="str">
        <x:v>total_evaluated</x:v>
      </x:c>
      <x:c r="C44" s="8" t="n">
        <x:f>COUNTIFS('Risk'!$C$5:$C$44,"Business Administration")</x:f>
        <x:v>20</x:v>
      </x:c>
      <x:c r="D44" s="9" t="n">
        <x:v>20</x:v>
      </x:c>
      <x:c r="E44" s="5" t="b">
        <x:f>C44=D44</x:f>
        <x:v>1</x:v>
      </x:c>
    </x:row>
    <x:row r="45" ht="21" customHeight="1">
      <x:c r="A45" s="3" t="str">
        <x:v>P2-24</x:v>
      </x:c>
      <x:c r="B45" s="3" t="str">
        <x:v>at_risk_count</x:v>
      </x:c>
      <x:c r="C45" s="8" t="n">
        <x:f>COUNTIFS('Risk'!$C$5:$C$44,"Business Administration",'Risk'!$H$5:$H$44,1)</x:f>
        <x:v>4</x:v>
      </x:c>
      <x:c r="D45" s="9" t="n">
        <x:v>4</x:v>
      </x:c>
      <x:c r="E45" s="5" t="b">
        <x:f>C45=D45</x:f>
        <x:v>1</x:v>
      </x:c>
    </x:row>
    <x:row r="46" ht="21" customHeight="1">
      <x:c r="A46" s="3" t="str">
        <x:v>P2-26</x:v>
      </x:c>
      <x:c r="B46" s="3" t="str">
        <x:v>records.0.amount_due</x:v>
      </x:c>
      <x:c r="C46" s="8" t="n">
        <x:f>Tuition!F5</x:f>
        <x:v>8400000</x:v>
      </x:c>
      <x:c r="D46" s="9" t="n">
        <x:v>8400000</x:v>
      </x:c>
      <x:c r="E46" s="5" t="b">
        <x:f>C46=D46</x:f>
        <x:v>1</x:v>
      </x:c>
    </x:row>
    <x:row r="47" ht="21" customHeight="1">
      <x:c r="A47" s="3" t="str">
        <x:v>P2-26</x:v>
      </x:c>
      <x:c r="B47" s="3" t="str">
        <x:v>records.0.amount_paid</x:v>
      </x:c>
      <x:c r="C47" s="8" t="n">
        <x:f>Tuition!G5</x:f>
        <x:v>8400000</x:v>
      </x:c>
      <x:c r="D47" s="9" t="n">
        <x:v>8400000</x:v>
      </x:c>
      <x:c r="E47" s="5" t="b">
        <x:f>C47=D47</x:f>
        <x:v>1</x:v>
      </x:c>
    </x:row>
    <x:row r="48" ht="21" customHeight="1">
      <x:c r="A48" s="3" t="str">
        <x:v>P2-26</x:v>
      </x:c>
      <x:c r="B48" s="3" t="str">
        <x:v>records.0.balance</x:v>
      </x:c>
      <x:c r="C48" s="8" t="n">
        <x:f>Tuition!J5</x:f>
        <x:v>0</x:v>
      </x:c>
      <x:c r="D48" s="9" t="n">
        <x:v>0</x:v>
      </x:c>
      <x:c r="E48" s="5" t="b">
        <x:f>C48=D48</x:f>
        <x:v>1</x:v>
      </x:c>
    </x:row>
    <x:row r="49" ht="21" customHeight="1">
      <x:c r="A49" s="3" t="str">
        <x:v>P2-26</x:v>
      </x:c>
      <x:c r="B49" s="3" t="str">
        <x:v>records.0.status</x:v>
      </x:c>
      <x:c r="C49" s="8" t="str">
        <x:f>Tuition!K5</x:f>
        <x:v>paid</x:v>
      </x:c>
      <x:c r="D49" s="9" t="str">
        <x:v>paid</x:v>
      </x:c>
      <x:c r="E49" s="5" t="b">
        <x:f>C49=D49</x:f>
        <x:v>1</x:v>
      </x:c>
    </x:row>
    <x:row r="50" ht="21" customHeight="1">
      <x:c r="A50" s="3" t="str">
        <x:v>P2-27</x:v>
      </x:c>
      <x:c r="B50" s="3" t="str">
        <x:v>records.0.amount_due</x:v>
      </x:c>
      <x:c r="C50" s="8" t="n">
        <x:f>Tuition!F8</x:f>
        <x:v>8400000</x:v>
      </x:c>
      <x:c r="D50" s="9" t="n">
        <x:v>8400000</x:v>
      </x:c>
      <x:c r="E50" s="5" t="b">
        <x:f>C50=D50</x:f>
        <x:v>1</x:v>
      </x:c>
    </x:row>
    <x:row r="51" ht="21" customHeight="1">
      <x:c r="A51" s="3" t="str">
        <x:v>P2-27</x:v>
      </x:c>
      <x:c r="B51" s="3" t="str">
        <x:v>records.0.amount_paid</x:v>
      </x:c>
      <x:c r="C51" s="8" t="n">
        <x:f>Tuition!G8</x:f>
        <x:v>0</x:v>
      </x:c>
      <x:c r="D51" s="9" t="n">
        <x:v>0</x:v>
      </x:c>
      <x:c r="E51" s="5" t="b">
        <x:f>C51=D51</x:f>
        <x:v>1</x:v>
      </x:c>
    </x:row>
    <x:row r="52" ht="21" customHeight="1">
      <x:c r="A52" s="3" t="str">
        <x:v>P2-27</x:v>
      </x:c>
      <x:c r="B52" s="3" t="str">
        <x:v>records.0.balance</x:v>
      </x:c>
      <x:c r="C52" s="8" t="n">
        <x:f>Tuition!J8</x:f>
        <x:v>8400000</x:v>
      </x:c>
      <x:c r="D52" s="9" t="n">
        <x:v>8400000</x:v>
      </x:c>
      <x:c r="E52" s="5" t="b">
        <x:f>C52=D52</x:f>
        <x:v>1</x:v>
      </x:c>
    </x:row>
    <x:row r="53" ht="21" customHeight="1">
      <x:c r="A53" s="3" t="str">
        <x:v>P2-27</x:v>
      </x:c>
      <x:c r="B53" s="3" t="str">
        <x:v>records.0.status</x:v>
      </x:c>
      <x:c r="C53" s="8" t="str">
        <x:f>Tuition!K8</x:f>
        <x:v>unpaid</x:v>
      </x:c>
      <x:c r="D53" s="9" t="str">
        <x:v>unpaid</x:v>
      </x:c>
      <x:c r="E53" s="5" t="b">
        <x:f>C53=D53</x:f>
        <x:v>1</x:v>
      </x:c>
    </x:row>
    <x:row r="54" ht="21" customHeight="1">
      <x:c r="A54" s="3" t="str">
        <x:v>P2-28</x:v>
      </x:c>
      <x:c r="B54" s="3" t="str">
        <x:v>records.0.amount_due</x:v>
      </x:c>
      <x:c r="C54" s="8" t="n">
        <x:f>Tuition!F11</x:f>
        <x:v>6720000</x:v>
      </x:c>
      <x:c r="D54" s="9" t="n">
        <x:v>6720000</x:v>
      </x:c>
      <x:c r="E54" s="5" t="b">
        <x:f>C54=D54</x:f>
        <x:v>1</x:v>
      </x:c>
    </x:row>
    <x:row r="55" ht="21" customHeight="1">
      <x:c r="A55" s="3" t="str">
        <x:v>P2-28</x:v>
      </x:c>
      <x:c r="B55" s="3" t="str">
        <x:v>records.0.amount_paid</x:v>
      </x:c>
      <x:c r="C55" s="8" t="n">
        <x:f>Tuition!G11</x:f>
        <x:v>6720000</x:v>
      </x:c>
      <x:c r="D55" s="9" t="n">
        <x:v>6720000</x:v>
      </x:c>
      <x:c r="E55" s="5" t="b">
        <x:f>C55=D55</x:f>
        <x:v>1</x:v>
      </x:c>
    </x:row>
    <x:row r="56" ht="21" customHeight="1">
      <x:c r="A56" s="3" t="str">
        <x:v>P2-28</x:v>
      </x:c>
      <x:c r="B56" s="3" t="str">
        <x:v>records.0.balance</x:v>
      </x:c>
      <x:c r="C56" s="8" t="n">
        <x:f>Tuition!J11</x:f>
        <x:v>0</x:v>
      </x:c>
      <x:c r="D56" s="9" t="n">
        <x:v>0</x:v>
      </x:c>
      <x:c r="E56" s="5" t="b">
        <x:f>C56=D56</x:f>
        <x:v>1</x:v>
      </x:c>
    </x:row>
    <x:row r="57" ht="21" customHeight="1">
      <x:c r="A57" s="3" t="str">
        <x:v>P2-28</x:v>
      </x:c>
      <x:c r="B57" s="3" t="str">
        <x:v>records.0.status</x:v>
      </x:c>
      <x:c r="C57" s="8" t="str">
        <x:f>Tuition!K11</x:f>
        <x:v>paid</x:v>
      </x:c>
      <x:c r="D57" s="9" t="str">
        <x:v>paid</x:v>
      </x:c>
      <x:c r="E57" s="5" t="b">
        <x:f>C57=D57</x:f>
        <x:v>1</x:v>
      </x:c>
    </x:row>
    <x:row r="58" ht="21" customHeight="1">
      <x:c r="A58" s="3" t="str">
        <x:v>P2-29</x:v>
      </x:c>
      <x:c r="B58" s="3" t="str">
        <x:v>periods</x:v>
      </x:c>
      <x:c r="C58" s="8" t="n">
        <x:f>PayCalculation!E5</x:f>
        <x:v>12</x:v>
      </x:c>
      <x:c r="D58" s="9" t="n">
        <x:v>12</x:v>
      </x:c>
      <x:c r="E58" s="5" t="b">
        <x:f>C58=D58</x:f>
        <x:v>1</x:v>
      </x:c>
    </x:row>
    <x:row r="59" ht="21" customHeight="1">
      <x:c r="A59" s="3" t="str">
        <x:v>P2-29</x:v>
      </x:c>
      <x:c r="B59" s="3" t="str">
        <x:v>overtime_bonus</x:v>
      </x:c>
      <x:c r="C59" s="8" t="n">
        <x:f>PayCalculation!K5</x:f>
        <x:v>0</x:v>
      </x:c>
      <x:c r="D59" s="9" t="n">
        <x:v>0</x:v>
      </x:c>
      <x:c r="E59" s="5" t="b">
        <x:f>C59=D59</x:f>
        <x:v>1</x:v>
      </x:c>
    </x:row>
    <x:row r="60" ht="21" customHeight="1">
      <x:c r="A60" s="3" t="str">
        <x:v>P2-29</x:v>
      </x:c>
      <x:c r="B60" s="3" t="str">
        <x:v>net</x:v>
      </x:c>
      <x:c r="C60" s="8" t="n">
        <x:f>PayCalculation!L5</x:f>
        <x:v>20050000</x:v>
      </x:c>
      <x:c r="D60" s="9" t="n">
        <x:v>20050000</x:v>
      </x:c>
      <x:c r="E60" s="5" t="b">
        <x:f>C60=D60</x:f>
        <x:v>1</x:v>
      </x:c>
    </x:row>
    <x:row r="61" ht="21" customHeight="1">
      <x:c r="A61" s="3" t="str">
        <x:v>P2-30</x:v>
      </x:c>
      <x:c r="B61" s="3" t="str">
        <x:v>periods</x:v>
      </x:c>
      <x:c r="C61" s="8" t="n">
        <x:f>PayCalculation!E6</x:f>
        <x:v>12</x:v>
      </x:c>
      <x:c r="D61" s="9" t="n">
        <x:v>12</x:v>
      </x:c>
      <x:c r="E61" s="5" t="b">
        <x:f>C61=D61</x:f>
        <x:v>1</x:v>
      </x:c>
    </x:row>
    <x:row r="62" ht="21" customHeight="1">
      <x:c r="A62" s="3" t="str">
        <x:v>P2-30</x:v>
      </x:c>
      <x:c r="B62" s="3" t="str">
        <x:v>overtime_bonus</x:v>
      </x:c>
      <x:c r="C62" s="8" t="n">
        <x:f>PayCalculation!K6</x:f>
        <x:v>0</x:v>
      </x:c>
      <x:c r="D62" s="9" t="n">
        <x:v>0</x:v>
      </x:c>
      <x:c r="E62" s="5" t="b">
        <x:f>C62=D62</x:f>
        <x:v>1</x:v>
      </x:c>
    </x:row>
    <x:row r="63" ht="21" customHeight="1">
      <x:c r="A63" s="3" t="str">
        <x:v>P2-30</x:v>
      </x:c>
      <x:c r="B63" s="3" t="str">
        <x:v>net</x:v>
      </x:c>
      <x:c r="C63" s="8" t="n">
        <x:f>PayCalculation!L6</x:f>
        <x:v>18207500</x:v>
      </x:c>
      <x:c r="D63" s="9" t="n">
        <x:v>18207500</x:v>
      </x:c>
      <x:c r="E63" s="5" t="b">
        <x:f>C63=D63</x:f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1" t="str">
        <x:v>Students</x:v>
      </x:c>
    </x:row>
    <x:row r="2">
      <x:c r="A2" t="str">
        <x:v>2c4110a:mcp-academic/data/sample/students.csv</x:v>
      </x:c>
    </x:row>
    <x:row r="3">
      <x:c r="A3" t="str">
        <x:v>CSV values start on row 5. Blue inputs, black calculations. Sources and hashes: reference-manifest.json.</x:v>
      </x:c>
    </x:row>
    <x:row r="4" ht="21" customHeight="1">
      <x:c r="A4" s="7" t="str">
        <x:v>student_id</x:v>
      </x:c>
      <x:c r="B4" s="7" t="str">
        <x:v>full_name</x:v>
      </x:c>
      <x:c r="C4" s="7" t="str">
        <x:v>gender</x:v>
      </x:c>
      <x:c r="D4" s="7" t="str">
        <x:v>date_of_birth</x:v>
      </x:c>
      <x:c r="E4" s="7" t="str">
        <x:v>class_id</x:v>
      </x:c>
      <x:c r="F4" s="7" t="str">
        <x:v>faculty</x:v>
      </x:c>
      <x:c r="G4" s="7" t="str">
        <x:v>enrollment_year</x:v>
      </x:c>
      <x:c r="H4" s="7" t="str">
        <x:v>email</x:v>
      </x:c>
    </x:row>
    <x:row r="5" ht="21" customHeight="1">
      <x:c r="A5" s="3" t="str">
        <x:v>2201001</x:v>
      </x:c>
      <x:c r="B5" s="3" t="str">
        <x:v>Bùi Quốc Hải</x:v>
      </x:c>
      <x:c r="C5" s="3" t="str">
        <x:v>Male</x:v>
      </x:c>
      <x:c r="D5" s="3" t="str">
        <x:v>2004-04-18</x:v>
      </x:c>
      <x:c r="E5" s="3" t="str">
        <x:v>IT01</x:v>
      </x:c>
      <x:c r="F5" s="3" t="str">
        <x:v>Information Technology</x:v>
      </x:c>
      <x:c r="G5" s="3" t="str">
        <x:v>2022</x:v>
      </x:c>
      <x:c r="H5" s="3" t="str">
        <x:v>hai.2201001@example.edu.vn</x:v>
      </x:c>
    </x:row>
    <x:row r="6" ht="21" customHeight="1">
      <x:c r="A6" s="3" t="str">
        <x:v>2201002</x:v>
      </x:c>
      <x:c r="B6" s="3" t="str">
        <x:v>Nguyễn Mai Vy</x:v>
      </x:c>
      <x:c r="C6" s="3" t="str">
        <x:v>Female</x:v>
      </x:c>
      <x:c r="D6" s="3" t="str">
        <x:v>2004-09-04</x:v>
      </x:c>
      <x:c r="E6" s="3" t="str">
        <x:v>IT01</x:v>
      </x:c>
      <x:c r="F6" s="3" t="str">
        <x:v>Information Technology</x:v>
      </x:c>
      <x:c r="G6" s="3" t="str">
        <x:v>2022</x:v>
      </x:c>
      <x:c r="H6" s="3" t="str">
        <x:v>vy.2201002@example.edu.vn</x:v>
      </x:c>
    </x:row>
    <x:row r="7" ht="21" customHeight="1">
      <x:c r="A7" s="3" t="str">
        <x:v>2201003</x:v>
      </x:c>
      <x:c r="B7" s="3" t="str">
        <x:v>Võ Hoàng Bình</x:v>
      </x:c>
      <x:c r="C7" s="3" t="str">
        <x:v>Male</x:v>
      </x:c>
      <x:c r="D7" s="3" t="str">
        <x:v>2004-11-23</x:v>
      </x:c>
      <x:c r="E7" s="3" t="str">
        <x:v>IT01</x:v>
      </x:c>
      <x:c r="F7" s="3" t="str">
        <x:v>Information Technology</x:v>
      </x:c>
      <x:c r="G7" s="3" t="str">
        <x:v>2022</x:v>
      </x:c>
      <x:c r="H7" s="3" t="str">
        <x:v>binh.2201003@example.edu.vn</x:v>
      </x:c>
    </x:row>
    <x:row r="8" ht="21" customHeight="1">
      <x:c r="A8" s="3" t="str">
        <x:v>2201004</x:v>
      </x:c>
      <x:c r="B8" s="3" t="str">
        <x:v>Hoàng Văn Tuấn</x:v>
      </x:c>
      <x:c r="C8" s="3" t="str">
        <x:v>Male</x:v>
      </x:c>
      <x:c r="D8" s="3" t="str">
        <x:v>2004-10-10</x:v>
      </x:c>
      <x:c r="E8" s="3" t="str">
        <x:v>IT01</x:v>
      </x:c>
      <x:c r="F8" s="3" t="str">
        <x:v>Information Technology</x:v>
      </x:c>
      <x:c r="G8" s="3" t="str">
        <x:v>2022</x:v>
      </x:c>
      <x:c r="H8" s="3" t="str">
        <x:v>tuan.2201004@example.edu.vn</x:v>
      </x:c>
    </x:row>
    <x:row r="9" ht="21" customHeight="1">
      <x:c r="A9" s="3" t="str">
        <x:v>2201005</x:v>
      </x:c>
      <x:c r="B9" s="3" t="str">
        <x:v>Trần Thị Lan</x:v>
      </x:c>
      <x:c r="C9" s="3" t="str">
        <x:v>Female</x:v>
      </x:c>
      <x:c r="D9" s="3" t="str">
        <x:v>2004-06-08</x:v>
      </x:c>
      <x:c r="E9" s="3" t="str">
        <x:v>IT01</x:v>
      </x:c>
      <x:c r="F9" s="3" t="str">
        <x:v>Information Technology</x:v>
      </x:c>
      <x:c r="G9" s="3" t="str">
        <x:v>2022</x:v>
      </x:c>
      <x:c r="H9" s="3" t="str">
        <x:v>lan.2201005@example.edu.vn</x:v>
      </x:c>
    </x:row>
    <x:row r="10" ht="21" customHeight="1">
      <x:c r="A10" s="3" t="str">
        <x:v>2201006</x:v>
      </x:c>
      <x:c r="B10" s="3" t="str">
        <x:v>Phạm Ngọc Vy</x:v>
      </x:c>
      <x:c r="C10" s="3" t="str">
        <x:v>Female</x:v>
      </x:c>
      <x:c r="D10" s="3" t="str">
        <x:v>2004-11-10</x:v>
      </x:c>
      <x:c r="E10" s="3" t="str">
        <x:v>IT01</x:v>
      </x:c>
      <x:c r="F10" s="3" t="str">
        <x:v>Information Technology</x:v>
      </x:c>
      <x:c r="G10" s="3" t="str">
        <x:v>2022</x:v>
      </x:c>
      <x:c r="H10" s="3" t="str">
        <x:v>vy.2201006@example.edu.vn</x:v>
      </x:c>
    </x:row>
    <x:row r="11" ht="21" customHeight="1">
      <x:c r="A11" s="3" t="str">
        <x:v>2201007</x:v>
      </x:c>
      <x:c r="B11" s="3" t="str">
        <x:v>Trần Văn Cường</x:v>
      </x:c>
      <x:c r="C11" s="3" t="str">
        <x:v>Male</x:v>
      </x:c>
      <x:c r="D11" s="3" t="str">
        <x:v>2004-09-18</x:v>
      </x:c>
      <x:c r="E11" s="3" t="str">
        <x:v>IT01</x:v>
      </x:c>
      <x:c r="F11" s="3" t="str">
        <x:v>Information Technology</x:v>
      </x:c>
      <x:c r="G11" s="3" t="str">
        <x:v>2022</x:v>
      </x:c>
      <x:c r="H11" s="3" t="str">
        <x:v>cuong.2201007@example.edu.vn</x:v>
      </x:c>
    </x:row>
    <x:row r="12" ht="21" customHeight="1">
      <x:c r="A12" s="3" t="str">
        <x:v>2201008</x:v>
      </x:c>
      <x:c r="B12" s="3" t="str">
        <x:v>Lê Văn Bình</x:v>
      </x:c>
      <x:c r="C12" s="3" t="str">
        <x:v>Male</x:v>
      </x:c>
      <x:c r="D12" s="3" t="str">
        <x:v>2004-12-16</x:v>
      </x:c>
      <x:c r="E12" s="3" t="str">
        <x:v>IT01</x:v>
      </x:c>
      <x:c r="F12" s="3" t="str">
        <x:v>Information Technology</x:v>
      </x:c>
      <x:c r="G12" s="3" t="str">
        <x:v>2022</x:v>
      </x:c>
      <x:c r="H12" s="3" t="str">
        <x:v>binh.2201008@example.edu.vn</x:v>
      </x:c>
    </x:row>
    <x:row r="13" ht="21" customHeight="1">
      <x:c r="A13" s="3" t="str">
        <x:v>2201009</x:v>
      </x:c>
      <x:c r="B13" s="3" t="str">
        <x:v>Đỗ Thu Anh</x:v>
      </x:c>
      <x:c r="C13" s="3" t="str">
        <x:v>Female</x:v>
      </x:c>
      <x:c r="D13" s="3" t="str">
        <x:v>2004-04-10</x:v>
      </x:c>
      <x:c r="E13" s="3" t="str">
        <x:v>IT01</x:v>
      </x:c>
      <x:c r="F13" s="3" t="str">
        <x:v>Information Technology</x:v>
      </x:c>
      <x:c r="G13" s="3" t="str">
        <x:v>2022</x:v>
      </x:c>
      <x:c r="H13" s="3" t="str">
        <x:v>anh.2201009@example.edu.vn</x:v>
      </x:c>
    </x:row>
    <x:row r="14" ht="21" customHeight="1">
      <x:c r="A14" s="3" t="str">
        <x:v>2201010</x:v>
      </x:c>
      <x:c r="B14" s="3" t="str">
        <x:v>Trần Đức Phúc</x:v>
      </x:c>
      <x:c r="C14" s="3" t="str">
        <x:v>Male</x:v>
      </x:c>
      <x:c r="D14" s="3" t="str">
        <x:v>2004-07-02</x:v>
      </x:c>
      <x:c r="E14" s="3" t="str">
        <x:v>IT01</x:v>
      </x:c>
      <x:c r="F14" s="3" t="str">
        <x:v>Information Technology</x:v>
      </x:c>
      <x:c r="G14" s="3" t="str">
        <x:v>2022</x:v>
      </x:c>
      <x:c r="H14" s="3" t="str">
        <x:v>phuc.2201010@example.edu.vn</x:v>
      </x:c>
    </x:row>
    <x:row r="15" ht="21" customHeight="1">
      <x:c r="A15" s="3" t="str">
        <x:v>2201011</x:v>
      </x:c>
      <x:c r="B15" s="3" t="str">
        <x:v>Trần Hoàng Tuấn</x:v>
      </x:c>
      <x:c r="C15" s="3" t="str">
        <x:v>Male</x:v>
      </x:c>
      <x:c r="D15" s="3" t="str">
        <x:v>2004-07-15</x:v>
      </x:c>
      <x:c r="E15" s="3" t="str">
        <x:v>IT02</x:v>
      </x:c>
      <x:c r="F15" s="3" t="str">
        <x:v>Information Technology</x:v>
      </x:c>
      <x:c r="G15" s="3" t="str">
        <x:v>2022</x:v>
      </x:c>
      <x:c r="H15" s="3" t="str">
        <x:v>tuan.2201011@example.edu.vn</x:v>
      </x:c>
    </x:row>
    <x:row r="16" ht="21" customHeight="1">
      <x:c r="A16" s="3" t="str">
        <x:v>2201012</x:v>
      </x:c>
      <x:c r="B16" s="3" t="str">
        <x:v>Bùi Đức Bình</x:v>
      </x:c>
      <x:c r="C16" s="3" t="str">
        <x:v>Male</x:v>
      </x:c>
      <x:c r="D16" s="3" t="str">
        <x:v>2004-08-15</x:v>
      </x:c>
      <x:c r="E16" s="3" t="str">
        <x:v>IT02</x:v>
      </x:c>
      <x:c r="F16" s="3" t="str">
        <x:v>Information Technology</x:v>
      </x:c>
      <x:c r="G16" s="3" t="str">
        <x:v>2022</x:v>
      </x:c>
      <x:c r="H16" s="3" t="str">
        <x:v>binh.2201012@example.edu.vn</x:v>
      </x:c>
    </x:row>
    <x:row r="17" ht="21" customHeight="1">
      <x:c r="A17" s="3" t="str">
        <x:v>2201013</x:v>
      </x:c>
      <x:c r="B17" s="3" t="str">
        <x:v>Nguyễn Văn An</x:v>
      </x:c>
      <x:c r="C17" s="3" t="str">
        <x:v>Male</x:v>
      </x:c>
      <x:c r="D17" s="3" t="str">
        <x:v>2004-04-04</x:v>
      </x:c>
      <x:c r="E17" s="3" t="str">
        <x:v>IT02</x:v>
      </x:c>
      <x:c r="F17" s="3" t="str">
        <x:v>Information Technology</x:v>
      </x:c>
      <x:c r="G17" s="3" t="str">
        <x:v>2022</x:v>
      </x:c>
      <x:c r="H17" s="3" t="str">
        <x:v>an.2201013@example.edu.vn</x:v>
      </x:c>
    </x:row>
    <x:row r="18" ht="21" customHeight="1">
      <x:c r="A18" s="3" t="str">
        <x:v>2201014</x:v>
      </x:c>
      <x:c r="B18" s="3" t="str">
        <x:v>Bùi Đức Phúc</x:v>
      </x:c>
      <x:c r="C18" s="3" t="str">
        <x:v>Male</x:v>
      </x:c>
      <x:c r="D18" s="3" t="str">
        <x:v>2004-04-08</x:v>
      </x:c>
      <x:c r="E18" s="3" t="str">
        <x:v>IT02</x:v>
      </x:c>
      <x:c r="F18" s="3" t="str">
        <x:v>Information Technology</x:v>
      </x:c>
      <x:c r="G18" s="3" t="str">
        <x:v>2022</x:v>
      </x:c>
      <x:c r="H18" s="3" t="str">
        <x:v>phuc.2201014@example.edu.vn</x:v>
      </x:c>
    </x:row>
    <x:row r="19" ht="21" customHeight="1">
      <x:c r="A19" s="3" t="str">
        <x:v>2201015</x:v>
      </x:c>
      <x:c r="B19" s="3" t="str">
        <x:v>Bùi Bảo Trang</x:v>
      </x:c>
      <x:c r="C19" s="3" t="str">
        <x:v>Female</x:v>
      </x:c>
      <x:c r="D19" s="3" t="str">
        <x:v>2004-01-28</x:v>
      </x:c>
      <x:c r="E19" s="3" t="str">
        <x:v>IT02</x:v>
      </x:c>
      <x:c r="F19" s="3" t="str">
        <x:v>Information Technology</x:v>
      </x:c>
      <x:c r="G19" s="3" t="str">
        <x:v>2022</x:v>
      </x:c>
      <x:c r="H19" s="3" t="str">
        <x:v>trang.2201015@example.edu.vn</x:v>
      </x:c>
    </x:row>
    <x:row r="20" ht="21" customHeight="1">
      <x:c r="A20" s="3" t="str">
        <x:v>2201016</x:v>
      </x:c>
      <x:c r="B20" s="3" t="str">
        <x:v>Đặng Thị Anh</x:v>
      </x:c>
      <x:c r="C20" s="3" t="str">
        <x:v>Female</x:v>
      </x:c>
      <x:c r="D20" s="3" t="str">
        <x:v>2004-01-05</x:v>
      </x:c>
      <x:c r="E20" s="3" t="str">
        <x:v>IT02</x:v>
      </x:c>
      <x:c r="F20" s="3" t="str">
        <x:v>Information Technology</x:v>
      </x:c>
      <x:c r="G20" s="3" t="str">
        <x:v>2022</x:v>
      </x:c>
      <x:c r="H20" s="3" t="str">
        <x:v>anh.2201016@example.edu.vn</x:v>
      </x:c>
    </x:row>
    <x:row r="21" ht="21" customHeight="1">
      <x:c r="A21" s="3" t="str">
        <x:v>2201017</x:v>
      </x:c>
      <x:c r="B21" s="3" t="str">
        <x:v>Bùi Hoàng Long</x:v>
      </x:c>
      <x:c r="C21" s="3" t="str">
        <x:v>Male</x:v>
      </x:c>
      <x:c r="D21" s="3" t="str">
        <x:v>2004-03-19</x:v>
      </x:c>
      <x:c r="E21" s="3" t="str">
        <x:v>IT02</x:v>
      </x:c>
      <x:c r="F21" s="3" t="str">
        <x:v>Information Technology</x:v>
      </x:c>
      <x:c r="G21" s="3" t="str">
        <x:v>2022</x:v>
      </x:c>
      <x:c r="H21" s="3" t="str">
        <x:v>long.2201017@example.edu.vn</x:v>
      </x:c>
    </x:row>
    <x:row r="22" ht="21" customHeight="1">
      <x:c r="A22" s="3" t="str">
        <x:v>2201018</x:v>
      </x:c>
      <x:c r="B22" s="3" t="str">
        <x:v>Đặng Minh Long</x:v>
      </x:c>
      <x:c r="C22" s="3" t="str">
        <x:v>Male</x:v>
      </x:c>
      <x:c r="D22" s="3" t="str">
        <x:v>2004-06-06</x:v>
      </x:c>
      <x:c r="E22" s="3" t="str">
        <x:v>IT02</x:v>
      </x:c>
      <x:c r="F22" s="3" t="str">
        <x:v>Information Technology</x:v>
      </x:c>
      <x:c r="G22" s="3" t="str">
        <x:v>2022</x:v>
      </x:c>
      <x:c r="H22" s="3" t="str">
        <x:v>long.2201018@example.edu.vn</x:v>
      </x:c>
    </x:row>
    <x:row r="23" ht="21" customHeight="1">
      <x:c r="A23" s="3" t="str">
        <x:v>2201019</x:v>
      </x:c>
      <x:c r="B23" s="3" t="str">
        <x:v>Hoàng Thu Trang</x:v>
      </x:c>
      <x:c r="C23" s="3" t="str">
        <x:v>Female</x:v>
      </x:c>
      <x:c r="D23" s="3" t="str">
        <x:v>2004-09-19</x:v>
      </x:c>
      <x:c r="E23" s="3" t="str">
        <x:v>IT02</x:v>
      </x:c>
      <x:c r="F23" s="3" t="str">
        <x:v>Information Technology</x:v>
      </x:c>
      <x:c r="G23" s="3" t="str">
        <x:v>2022</x:v>
      </x:c>
      <x:c r="H23" s="3" t="str">
        <x:v>trang.2201019@example.edu.vn</x:v>
      </x:c>
    </x:row>
    <x:row r="24" ht="21" customHeight="1">
      <x:c r="A24" s="3" t="str">
        <x:v>2201020</x:v>
      </x:c>
      <x:c r="B24" s="3" t="str">
        <x:v>Phạm Mai Trang</x:v>
      </x:c>
      <x:c r="C24" s="3" t="str">
        <x:v>Female</x:v>
      </x:c>
      <x:c r="D24" s="3" t="str">
        <x:v>2004-08-18</x:v>
      </x:c>
      <x:c r="E24" s="3" t="str">
        <x:v>IT02</x:v>
      </x:c>
      <x:c r="F24" s="3" t="str">
        <x:v>Information Technology</x:v>
      </x:c>
      <x:c r="G24" s="3" t="str">
        <x:v>2022</x:v>
      </x:c>
      <x:c r="H24" s="3" t="str">
        <x:v>trang.2201020@example.edu.vn</x:v>
      </x:c>
    </x:row>
    <x:row r="25" ht="21" customHeight="1">
      <x:c r="A25" s="3" t="str">
        <x:v>2202001</x:v>
      </x:c>
      <x:c r="B25" s="3" t="str">
        <x:v>Đặng Quốc Khoa</x:v>
      </x:c>
      <x:c r="C25" s="3" t="str">
        <x:v>Male</x:v>
      </x:c>
      <x:c r="D25" s="3" t="str">
        <x:v>2004-06-27</x:v>
      </x:c>
      <x:c r="E25" s="3" t="str">
        <x:v>BA01</x:v>
      </x:c>
      <x:c r="F25" s="3" t="str">
        <x:v>Business Administration</x:v>
      </x:c>
      <x:c r="G25" s="3" t="str">
        <x:v>2022</x:v>
      </x:c>
      <x:c r="H25" s="3" t="str">
        <x:v>khoa.2202001@example.edu.vn</x:v>
      </x:c>
    </x:row>
    <x:row r="26" ht="21" customHeight="1">
      <x:c r="A26" s="3" t="str">
        <x:v>2202002</x:v>
      </x:c>
      <x:c r="B26" s="3" t="str">
        <x:v>Phạm Thị Lan</x:v>
      </x:c>
      <x:c r="C26" s="3" t="str">
        <x:v>Female</x:v>
      </x:c>
      <x:c r="D26" s="3" t="str">
        <x:v>2004-04-08</x:v>
      </x:c>
      <x:c r="E26" s="3" t="str">
        <x:v>BA01</x:v>
      </x:c>
      <x:c r="F26" s="3" t="str">
        <x:v>Business Administration</x:v>
      </x:c>
      <x:c r="G26" s="3" t="str">
        <x:v>2022</x:v>
      </x:c>
      <x:c r="H26" s="3" t="str">
        <x:v>lan.2202002@example.edu.vn</x:v>
      </x:c>
    </x:row>
    <x:row r="27" ht="21" customHeight="1">
      <x:c r="A27" s="3" t="str">
        <x:v>2202003</x:v>
      </x:c>
      <x:c r="B27" s="3" t="str">
        <x:v>Huỳnh Hoàng Bình</x:v>
      </x:c>
      <x:c r="C27" s="3" t="str">
        <x:v>Male</x:v>
      </x:c>
      <x:c r="D27" s="3" t="str">
        <x:v>2004-11-14</x:v>
      </x:c>
      <x:c r="E27" s="3" t="str">
        <x:v>BA01</x:v>
      </x:c>
      <x:c r="F27" s="3" t="str">
        <x:v>Business Administration</x:v>
      </x:c>
      <x:c r="G27" s="3" t="str">
        <x:v>2022</x:v>
      </x:c>
      <x:c r="H27" s="3" t="str">
        <x:v>binh.2202003@example.edu.vn</x:v>
      </x:c>
    </x:row>
    <x:row r="28" ht="21" customHeight="1">
      <x:c r="A28" s="3" t="str">
        <x:v>2202004</x:v>
      </x:c>
      <x:c r="B28" s="3" t="str">
        <x:v>Hoàng Đức Cường</x:v>
      </x:c>
      <x:c r="C28" s="3" t="str">
        <x:v>Male</x:v>
      </x:c>
      <x:c r="D28" s="3" t="str">
        <x:v>2004-08-13</x:v>
      </x:c>
      <x:c r="E28" s="3" t="str">
        <x:v>BA01</x:v>
      </x:c>
      <x:c r="F28" s="3" t="str">
        <x:v>Business Administration</x:v>
      </x:c>
      <x:c r="G28" s="3" t="str">
        <x:v>2022</x:v>
      </x:c>
      <x:c r="H28" s="3" t="str">
        <x:v>cuong.2202004@example.edu.vn</x:v>
      </x:c>
    </x:row>
    <x:row r="29" ht="21" customHeight="1">
      <x:c r="A29" s="3" t="str">
        <x:v>2202005</x:v>
      </x:c>
      <x:c r="B29" s="3" t="str">
        <x:v>Bùi Thị Hương</x:v>
      </x:c>
      <x:c r="C29" s="3" t="str">
        <x:v>Female</x:v>
      </x:c>
      <x:c r="D29" s="3" t="str">
        <x:v>2004-02-20</x:v>
      </x:c>
      <x:c r="E29" s="3" t="str">
        <x:v>BA01</x:v>
      </x:c>
      <x:c r="F29" s="3" t="str">
        <x:v>Business Administration</x:v>
      </x:c>
      <x:c r="G29" s="3" t="str">
        <x:v>2022</x:v>
      </x:c>
      <x:c r="H29" s="3" t="str">
        <x:v>huong.2202005@example.edu.vn</x:v>
      </x:c>
    </x:row>
    <x:row r="30" ht="21" customHeight="1">
      <x:c r="A30" s="3" t="str">
        <x:v>2202006</x:v>
      </x:c>
      <x:c r="B30" s="3" t="str">
        <x:v>Trần Thu Linh</x:v>
      </x:c>
      <x:c r="C30" s="3" t="str">
        <x:v>Female</x:v>
      </x:c>
      <x:c r="D30" s="3" t="str">
        <x:v>2004-04-28</x:v>
      </x:c>
      <x:c r="E30" s="3" t="str">
        <x:v>BA01</x:v>
      </x:c>
      <x:c r="F30" s="3" t="str">
        <x:v>Business Administration</x:v>
      </x:c>
      <x:c r="G30" s="3" t="str">
        <x:v>2022</x:v>
      </x:c>
      <x:c r="H30" s="3" t="str">
        <x:v>linh.2202006@example.edu.vn</x:v>
      </x:c>
    </x:row>
    <x:row r="31" ht="21" customHeight="1">
      <x:c r="A31" s="3" t="str">
        <x:v>2202007</x:v>
      </x:c>
      <x:c r="B31" s="3" t="str">
        <x:v>Nguyễn Minh Khoa</x:v>
      </x:c>
      <x:c r="C31" s="3" t="str">
        <x:v>Male</x:v>
      </x:c>
      <x:c r="D31" s="3" t="str">
        <x:v>2004-02-20</x:v>
      </x:c>
      <x:c r="E31" s="3" t="str">
        <x:v>BA01</x:v>
      </x:c>
      <x:c r="F31" s="3" t="str">
        <x:v>Business Administration</x:v>
      </x:c>
      <x:c r="G31" s="3" t="str">
        <x:v>2022</x:v>
      </x:c>
      <x:c r="H31" s="3" t="str">
        <x:v>khoa.2202007@example.edu.vn</x:v>
      </x:c>
    </x:row>
    <x:row r="32" ht="21" customHeight="1">
      <x:c r="A32" s="3" t="str">
        <x:v>2202008</x:v>
      </x:c>
      <x:c r="B32" s="3" t="str">
        <x:v>Đặng Bảo Vy</x:v>
      </x:c>
      <x:c r="C32" s="3" t="str">
        <x:v>Female</x:v>
      </x:c>
      <x:c r="D32" s="3" t="str">
        <x:v>2004-02-20</x:v>
      </x:c>
      <x:c r="E32" s="3" t="str">
        <x:v>BA01</x:v>
      </x:c>
      <x:c r="F32" s="3" t="str">
        <x:v>Business Administration</x:v>
      </x:c>
      <x:c r="G32" s="3" t="str">
        <x:v>2022</x:v>
      </x:c>
      <x:c r="H32" s="3" t="str">
        <x:v>vy.2202008@example.edu.vn</x:v>
      </x:c>
    </x:row>
    <x:row r="33" ht="21" customHeight="1">
      <x:c r="A33" s="3" t="str">
        <x:v>2202009</x:v>
      </x:c>
      <x:c r="B33" s="3" t="str">
        <x:v>Đặng Thu Hà</x:v>
      </x:c>
      <x:c r="C33" s="3" t="str">
        <x:v>Female</x:v>
      </x:c>
      <x:c r="D33" s="3" t="str">
        <x:v>2004-04-20</x:v>
      </x:c>
      <x:c r="E33" s="3" t="str">
        <x:v>BA01</x:v>
      </x:c>
      <x:c r="F33" s="3" t="str">
        <x:v>Business Administration</x:v>
      </x:c>
      <x:c r="G33" s="3" t="str">
        <x:v>2022</x:v>
      </x:c>
      <x:c r="H33" s="3" t="str">
        <x:v>ha.2202009@example.edu.vn</x:v>
      </x:c>
    </x:row>
    <x:row r="34" ht="21" customHeight="1">
      <x:c r="A34" s="3" t="str">
        <x:v>2202010</x:v>
      </x:c>
      <x:c r="B34" s="3" t="str">
        <x:v>Phạm Văn Long</x:v>
      </x:c>
      <x:c r="C34" s="3" t="str">
        <x:v>Male</x:v>
      </x:c>
      <x:c r="D34" s="3" t="str">
        <x:v>2004-11-15</x:v>
      </x:c>
      <x:c r="E34" s="3" t="str">
        <x:v>BA01</x:v>
      </x:c>
      <x:c r="F34" s="3" t="str">
        <x:v>Business Administration</x:v>
      </x:c>
      <x:c r="G34" s="3" t="str">
        <x:v>2022</x:v>
      </x:c>
      <x:c r="H34" s="3" t="str">
        <x:v>long.2202010@example.edu.vn</x:v>
      </x:c>
    </x:row>
    <x:row r="35" ht="21" customHeight="1">
      <x:c r="A35" s="3" t="str">
        <x:v>2202011</x:v>
      </x:c>
      <x:c r="B35" s="3" t="str">
        <x:v>Đặng Văn Nam</x:v>
      </x:c>
      <x:c r="C35" s="3" t="str">
        <x:v>Male</x:v>
      </x:c>
      <x:c r="D35" s="3" t="str">
        <x:v>2004-05-08</x:v>
      </x:c>
      <x:c r="E35" s="3" t="str">
        <x:v>BA02</x:v>
      </x:c>
      <x:c r="F35" s="3" t="str">
        <x:v>Business Administration</x:v>
      </x:c>
      <x:c r="G35" s="3" t="str">
        <x:v>2022</x:v>
      </x:c>
      <x:c r="H35" s="3" t="str">
        <x:v>nam.2202011@example.edu.vn</x:v>
      </x:c>
    </x:row>
    <x:row r="36" ht="21" customHeight="1">
      <x:c r="A36" s="3" t="str">
        <x:v>2202012</x:v>
      </x:c>
      <x:c r="B36" s="3" t="str">
        <x:v>Võ Hoàng Cường</x:v>
      </x:c>
      <x:c r="C36" s="3" t="str">
        <x:v>Male</x:v>
      </x:c>
      <x:c r="D36" s="3" t="str">
        <x:v>2004-11-08</x:v>
      </x:c>
      <x:c r="E36" s="3" t="str">
        <x:v>BA02</x:v>
      </x:c>
      <x:c r="F36" s="3" t="str">
        <x:v>Business Administration</x:v>
      </x:c>
      <x:c r="G36" s="3" t="str">
        <x:v>2022</x:v>
      </x:c>
      <x:c r="H36" s="3" t="str">
        <x:v>cuong.2202012@example.edu.vn</x:v>
      </x:c>
    </x:row>
    <x:row r="37" ht="21" customHeight="1">
      <x:c r="A37" s="3" t="str">
        <x:v>2202013</x:v>
      </x:c>
      <x:c r="B37" s="3" t="str">
        <x:v>Đỗ Thị Ngân</x:v>
      </x:c>
      <x:c r="C37" s="3" t="str">
        <x:v>Female</x:v>
      </x:c>
      <x:c r="D37" s="3" t="str">
        <x:v>2004-02-05</x:v>
      </x:c>
      <x:c r="E37" s="3" t="str">
        <x:v>BA02</x:v>
      </x:c>
      <x:c r="F37" s="3" t="str">
        <x:v>Business Administration</x:v>
      </x:c>
      <x:c r="G37" s="3" t="str">
        <x:v>2022</x:v>
      </x:c>
      <x:c r="H37" s="3" t="str">
        <x:v>ngan.2202013@example.edu.vn</x:v>
      </x:c>
    </x:row>
    <x:row r="38" ht="21" customHeight="1">
      <x:c r="A38" s="3" t="str">
        <x:v>2202014</x:v>
      </x:c>
      <x:c r="B38" s="3" t="str">
        <x:v>Huỳnh Đức Cường</x:v>
      </x:c>
      <x:c r="C38" s="3" t="str">
        <x:v>Male</x:v>
      </x:c>
      <x:c r="D38" s="3" t="str">
        <x:v>2004-10-25</x:v>
      </x:c>
      <x:c r="E38" s="3" t="str">
        <x:v>BA02</x:v>
      </x:c>
      <x:c r="F38" s="3" t="str">
        <x:v>Business Administration</x:v>
      </x:c>
      <x:c r="G38" s="3" t="str">
        <x:v>2022</x:v>
      </x:c>
      <x:c r="H38" s="3" t="str">
        <x:v>cuong.2202014@example.edu.vn</x:v>
      </x:c>
    </x:row>
    <x:row r="39" ht="21" customHeight="1">
      <x:c r="A39" s="3" t="str">
        <x:v>2202015</x:v>
      </x:c>
      <x:c r="B39" s="3" t="str">
        <x:v>Bùi Ngọc Ngân</x:v>
      </x:c>
      <x:c r="C39" s="3" t="str">
        <x:v>Female</x:v>
      </x:c>
      <x:c r="D39" s="3" t="str">
        <x:v>2004-07-11</x:v>
      </x:c>
      <x:c r="E39" s="3" t="str">
        <x:v>BA02</x:v>
      </x:c>
      <x:c r="F39" s="3" t="str">
        <x:v>Business Administration</x:v>
      </x:c>
      <x:c r="G39" s="3" t="str">
        <x:v>2022</x:v>
      </x:c>
      <x:c r="H39" s="3" t="str">
        <x:v>ngan.2202015@example.edu.vn</x:v>
      </x:c>
    </x:row>
    <x:row r="40" ht="21" customHeight="1">
      <x:c r="A40" s="3" t="str">
        <x:v>2202016</x:v>
      </x:c>
      <x:c r="B40" s="3" t="str">
        <x:v>Nguyễn Bảo Hà</x:v>
      </x:c>
      <x:c r="C40" s="3" t="str">
        <x:v>Female</x:v>
      </x:c>
      <x:c r="D40" s="3" t="str">
        <x:v>2004-11-25</x:v>
      </x:c>
      <x:c r="E40" s="3" t="str">
        <x:v>BA02</x:v>
      </x:c>
      <x:c r="F40" s="3" t="str">
        <x:v>Business Administration</x:v>
      </x:c>
      <x:c r="G40" s="3" t="str">
        <x:v>2022</x:v>
      </x:c>
      <x:c r="H40" s="3" t="str">
        <x:v>ha.2202016@example.edu.vn</x:v>
      </x:c>
    </x:row>
    <x:row r="41" ht="21" customHeight="1">
      <x:c r="A41" s="3" t="str">
        <x:v>2202017</x:v>
      </x:c>
      <x:c r="B41" s="3" t="str">
        <x:v>Đặng Thu My</x:v>
      </x:c>
      <x:c r="C41" s="3" t="str">
        <x:v>Female</x:v>
      </x:c>
      <x:c r="D41" s="3" t="str">
        <x:v>2004-10-01</x:v>
      </x:c>
      <x:c r="E41" s="3" t="str">
        <x:v>BA02</x:v>
      </x:c>
      <x:c r="F41" s="3" t="str">
        <x:v>Business Administration</x:v>
      </x:c>
      <x:c r="G41" s="3" t="str">
        <x:v>2022</x:v>
      </x:c>
      <x:c r="H41" s="3" t="str">
        <x:v>my.2202017@example.edu.vn</x:v>
      </x:c>
    </x:row>
    <x:row r="42" ht="21" customHeight="1">
      <x:c r="A42" s="3" t="str">
        <x:v>2202018</x:v>
      </x:c>
      <x:c r="B42" s="3" t="str">
        <x:v>Huỳnh Bảo Chi</x:v>
      </x:c>
      <x:c r="C42" s="3" t="str">
        <x:v>Female</x:v>
      </x:c>
      <x:c r="D42" s="3" t="str">
        <x:v>2004-08-21</x:v>
      </x:c>
      <x:c r="E42" s="3" t="str">
        <x:v>BA02</x:v>
      </x:c>
      <x:c r="F42" s="3" t="str">
        <x:v>Business Administration</x:v>
      </x:c>
      <x:c r="G42" s="3" t="str">
        <x:v>2022</x:v>
      </x:c>
      <x:c r="H42" s="3" t="str">
        <x:v>chi.2202018@example.edu.vn</x:v>
      </x:c>
    </x:row>
    <x:row r="43" ht="21" customHeight="1">
      <x:c r="A43" s="3" t="str">
        <x:v>2202019</x:v>
      </x:c>
      <x:c r="B43" s="3" t="str">
        <x:v>Võ Hoàng Dũng</x:v>
      </x:c>
      <x:c r="C43" s="3" t="str">
        <x:v>Male</x:v>
      </x:c>
      <x:c r="D43" s="3" t="str">
        <x:v>2004-07-18</x:v>
      </x:c>
      <x:c r="E43" s="3" t="str">
        <x:v>BA02</x:v>
      </x:c>
      <x:c r="F43" s="3" t="str">
        <x:v>Business Administration</x:v>
      </x:c>
      <x:c r="G43" s="3" t="str">
        <x:v>2022</x:v>
      </x:c>
      <x:c r="H43" s="3" t="str">
        <x:v>dung.2202019@example.edu.vn</x:v>
      </x:c>
    </x:row>
    <x:row r="44" ht="21" customHeight="1">
      <x:c r="A44" s="3" t="str">
        <x:v>2202020</x:v>
      </x:c>
      <x:c r="B44" s="3" t="str">
        <x:v>Bùi Quốc Phúc</x:v>
      </x:c>
      <x:c r="C44" s="3" t="str">
        <x:v>Male</x:v>
      </x:c>
      <x:c r="D44" s="3" t="str">
        <x:v>2004-12-15</x:v>
      </x:c>
      <x:c r="E44" s="3" t="str">
        <x:v>BA02</x:v>
      </x:c>
      <x:c r="F44" s="3" t="str">
        <x:v>Business Administration</x:v>
      </x:c>
      <x:c r="G44" s="3" t="str">
        <x:v>2022</x:v>
      </x:c>
      <x:c r="H44" s="3" t="str">
        <x:v>phuc.2202020@example.edu.vn</x:v>
      </x:c>
    </x:row>
    <x:row r="45" ht="21" customHeight="1">
      <x:c r="A45" s="3" t="str">
        <x:v>2201001</x:v>
      </x:c>
      <x:c r="B45" s="3" t="str">
        <x:v>Duplicate Row</x:v>
      </x:c>
      <x:c r="C45" s="3" t="str">
        <x:v>Male</x:v>
      </x:c>
      <x:c r="D45" s="3" t="str">
        <x:v>2004-04-18</x:v>
      </x:c>
      <x:c r="E45" s="3" t="str">
        <x:v>IT01</x:v>
      </x:c>
      <x:c r="F45" s="3" t="str">
        <x:v>Information Technology</x:v>
      </x:c>
      <x:c r="G45" s="3" t="str">
        <x:v>2022</x:v>
      </x:c>
      <x:c r="H45" s="3" t="str">
        <x:v>hai.2201001@example.edu.vn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19" hidden="0" customWidth="1"/>
  </x:cols>
  <x:sheetData>
    <x:row r="1">
      <x:c r="A1" s="1" t="str">
        <x:v>Courses</x:v>
      </x:c>
    </x:row>
    <x:row r="2">
      <x:c r="A2" t="str">
        <x:v>2c4110a:mcp-academic/data/sample/courses.csv</x:v>
      </x:c>
    </x:row>
    <x:row r="3">
      <x:c r="A3" t="str">
        <x:v>CSV values start on row 5. Blue inputs, black calculations. Sources and hashes: reference-manifest.json.</x:v>
      </x:c>
    </x:row>
    <x:row r="4" ht="21" customHeight="1">
      <x:c r="A4" s="7" t="str">
        <x:v>course_id</x:v>
      </x:c>
      <x:c r="B4" s="7" t="str">
        <x:v>course_name</x:v>
      </x:c>
      <x:c r="C4" s="7" t="str">
        <x:v>credits</x:v>
      </x:c>
      <x:c r="D4" s="7" t="str">
        <x:v>faculty</x:v>
      </x:c>
    </x:row>
    <x:row r="5" ht="21" customHeight="1">
      <x:c r="A5" s="3" t="str">
        <x:v>GE101</x:v>
      </x:c>
      <x:c r="B5" s="3" t="str">
        <x:v>English 1</x:v>
      </x:c>
      <x:c r="C5" s="3" t="n">
        <x:v>2</x:v>
      </x:c>
      <x:c r="D5" s="3" t="str">
        <x:v>General Education</x:v>
      </x:c>
    </x:row>
    <x:row r="6" ht="21" customHeight="1">
      <x:c r="A6" s="3" t="str">
        <x:v>GE102</x:v>
      </x:c>
      <x:c r="B6" s="3" t="str">
        <x:v>Calculus</x:v>
      </x:c>
      <x:c r="C6" s="3" t="n">
        <x:v>3</x:v>
      </x:c>
      <x:c r="D6" s="3" t="str">
        <x:v>General Education</x:v>
      </x:c>
    </x:row>
    <x:row r="7" ht="21" customHeight="1">
      <x:c r="A7" s="3" t="str">
        <x:v>CS101</x:v>
      </x:c>
      <x:c r="B7" s="3" t="str">
        <x:v>Introduction to Programming</x:v>
      </x:c>
      <x:c r="C7" s="3" t="n">
        <x:v>3</x:v>
      </x:c>
      <x:c r="D7" s="3" t="str">
        <x:v>Information Technology</x:v>
      </x:c>
    </x:row>
    <x:row r="8" ht="21" customHeight="1">
      <x:c r="A8" s="3" t="str">
        <x:v>CS102</x:v>
      </x:c>
      <x:c r="B8" s="3" t="str">
        <x:v>Data Structures</x:v>
      </x:c>
      <x:c r="C8" s="3" t="n">
        <x:v>3</x:v>
      </x:c>
      <x:c r="D8" s="3" t="str">
        <x:v>Information Technology</x:v>
      </x:c>
    </x:row>
    <x:row r="9" ht="21" customHeight="1">
      <x:c r="A9" s="3" t="str">
        <x:v>CS201</x:v>
      </x:c>
      <x:c r="B9" s="3" t="str">
        <x:v>Databases</x:v>
      </x:c>
      <x:c r="C9" s="3" t="n">
        <x:v>4</x:v>
      </x:c>
      <x:c r="D9" s="3" t="str">
        <x:v>Information Technology</x:v>
      </x:c>
    </x:row>
    <x:row r="10" ht="21" customHeight="1">
      <x:c r="A10" s="3" t="str">
        <x:v>CS202</x:v>
      </x:c>
      <x:c r="B10" s="3" t="str">
        <x:v>Computer Networks</x:v>
      </x:c>
      <x:c r="C10" s="3" t="n">
        <x:v>3</x:v>
      </x:c>
      <x:c r="D10" s="3" t="str">
        <x:v>Information Technology</x:v>
      </x:c>
    </x:row>
    <x:row r="11" ht="21" customHeight="1">
      <x:c r="A11" s="3" t="str">
        <x:v>BA101</x:v>
      </x:c>
      <x:c r="B11" s="3" t="str">
        <x:v>Principles of Management</x:v>
      </x:c>
      <x:c r="C11" s="3" t="n">
        <x:v>3</x:v>
      </x:c>
      <x:c r="D11" s="3" t="str">
        <x:v>Business Administration</x:v>
      </x:c>
    </x:row>
    <x:row r="12" ht="21" customHeight="1">
      <x:c r="A12" s="3" t="str">
        <x:v>BA102</x:v>
      </x:c>
      <x:c r="B12" s="3" t="str">
        <x:v>Microeconomics</x:v>
      </x:c>
      <x:c r="C12" s="3" t="n">
        <x:v>3</x:v>
      </x:c>
      <x:c r="D12" s="3" t="str">
        <x:v>Business Administration</x:v>
      </x:c>
    </x:row>
    <x:row r="13" ht="21" customHeight="1">
      <x:c r="A13" s="3" t="str">
        <x:v>BA201</x:v>
      </x:c>
      <x:c r="B13" s="3" t="str">
        <x:v>Marketing</x:v>
      </x:c>
      <x:c r="C13" s="3" t="n">
        <x:v>4</x:v>
      </x:c>
      <x:c r="D13" s="3" t="str">
        <x:v>Business Administration</x:v>
      </x:c>
    </x:row>
    <x:row r="14" ht="21" customHeight="1">
      <x:c r="A14" s="3" t="str">
        <x:v>BA202</x:v>
      </x:c>
      <x:c r="B14" s="3" t="str">
        <x:v>Business Statistics</x:v>
      </x:c>
      <x:c r="C14" s="3" t="n">
        <x:v>3</x:v>
      </x:c>
      <x:c r="D14" s="3" t="str">
        <x:v>Business Administration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>
      <x:c r="A1" s="1" t="str">
        <x:v>Teachers</x:v>
      </x:c>
    </x:row>
    <x:row r="2">
      <x:c r="A2" t="str">
        <x:v>2c4110a:mcp-academic/data/sample/teachers.csv</x:v>
      </x:c>
    </x:row>
    <x:row r="3">
      <x:c r="A3" t="str">
        <x:v>CSV values start on row 5. Blue inputs, black calculations. Sources and hashes: reference-manifest.json.</x:v>
      </x:c>
    </x:row>
    <x:row r="4" ht="21" customHeight="1">
      <x:c r="A4" s="7" t="str">
        <x:v>teacher_id</x:v>
      </x:c>
      <x:c r="B4" s="7" t="str">
        <x:v>full_name</x:v>
      </x:c>
      <x:c r="C4" s="7" t="str">
        <x:v>faculty</x:v>
      </x:c>
      <x:c r="D4" s="7" t="str">
        <x:v>title</x:v>
      </x:c>
      <x:c r="E4" s="7" t="str">
        <x:v>degree</x:v>
      </x:c>
      <x:c r="F4" s="7" t="str">
        <x:v>hire_date</x:v>
      </x:c>
      <x:c r="G4" s="7" t="str">
        <x:v>email</x:v>
      </x:c>
    </x:row>
    <x:row r="5" ht="21" customHeight="1">
      <x:c r="A5" s="3" t="str">
        <x:v>T001</x:v>
      </x:c>
      <x:c r="B5" s="3" t="str">
        <x:v>Đỗ Mai My</x:v>
      </x:c>
      <x:c r="C5" s="3" t="str">
        <x:v>Information Technology</x:v>
      </x:c>
      <x:c r="D5" s="3" t="str">
        <x:v>Professor</x:v>
      </x:c>
      <x:c r="E5" s="3" t="str">
        <x:v>MSc</x:v>
      </x:c>
      <x:c r="F5" s="3" t="str">
        <x:v>2018-05-01</x:v>
      </x:c>
      <x:c r="G5" s="3" t="str">
        <x:v>my.t001@example.edu.vn</x:v>
      </x:c>
    </x:row>
    <x:row r="6" ht="21" customHeight="1">
      <x:c r="A6" s="3" t="str">
        <x:v>T002</x:v>
      </x:c>
      <x:c r="B6" s="3" t="str">
        <x:v>Võ Quốc Khoa</x:v>
      </x:c>
      <x:c r="C6" s="3" t="str">
        <x:v>Information Technology</x:v>
      </x:c>
      <x:c r="D6" s="3" t="str">
        <x:v>Associate Professor</x:v>
      </x:c>
      <x:c r="E6" s="3" t="str">
        <x:v>PhD</x:v>
      </x:c>
      <x:c r="F6" s="3" t="str">
        <x:v>2016-07-01</x:v>
      </x:c>
      <x:c r="G6" s="3" t="str">
        <x:v>khoa.t002@example.edu.vn</x:v>
      </x:c>
    </x:row>
    <x:row r="7" ht="21" customHeight="1">
      <x:c r="A7" s="3" t="str">
        <x:v>T003</x:v>
      </x:c>
      <x:c r="B7" s="3" t="str">
        <x:v>Đặng Mai Linh</x:v>
      </x:c>
      <x:c r="C7" s="3" t="str">
        <x:v>Information Technology</x:v>
      </x:c>
      <x:c r="D7" s="3" t="str">
        <x:v>Associate Professor</x:v>
      </x:c>
      <x:c r="E7" s="3" t="str">
        <x:v>PhD</x:v>
      </x:c>
      <x:c r="F7" s="3" t="str">
        <x:v>2012-10-01</x:v>
      </x:c>
      <x:c r="G7" s="3" t="str">
        <x:v>linh.t003@example.edu.vn</x:v>
      </x:c>
    </x:row>
    <x:row r="8" ht="21" customHeight="1">
      <x:c r="A8" s="3" t="str">
        <x:v>T004</x:v>
      </x:c>
      <x:c r="B8" s="3" t="str">
        <x:v>Đỗ Bảo My</x:v>
      </x:c>
      <x:c r="C8" s="3" t="str">
        <x:v>Information Technology</x:v>
      </x:c>
      <x:c r="D8" s="3" t="str">
        <x:v>Associate Professor</x:v>
      </x:c>
      <x:c r="E8" s="3" t="str">
        <x:v>MSc</x:v>
      </x:c>
      <x:c r="F8" s="3" t="str">
        <x:v>2016-10-01</x:v>
      </x:c>
      <x:c r="G8" s="3" t="str">
        <x:v>my.t004@example.edu.vn</x:v>
      </x:c>
    </x:row>
    <x:row r="9" ht="21" customHeight="1">
      <x:c r="A9" s="3" t="str">
        <x:v>T005</x:v>
      </x:c>
      <x:c r="B9" s="3" t="str">
        <x:v>Nguyễn Ngọc Trang</x:v>
      </x:c>
      <x:c r="C9" s="3" t="str">
        <x:v>Information Technology</x:v>
      </x:c>
      <x:c r="D9" s="3" t="str">
        <x:v>Senior Lecturer</x:v>
      </x:c>
      <x:c r="E9" s="3" t="str">
        <x:v>MSc</x:v>
      </x:c>
      <x:c r="F9" s="3" t="str">
        <x:v>2017-08-01</x:v>
      </x:c>
      <x:c r="G9" s="3" t="str">
        <x:v>trang.t005@example.edu.vn</x:v>
      </x:c>
    </x:row>
    <x:row r="10" ht="21" customHeight="1">
      <x:c r="A10" s="3" t="str">
        <x:v>T006</x:v>
      </x:c>
      <x:c r="B10" s="3" t="str">
        <x:v>Hoàng Bảo Lan</x:v>
      </x:c>
      <x:c r="C10" s="3" t="str">
        <x:v>Information Technology</x:v>
      </x:c>
      <x:c r="D10" s="3" t="str">
        <x:v>Senior Lecturer</x:v>
      </x:c>
      <x:c r="E10" s="3" t="str">
        <x:v>MSc</x:v>
      </x:c>
      <x:c r="F10" s="3" t="str">
        <x:v>2017-12-01</x:v>
      </x:c>
      <x:c r="G10" s="3" t="str">
        <x:v>lan.t006@example.edu.vn</x:v>
      </x:c>
    </x:row>
    <x:row r="11" ht="21" customHeight="1">
      <x:c r="A11" s="3" t="str">
        <x:v>T007</x:v>
      </x:c>
      <x:c r="B11" s="3" t="str">
        <x:v>Hoàng Mai Hương</x:v>
      </x:c>
      <x:c r="C11" s="3" t="str">
        <x:v>Information Technology</x:v>
      </x:c>
      <x:c r="D11" s="3" t="str">
        <x:v>Associate Professor</x:v>
      </x:c>
      <x:c r="E11" s="3" t="str">
        <x:v>MSc</x:v>
      </x:c>
      <x:c r="F11" s="3" t="str">
        <x:v>2014-03-01</x:v>
      </x:c>
      <x:c r="G11" s="3" t="str">
        <x:v>huong.t007@example.edu.vn</x:v>
      </x:c>
    </x:row>
    <x:row r="12" ht="21" customHeight="1">
      <x:c r="A12" s="3" t="str">
        <x:v>T008</x:v>
      </x:c>
      <x:c r="B12" s="3" t="str">
        <x:v>Bùi Đức Nam</x:v>
      </x:c>
      <x:c r="C12" s="3" t="str">
        <x:v>Information Technology</x:v>
      </x:c>
      <x:c r="D12" s="3" t="str">
        <x:v>Lecturer</x:v>
      </x:c>
      <x:c r="E12" s="3" t="str">
        <x:v>MSc</x:v>
      </x:c>
      <x:c r="F12" s="3" t="str">
        <x:v>2013-07-01</x:v>
      </x:c>
      <x:c r="G12" s="3" t="str">
        <x:v>nam.t008@example.edu.vn</x:v>
      </x:c>
    </x:row>
    <x:row r="13" ht="21" customHeight="1">
      <x:c r="A13" s="3" t="str">
        <x:v>T009</x:v>
      </x:c>
      <x:c r="B13" s="3" t="str">
        <x:v>Huỳnh Hoàng Hải</x:v>
      </x:c>
      <x:c r="C13" s="3" t="str">
        <x:v>Information Technology</x:v>
      </x:c>
      <x:c r="D13" s="3" t="str">
        <x:v>Lecturer</x:v>
      </x:c>
      <x:c r="E13" s="3" t="str">
        <x:v>PhD</x:v>
      </x:c>
      <x:c r="F13" s="3" t="str">
        <x:v>2017-08-01</x:v>
      </x:c>
      <x:c r="G13" s="3" t="str">
        <x:v>hai.t009@example.edu.vn</x:v>
      </x:c>
    </x:row>
    <x:row r="14" ht="21" customHeight="1">
      <x:c r="A14" s="3" t="str">
        <x:v>T010</x:v>
      </x:c>
      <x:c r="B14" s="3" t="str">
        <x:v>Lê Bảo Hương</x:v>
      </x:c>
      <x:c r="C14" s="3" t="str">
        <x:v>Information Technology</x:v>
      </x:c>
      <x:c r="D14" s="3" t="str">
        <x:v>Professor</x:v>
      </x:c>
      <x:c r="E14" s="3" t="str">
        <x:v>MSc</x:v>
      </x:c>
      <x:c r="F14" s="3" t="str">
        <x:v>2013-11-01</x:v>
      </x:c>
      <x:c r="G14" s="3" t="str">
        <x:v>huong.t010@example.edu.vn</x:v>
      </x:c>
    </x:row>
    <x:row r="15" ht="21" customHeight="1">
      <x:c r="A15" s="3" t="str">
        <x:v>T011</x:v>
      </x:c>
      <x:c r="B15" s="3" t="str">
        <x:v>Hoàng Minh Bình</x:v>
      </x:c>
      <x:c r="C15" s="3" t="str">
        <x:v>Business Administration</x:v>
      </x:c>
      <x:c r="D15" s="3" t="str">
        <x:v>Senior Lecturer</x:v>
      </x:c>
      <x:c r="E15" s="3" t="str">
        <x:v>MSc</x:v>
      </x:c>
      <x:c r="F15" s="3" t="str">
        <x:v>2012-11-01</x:v>
      </x:c>
      <x:c r="G15" s="3" t="str">
        <x:v>binh.t011@example.edu.vn</x:v>
      </x:c>
    </x:row>
    <x:row r="16" ht="21" customHeight="1">
      <x:c r="A16" s="3" t="str">
        <x:v>T012</x:v>
      </x:c>
      <x:c r="B16" s="3" t="str">
        <x:v>Phạm Văn Nam</x:v>
      </x:c>
      <x:c r="C16" s="3" t="str">
        <x:v>Business Administration</x:v>
      </x:c>
      <x:c r="D16" s="3" t="str">
        <x:v>Lecturer</x:v>
      </x:c>
      <x:c r="E16" s="3" t="str">
        <x:v>MSc</x:v>
      </x:c>
      <x:c r="F16" s="3" t="str">
        <x:v>2010-06-01</x:v>
      </x:c>
      <x:c r="G16" s="3" t="str">
        <x:v>nam.t012@example.edu.vn</x:v>
      </x:c>
    </x:row>
    <x:row r="17" ht="21" customHeight="1">
      <x:c r="A17" s="3" t="str">
        <x:v>T013</x:v>
      </x:c>
      <x:c r="B17" s="3" t="str">
        <x:v>Nguyễn Quốc Phúc</x:v>
      </x:c>
      <x:c r="C17" s="3" t="str">
        <x:v>Business Administration</x:v>
      </x:c>
      <x:c r="D17" s="3" t="str">
        <x:v>Professor</x:v>
      </x:c>
      <x:c r="E17" s="3" t="str">
        <x:v>PhD</x:v>
      </x:c>
      <x:c r="F17" s="3" t="str">
        <x:v>2014-11-01</x:v>
      </x:c>
      <x:c r="G17" s="3" t="str">
        <x:v>phuc.t013@example.edu.vn</x:v>
      </x:c>
    </x:row>
    <x:row r="18" ht="21" customHeight="1">
      <x:c r="A18" s="3" t="str">
        <x:v>T014</x:v>
      </x:c>
      <x:c r="B18" s="3" t="str">
        <x:v>Võ Quốc Hải</x:v>
      </x:c>
      <x:c r="C18" s="3" t="str">
        <x:v>Business Administration</x:v>
      </x:c>
      <x:c r="D18" s="3" t="str">
        <x:v>Senior Lecturer</x:v>
      </x:c>
      <x:c r="E18" s="3" t="str">
        <x:v>MSc</x:v>
      </x:c>
      <x:c r="F18" s="3" t="str">
        <x:v>2017-11-01</x:v>
      </x:c>
      <x:c r="G18" s="3" t="str">
        <x:v>hai.t014@example.edu.vn</x:v>
      </x:c>
    </x:row>
    <x:row r="19" ht="21" customHeight="1">
      <x:c r="A19" s="3" t="str">
        <x:v>T015</x:v>
      </x:c>
      <x:c r="B19" s="3" t="str">
        <x:v>Đỗ Ngọc Linh</x:v>
      </x:c>
      <x:c r="C19" s="3" t="str">
        <x:v>Business Administration</x:v>
      </x:c>
      <x:c r="D19" s="3" t="str">
        <x:v>Professor</x:v>
      </x:c>
      <x:c r="E19" s="3" t="str">
        <x:v>MSc</x:v>
      </x:c>
      <x:c r="F19" s="3" t="str">
        <x:v>2011-02-01</x:v>
      </x:c>
      <x:c r="G19" s="3" t="str">
        <x:v>linh.t015@example.edu.vn</x:v>
      </x:c>
    </x:row>
    <x:row r="20" ht="21" customHeight="1">
      <x:c r="A20" s="3" t="str">
        <x:v>T016</x:v>
      </x:c>
      <x:c r="B20" s="3" t="str">
        <x:v>Đặng Đức Tuấn</x:v>
      </x:c>
      <x:c r="C20" s="3" t="str">
        <x:v>Business Administration</x:v>
      </x:c>
      <x:c r="D20" s="3" t="str">
        <x:v>Associate Professor</x:v>
      </x:c>
      <x:c r="E20" s="3" t="str">
        <x:v>MSc</x:v>
      </x:c>
      <x:c r="F20" s="3" t="str">
        <x:v>2010-07-01</x:v>
      </x:c>
      <x:c r="G20" s="3" t="str">
        <x:v>tuan.t016@example.edu.vn</x:v>
      </x:c>
    </x:row>
    <x:row r="21" ht="21" customHeight="1">
      <x:c r="A21" s="3" t="str">
        <x:v>T017</x:v>
      </x:c>
      <x:c r="B21" s="3" t="str">
        <x:v>Đỗ Ngọc Linh</x:v>
      </x:c>
      <x:c r="C21" s="3" t="str">
        <x:v>Business Administration</x:v>
      </x:c>
      <x:c r="D21" s="3" t="str">
        <x:v>Associate Professor</x:v>
      </x:c>
      <x:c r="E21" s="3" t="str">
        <x:v>PhD</x:v>
      </x:c>
      <x:c r="F21" s="3" t="str">
        <x:v>2013-03-01</x:v>
      </x:c>
      <x:c r="G21" s="3" t="str">
        <x:v>linh.t017@example.edu.vn</x:v>
      </x:c>
    </x:row>
    <x:row r="22" ht="21" customHeight="1">
      <x:c r="A22" s="3" t="str">
        <x:v>T018</x:v>
      </x:c>
      <x:c r="B22" s="3" t="str">
        <x:v>Bùi Thu Anh</x:v>
      </x:c>
      <x:c r="C22" s="3" t="str">
        <x:v>Business Administration</x:v>
      </x:c>
      <x:c r="D22" s="3" t="str">
        <x:v>Professor</x:v>
      </x:c>
      <x:c r="E22" s="3" t="str">
        <x:v>MSc</x:v>
      </x:c>
      <x:c r="F22" s="3" t="str">
        <x:v>2011-10-01</x:v>
      </x:c>
      <x:c r="G22" s="3" t="str">
        <x:v>anh.t018@example.edu.vn</x:v>
      </x:c>
    </x:row>
    <x:row r="23" ht="21" customHeight="1">
      <x:c r="A23" s="3" t="str">
        <x:v>T019</x:v>
      </x:c>
      <x:c r="B23" s="3" t="str">
        <x:v>Phạm Văn Cường</x:v>
      </x:c>
      <x:c r="C23" s="3" t="str">
        <x:v>Business Administration</x:v>
      </x:c>
      <x:c r="D23" s="3" t="str">
        <x:v>Senior Lecturer</x:v>
      </x:c>
      <x:c r="E23" s="3" t="str">
        <x:v>PhD</x:v>
      </x:c>
      <x:c r="F23" s="3" t="str">
        <x:v>2012-07-01</x:v>
      </x:c>
      <x:c r="G23" s="3" t="str">
        <x:v>cuong.t019@example.edu.vn</x:v>
      </x:c>
    </x:row>
    <x:row r="24" ht="21" customHeight="1">
      <x:c r="A24" s="3" t="str">
        <x:v>T020</x:v>
      </x:c>
      <x:c r="B24" s="3" t="str">
        <x:v>Võ Hoàng Hải</x:v>
      </x:c>
      <x:c r="C24" s="3" t="str">
        <x:v>Business Administration</x:v>
      </x:c>
      <x:c r="D24" s="3" t="str">
        <x:v>Professor</x:v>
      </x:c>
      <x:c r="E24" s="3" t="str">
        <x:v>MSc</x:v>
      </x:c>
      <x:c r="F24" s="3" t="str">
        <x:v>2011-01-01</x:v>
      </x:c>
      <x:c r="G24" s="3" t="str">
        <x:v>hai.t020@example.edu.vn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>
      <x:c r="A1" s="1" t="str">
        <x:v>Sections</x:v>
      </x:c>
    </x:row>
    <x:row r="2">
      <x:c r="A2" t="str">
        <x:v>2c4110a:mcp-academic/data/sample/sections.csv</x:v>
      </x:c>
    </x:row>
    <x:row r="3">
      <x:c r="A3" t="str">
        <x:v>CSV values start on row 5. Blue inputs, black calculations. Sources and hashes: reference-manifest.json.</x:v>
      </x:c>
    </x:row>
    <x:row r="4" ht="21" customHeight="1">
      <x:c r="A4" s="7" t="str">
        <x:v>section_id</x:v>
      </x:c>
      <x:c r="B4" s="7" t="str">
        <x:v>course_id</x:v>
      </x:c>
      <x:c r="C4" s="7" t="str">
        <x:v>semester</x:v>
      </x:c>
      <x:c r="D4" s="7" t="str">
        <x:v>class_id</x:v>
      </x:c>
      <x:c r="E4" s="7" t="str">
        <x:v>teacher_id</x:v>
      </x:c>
      <x:c r="F4" s="7" t="str">
        <x:v>room</x:v>
      </x:c>
      <x:c r="G4" s="7" t="str">
        <x:v>weekday</x:v>
      </x:c>
      <x:c r="H4" s="7" t="str">
        <x:v>start_period</x:v>
      </x:c>
      <x:c r="I4" s="7" t="str">
        <x:v>periods</x:v>
      </x:c>
    </x:row>
    <x:row r="5" ht="21" customHeight="1">
      <x:c r="A5" s="3" t="str">
        <x:v>SEC001</x:v>
      </x:c>
      <x:c r="B5" s="3" t="str">
        <x:v>BA101</x:v>
      </x:c>
      <x:c r="C5" s="3" t="str">
        <x:v>2024-1</x:v>
      </x:c>
      <x:c r="D5" s="3" t="str">
        <x:v>BA01</x:v>
      </x:c>
      <x:c r="E5" s="3" t="str">
        <x:v>T011</x:v>
      </x:c>
      <x:c r="F5" s="3" t="str">
        <x:v>BA-101</x:v>
      </x:c>
      <x:c r="G5" s="3" t="str">
        <x:v>Mon</x:v>
      </x:c>
      <x:c r="H5" s="3" t="n">
        <x:v>1</x:v>
      </x:c>
      <x:c r="I5" s="3" t="n">
        <x:v>3</x:v>
      </x:c>
    </x:row>
    <x:row r="6" ht="21" customHeight="1">
      <x:c r="A6" s="3" t="str">
        <x:v>SEC002</x:v>
      </x:c>
      <x:c r="B6" s="3" t="str">
        <x:v>BA101</x:v>
      </x:c>
      <x:c r="C6" s="3" t="str">
        <x:v>2024-1</x:v>
      </x:c>
      <x:c r="D6" s="3" t="str">
        <x:v>BA02</x:v>
      </x:c>
      <x:c r="E6" s="3" t="str">
        <x:v>T012</x:v>
      </x:c>
      <x:c r="F6" s="3" t="str">
        <x:v>BA-102</x:v>
      </x:c>
      <x:c r="G6" s="3" t="str">
        <x:v>Mon</x:v>
      </x:c>
      <x:c r="H6" s="3" t="n">
        <x:v>1</x:v>
      </x:c>
      <x:c r="I6" s="3" t="n">
        <x:v>3</x:v>
      </x:c>
    </x:row>
    <x:row r="7" ht="21" customHeight="1">
      <x:c r="A7" s="3" t="str">
        <x:v>SEC003</x:v>
      </x:c>
      <x:c r="B7" s="3" t="str">
        <x:v>BA101</x:v>
      </x:c>
      <x:c r="C7" s="3" t="str">
        <x:v>2025-1</x:v>
      </x:c>
      <x:c r="D7" s="3" t="str">
        <x:v>BA01</x:v>
      </x:c>
      <x:c r="E7" s="3" t="str">
        <x:v>T011</x:v>
      </x:c>
      <x:c r="F7" s="3" t="str">
        <x:v>BA-101</x:v>
      </x:c>
      <x:c r="G7" s="3" t="str">
        <x:v>Mon</x:v>
      </x:c>
      <x:c r="H7" s="3" t="n">
        <x:v>1</x:v>
      </x:c>
      <x:c r="I7" s="3" t="n">
        <x:v>3</x:v>
      </x:c>
    </x:row>
    <x:row r="8" ht="21" customHeight="1">
      <x:c r="A8" s="3" t="str">
        <x:v>SEC004</x:v>
      </x:c>
      <x:c r="B8" s="3" t="str">
        <x:v>BA101</x:v>
      </x:c>
      <x:c r="C8" s="3" t="str">
        <x:v>2025-1</x:v>
      </x:c>
      <x:c r="D8" s="3" t="str">
        <x:v>BA02</x:v>
      </x:c>
      <x:c r="E8" s="3" t="str">
        <x:v>T012</x:v>
      </x:c>
      <x:c r="F8" s="3" t="str">
        <x:v>BA-102</x:v>
      </x:c>
      <x:c r="G8" s="3" t="str">
        <x:v>Mon</x:v>
      </x:c>
      <x:c r="H8" s="3" t="n">
        <x:v>1</x:v>
      </x:c>
      <x:c r="I8" s="3" t="n">
        <x:v>3</x:v>
      </x:c>
    </x:row>
    <x:row r="9" ht="21" customHeight="1">
      <x:c r="A9" s="3" t="str">
        <x:v>SEC005</x:v>
      </x:c>
      <x:c r="B9" s="3" t="str">
        <x:v>BA102</x:v>
      </x:c>
      <x:c r="C9" s="3" t="str">
        <x:v>2024-2</x:v>
      </x:c>
      <x:c r="D9" s="3" t="str">
        <x:v>BA01</x:v>
      </x:c>
      <x:c r="E9" s="3" t="str">
        <x:v>T011</x:v>
      </x:c>
      <x:c r="F9" s="3" t="str">
        <x:v>BA-101</x:v>
      </x:c>
      <x:c r="G9" s="3" t="str">
        <x:v>Mon</x:v>
      </x:c>
      <x:c r="H9" s="3" t="n">
        <x:v>1</x:v>
      </x:c>
      <x:c r="I9" s="3" t="n">
        <x:v>3</x:v>
      </x:c>
    </x:row>
    <x:row r="10" ht="21" customHeight="1">
      <x:c r="A10" s="3" t="str">
        <x:v>SEC006</x:v>
      </x:c>
      <x:c r="B10" s="3" t="str">
        <x:v>BA102</x:v>
      </x:c>
      <x:c r="C10" s="3" t="str">
        <x:v>2024-2</x:v>
      </x:c>
      <x:c r="D10" s="3" t="str">
        <x:v>BA02</x:v>
      </x:c>
      <x:c r="E10" s="3" t="str">
        <x:v>T012</x:v>
      </x:c>
      <x:c r="F10" s="3" t="str">
        <x:v>BA-102</x:v>
      </x:c>
      <x:c r="G10" s="3" t="str">
        <x:v>Mon</x:v>
      </x:c>
      <x:c r="H10" s="3" t="n">
        <x:v>1</x:v>
      </x:c>
      <x:c r="I10" s="3" t="n">
        <x:v>3</x:v>
      </x:c>
    </x:row>
    <x:row r="11" ht="21" customHeight="1">
      <x:c r="A11" s="3" t="str">
        <x:v>SEC007</x:v>
      </x:c>
      <x:c r="B11" s="3" t="str">
        <x:v>BA102</x:v>
      </x:c>
      <x:c r="C11" s="3" t="str">
        <x:v>2025-1</x:v>
      </x:c>
      <x:c r="D11" s="3" t="str">
        <x:v>BA01</x:v>
      </x:c>
      <x:c r="E11" s="3" t="str">
        <x:v>T011</x:v>
      </x:c>
      <x:c r="F11" s="3" t="str">
        <x:v>BA-101</x:v>
      </x:c>
      <x:c r="G11" s="3" t="str">
        <x:v>Mon</x:v>
      </x:c>
      <x:c r="H11" s="3" t="n">
        <x:v>4</x:v>
      </x:c>
      <x:c r="I11" s="3" t="n">
        <x:v>3</x:v>
      </x:c>
    </x:row>
    <x:row r="12" ht="21" customHeight="1">
      <x:c r="A12" s="3" t="str">
        <x:v>SEC008</x:v>
      </x:c>
      <x:c r="B12" s="3" t="str">
        <x:v>BA102</x:v>
      </x:c>
      <x:c r="C12" s="3" t="str">
        <x:v>2025-1</x:v>
      </x:c>
      <x:c r="D12" s="3" t="str">
        <x:v>BA02</x:v>
      </x:c>
      <x:c r="E12" s="3" t="str">
        <x:v>T012</x:v>
      </x:c>
      <x:c r="F12" s="3" t="str">
        <x:v>BA-102</x:v>
      </x:c>
      <x:c r="G12" s="3" t="str">
        <x:v>Mon</x:v>
      </x:c>
      <x:c r="H12" s="3" t="n">
        <x:v>4</x:v>
      </x:c>
      <x:c r="I12" s="3" t="n">
        <x:v>3</x:v>
      </x:c>
    </x:row>
    <x:row r="13" ht="21" customHeight="1">
      <x:c r="A13" s="3" t="str">
        <x:v>SEC009</x:v>
      </x:c>
      <x:c r="B13" s="3" t="str">
        <x:v>BA201</x:v>
      </x:c>
      <x:c r="C13" s="3" t="str">
        <x:v>2024-2</x:v>
      </x:c>
      <x:c r="D13" s="3" t="str">
        <x:v>BA01</x:v>
      </x:c>
      <x:c r="E13" s="3" t="str">
        <x:v>T011</x:v>
      </x:c>
      <x:c r="F13" s="3" t="str">
        <x:v>BA-101</x:v>
      </x:c>
      <x:c r="G13" s="3" t="str">
        <x:v>Mon</x:v>
      </x:c>
      <x:c r="H13" s="3" t="n">
        <x:v>4</x:v>
      </x:c>
      <x:c r="I13" s="3" t="n">
        <x:v>3</x:v>
      </x:c>
    </x:row>
    <x:row r="14" ht="21" customHeight="1">
      <x:c r="A14" s="3" t="str">
        <x:v>SEC010</x:v>
      </x:c>
      <x:c r="B14" s="3" t="str">
        <x:v>BA201</x:v>
      </x:c>
      <x:c r="C14" s="3" t="str">
        <x:v>2024-2</x:v>
      </x:c>
      <x:c r="D14" s="3" t="str">
        <x:v>BA02</x:v>
      </x:c>
      <x:c r="E14" s="3" t="str">
        <x:v>T012</x:v>
      </x:c>
      <x:c r="F14" s="3" t="str">
        <x:v>BA-102</x:v>
      </x:c>
      <x:c r="G14" s="3" t="str">
        <x:v>Mon</x:v>
      </x:c>
      <x:c r="H14" s="3" t="n">
        <x:v>4</x:v>
      </x:c>
      <x:c r="I14" s="3" t="n">
        <x:v>3</x:v>
      </x:c>
    </x:row>
    <x:row r="15" ht="21" customHeight="1">
      <x:c r="A15" s="3" t="str">
        <x:v>SEC011</x:v>
      </x:c>
      <x:c r="B15" s="3" t="str">
        <x:v>BA201</x:v>
      </x:c>
      <x:c r="C15" s="3" t="str">
        <x:v>2025-1</x:v>
      </x:c>
      <x:c r="D15" s="3" t="str">
        <x:v>BA02</x:v>
      </x:c>
      <x:c r="E15" s="3" t="str">
        <x:v>T011</x:v>
      </x:c>
      <x:c r="F15" s="3" t="str">
        <x:v>BA-101</x:v>
      </x:c>
      <x:c r="G15" s="3" t="str">
        <x:v>Mon</x:v>
      </x:c>
      <x:c r="H15" s="3" t="n">
        <x:v>7</x:v>
      </x:c>
      <x:c r="I15" s="3" t="n">
        <x:v>3</x:v>
      </x:c>
    </x:row>
    <x:row r="16" ht="21" customHeight="1">
      <x:c r="A16" s="3" t="str">
        <x:v>SEC012</x:v>
      </x:c>
      <x:c r="B16" s="3" t="str">
        <x:v>BA202</x:v>
      </x:c>
      <x:c r="C16" s="3" t="str">
        <x:v>2025-1</x:v>
      </x:c>
      <x:c r="D16" s="3" t="str">
        <x:v>BA01</x:v>
      </x:c>
      <x:c r="E16" s="3" t="str">
        <x:v>T012</x:v>
      </x:c>
      <x:c r="F16" s="3" t="str">
        <x:v>BA-102</x:v>
      </x:c>
      <x:c r="G16" s="3" t="str">
        <x:v>Mon</x:v>
      </x:c>
      <x:c r="H16" s="3" t="n">
        <x:v>7</x:v>
      </x:c>
      <x:c r="I16" s="3" t="n">
        <x:v>3</x:v>
      </x:c>
    </x:row>
    <x:row r="17" ht="21" customHeight="1">
      <x:c r="A17" s="3" t="str">
        <x:v>SEC013</x:v>
      </x:c>
      <x:c r="B17" s="3" t="str">
        <x:v>BA202</x:v>
      </x:c>
      <x:c r="C17" s="3" t="str">
        <x:v>2025-1</x:v>
      </x:c>
      <x:c r="D17" s="3" t="str">
        <x:v>BA02</x:v>
      </x:c>
      <x:c r="E17" s="3" t="str">
        <x:v>T011</x:v>
      </x:c>
      <x:c r="F17" s="3" t="str">
        <x:v>BA-101</x:v>
      </x:c>
      <x:c r="G17" s="3" t="str">
        <x:v>Tue</x:v>
      </x:c>
      <x:c r="H17" s="3" t="n">
        <x:v>1</x:v>
      </x:c>
      <x:c r="I17" s="3" t="n">
        <x:v>3</x:v>
      </x:c>
    </x:row>
    <x:row r="18" ht="21" customHeight="1">
      <x:c r="A18" s="3" t="str">
        <x:v>SEC014</x:v>
      </x:c>
      <x:c r="B18" s="3" t="str">
        <x:v>CS101</x:v>
      </x:c>
      <x:c r="C18" s="3" t="str">
        <x:v>2024-1</x:v>
      </x:c>
      <x:c r="D18" s="3" t="str">
        <x:v>IT01</x:v>
      </x:c>
      <x:c r="E18" s="3" t="str">
        <x:v>T001</x:v>
      </x:c>
      <x:c r="F18" s="3" t="str">
        <x:v>IT-101</x:v>
      </x:c>
      <x:c r="G18" s="3" t="str">
        <x:v>Mon</x:v>
      </x:c>
      <x:c r="H18" s="3" t="n">
        <x:v>1</x:v>
      </x:c>
      <x:c r="I18" s="3" t="n">
        <x:v>3</x:v>
      </x:c>
    </x:row>
    <x:row r="19" ht="21" customHeight="1">
      <x:c r="A19" s="3" t="str">
        <x:v>SEC015</x:v>
      </x:c>
      <x:c r="B19" s="3" t="str">
        <x:v>CS101</x:v>
      </x:c>
      <x:c r="C19" s="3" t="str">
        <x:v>2024-1</x:v>
      </x:c>
      <x:c r="D19" s="3" t="str">
        <x:v>IT02</x:v>
      </x:c>
      <x:c r="E19" s="3" t="str">
        <x:v>T002</x:v>
      </x:c>
      <x:c r="F19" s="3" t="str">
        <x:v>IT-102</x:v>
      </x:c>
      <x:c r="G19" s="3" t="str">
        <x:v>Mon</x:v>
      </x:c>
      <x:c r="H19" s="3" t="n">
        <x:v>1</x:v>
      </x:c>
      <x:c r="I19" s="3" t="n">
        <x:v>3</x:v>
      </x:c>
    </x:row>
    <x:row r="20" ht="21" customHeight="1">
      <x:c r="A20" s="3" t="str">
        <x:v>SEC016</x:v>
      </x:c>
      <x:c r="B20" s="3" t="str">
        <x:v>CS101</x:v>
      </x:c>
      <x:c r="C20" s="3" t="str">
        <x:v>2025-1</x:v>
      </x:c>
      <x:c r="D20" s="3" t="str">
        <x:v>IT01</x:v>
      </x:c>
      <x:c r="E20" s="3" t="str">
        <x:v>T001</x:v>
      </x:c>
      <x:c r="F20" s="3" t="str">
        <x:v>IT-101</x:v>
      </x:c>
      <x:c r="G20" s="3" t="str">
        <x:v>Mon</x:v>
      </x:c>
      <x:c r="H20" s="3" t="n">
        <x:v>1</x:v>
      </x:c>
      <x:c r="I20" s="3" t="n">
        <x:v>3</x:v>
      </x:c>
    </x:row>
    <x:row r="21" ht="21" customHeight="1">
      <x:c r="A21" s="3" t="str">
        <x:v>SEC017</x:v>
      </x:c>
      <x:c r="B21" s="3" t="str">
        <x:v>CS102</x:v>
      </x:c>
      <x:c r="C21" s="3" t="str">
        <x:v>2024-2</x:v>
      </x:c>
      <x:c r="D21" s="3" t="str">
        <x:v>IT01</x:v>
      </x:c>
      <x:c r="E21" s="3" t="str">
        <x:v>T001</x:v>
      </x:c>
      <x:c r="F21" s="3" t="str">
        <x:v>IT-101</x:v>
      </x:c>
      <x:c r="G21" s="3" t="str">
        <x:v>Mon</x:v>
      </x:c>
      <x:c r="H21" s="3" t="n">
        <x:v>1</x:v>
      </x:c>
      <x:c r="I21" s="3" t="n">
        <x:v>3</x:v>
      </x:c>
    </x:row>
    <x:row r="22" ht="21" customHeight="1">
      <x:c r="A22" s="3" t="str">
        <x:v>SEC018</x:v>
      </x:c>
      <x:c r="B22" s="3" t="str">
        <x:v>CS102</x:v>
      </x:c>
      <x:c r="C22" s="3" t="str">
        <x:v>2024-2</x:v>
      </x:c>
      <x:c r="D22" s="3" t="str">
        <x:v>IT02</x:v>
      </x:c>
      <x:c r="E22" s="3" t="str">
        <x:v>T002</x:v>
      </x:c>
      <x:c r="F22" s="3" t="str">
        <x:v>IT-102</x:v>
      </x:c>
      <x:c r="G22" s="3" t="str">
        <x:v>Mon</x:v>
      </x:c>
      <x:c r="H22" s="3" t="n">
        <x:v>1</x:v>
      </x:c>
      <x:c r="I22" s="3" t="n">
        <x:v>3</x:v>
      </x:c>
    </x:row>
    <x:row r="23" ht="21" customHeight="1">
      <x:c r="A23" s="3" t="str">
        <x:v>SEC019</x:v>
      </x:c>
      <x:c r="B23" s="3" t="str">
        <x:v>CS102</x:v>
      </x:c>
      <x:c r="C23" s="3" t="str">
        <x:v>2025-1</x:v>
      </x:c>
      <x:c r="D23" s="3" t="str">
        <x:v>IT01</x:v>
      </x:c>
      <x:c r="E23" s="3" t="str">
        <x:v>T001</x:v>
      </x:c>
      <x:c r="F23" s="3" t="str">
        <x:v>IT-101</x:v>
      </x:c>
      <x:c r="G23" s="3" t="str">
        <x:v>Mon</x:v>
      </x:c>
      <x:c r="H23" s="3" t="n">
        <x:v>4</x:v>
      </x:c>
      <x:c r="I23" s="3" t="n">
        <x:v>3</x:v>
      </x:c>
    </x:row>
    <x:row r="24" ht="21" customHeight="1">
      <x:c r="A24" s="3" t="str">
        <x:v>SEC020</x:v>
      </x:c>
      <x:c r="B24" s="3" t="str">
        <x:v>CS102</x:v>
      </x:c>
      <x:c r="C24" s="3" t="str">
        <x:v>2025-1</x:v>
      </x:c>
      <x:c r="D24" s="3" t="str">
        <x:v>IT02</x:v>
      </x:c>
      <x:c r="E24" s="3" t="str">
        <x:v>T002</x:v>
      </x:c>
      <x:c r="F24" s="3" t="str">
        <x:v>IT-102</x:v>
      </x:c>
      <x:c r="G24" s="3" t="str">
        <x:v>Mon</x:v>
      </x:c>
      <x:c r="H24" s="3" t="n">
        <x:v>1</x:v>
      </x:c>
      <x:c r="I24" s="3" t="n">
        <x:v>3</x:v>
      </x:c>
    </x:row>
    <x:row r="25" ht="21" customHeight="1">
      <x:c r="A25" s="3" t="str">
        <x:v>SEC021</x:v>
      </x:c>
      <x:c r="B25" s="3" t="str">
        <x:v>CS201</x:v>
      </x:c>
      <x:c r="C25" s="3" t="str">
        <x:v>2024-2</x:v>
      </x:c>
      <x:c r="D25" s="3" t="str">
        <x:v>IT01</x:v>
      </x:c>
      <x:c r="E25" s="3" t="str">
        <x:v>T001</x:v>
      </x:c>
      <x:c r="F25" s="3" t="str">
        <x:v>IT-101</x:v>
      </x:c>
      <x:c r="G25" s="3" t="str">
        <x:v>Mon</x:v>
      </x:c>
      <x:c r="H25" s="3" t="n">
        <x:v>4</x:v>
      </x:c>
      <x:c r="I25" s="3" t="n">
        <x:v>3</x:v>
      </x:c>
    </x:row>
    <x:row r="26" ht="21" customHeight="1">
      <x:c r="A26" s="3" t="str">
        <x:v>SEC022</x:v>
      </x:c>
      <x:c r="B26" s="3" t="str">
        <x:v>CS201</x:v>
      </x:c>
      <x:c r="C26" s="3" t="str">
        <x:v>2024-2</x:v>
      </x:c>
      <x:c r="D26" s="3" t="str">
        <x:v>IT02</x:v>
      </x:c>
      <x:c r="E26" s="3" t="str">
        <x:v>T002</x:v>
      </x:c>
      <x:c r="F26" s="3" t="str">
        <x:v>IT-102</x:v>
      </x:c>
      <x:c r="G26" s="3" t="str">
        <x:v>Mon</x:v>
      </x:c>
      <x:c r="H26" s="3" t="n">
        <x:v>4</x:v>
      </x:c>
      <x:c r="I26" s="3" t="n">
        <x:v>3</x:v>
      </x:c>
    </x:row>
    <x:row r="27" ht="21" customHeight="1">
      <x:c r="A27" s="3" t="str">
        <x:v>SEC023</x:v>
      </x:c>
      <x:c r="B27" s="3" t="str">
        <x:v>CS201</x:v>
      </x:c>
      <x:c r="C27" s="3" t="str">
        <x:v>2025-1</x:v>
      </x:c>
      <x:c r="D27" s="3" t="str">
        <x:v>IT01</x:v>
      </x:c>
      <x:c r="E27" s="3" t="str">
        <x:v>T001</x:v>
      </x:c>
      <x:c r="F27" s="3" t="str">
        <x:v>IT-101</x:v>
      </x:c>
      <x:c r="G27" s="3" t="str">
        <x:v>Mon</x:v>
      </x:c>
      <x:c r="H27" s="3" t="n">
        <x:v>7</x:v>
      </x:c>
      <x:c r="I27" s="3" t="n">
        <x:v>3</x:v>
      </x:c>
    </x:row>
    <x:row r="28" ht="21" customHeight="1">
      <x:c r="A28" s="3" t="str">
        <x:v>SEC024</x:v>
      </x:c>
      <x:c r="B28" s="3" t="str">
        <x:v>CS201</x:v>
      </x:c>
      <x:c r="C28" s="3" t="str">
        <x:v>2025-1</x:v>
      </x:c>
      <x:c r="D28" s="3" t="str">
        <x:v>IT02</x:v>
      </x:c>
      <x:c r="E28" s="3" t="str">
        <x:v>T002</x:v>
      </x:c>
      <x:c r="F28" s="3" t="str">
        <x:v>IT-102</x:v>
      </x:c>
      <x:c r="G28" s="3" t="str">
        <x:v>Mon</x:v>
      </x:c>
      <x:c r="H28" s="3" t="n">
        <x:v>4</x:v>
      </x:c>
      <x:c r="I28" s="3" t="n">
        <x:v>3</x:v>
      </x:c>
    </x:row>
    <x:row r="29" ht="21" customHeight="1">
      <x:c r="A29" s="3" t="str">
        <x:v>SEC025</x:v>
      </x:c>
      <x:c r="B29" s="3" t="str">
        <x:v>CS202</x:v>
      </x:c>
      <x:c r="C29" s="3" t="str">
        <x:v>2025-1</x:v>
      </x:c>
      <x:c r="D29" s="3" t="str">
        <x:v>IT01</x:v>
      </x:c>
      <x:c r="E29" s="3" t="str">
        <x:v>T001</x:v>
      </x:c>
      <x:c r="F29" s="3" t="str">
        <x:v>IT-101</x:v>
      </x:c>
      <x:c r="G29" s="3" t="str">
        <x:v>Tue</x:v>
      </x:c>
      <x:c r="H29" s="3" t="n">
        <x:v>1</x:v>
      </x:c>
      <x:c r="I29" s="3" t="n">
        <x:v>3</x:v>
      </x:c>
    </x:row>
    <x:row r="30" ht="21" customHeight="1">
      <x:c r="A30" s="3" t="str">
        <x:v>SEC026</x:v>
      </x:c>
      <x:c r="B30" s="3" t="str">
        <x:v>CS202</x:v>
      </x:c>
      <x:c r="C30" s="3" t="str">
        <x:v>2025-1</x:v>
      </x:c>
      <x:c r="D30" s="3" t="str">
        <x:v>IT02</x:v>
      </x:c>
      <x:c r="E30" s="3" t="str">
        <x:v>T002</x:v>
      </x:c>
      <x:c r="F30" s="3" t="str">
        <x:v>IT-102</x:v>
      </x:c>
      <x:c r="G30" s="3" t="str">
        <x:v>Mon</x:v>
      </x:c>
      <x:c r="H30" s="3" t="n">
        <x:v>7</x:v>
      </x:c>
      <x:c r="I30" s="3" t="n">
        <x:v>3</x:v>
      </x:c>
    </x:row>
    <x:row r="31" ht="21" customHeight="1">
      <x:c r="A31" s="3" t="str">
        <x:v>SEC027</x:v>
      </x:c>
      <x:c r="B31" s="3" t="str">
        <x:v>GE101</x:v>
      </x:c>
      <x:c r="C31" s="3" t="str">
        <x:v>2024-1</x:v>
      </x:c>
      <x:c r="D31" s="3" t="str">
        <x:v>BA01</x:v>
      </x:c>
      <x:c r="E31" s="3" t="str">
        <x:v>T011</x:v>
      </x:c>
      <x:c r="F31" s="3" t="str">
        <x:v>BA-101</x:v>
      </x:c>
      <x:c r="G31" s="3" t="str">
        <x:v>Mon</x:v>
      </x:c>
      <x:c r="H31" s="3" t="n">
        <x:v>4</x:v>
      </x:c>
      <x:c r="I31" s="3" t="n">
        <x:v>3</x:v>
      </x:c>
    </x:row>
    <x:row r="32" ht="21" customHeight="1">
      <x:c r="A32" s="3" t="str">
        <x:v>SEC028</x:v>
      </x:c>
      <x:c r="B32" s="3" t="str">
        <x:v>GE101</x:v>
      </x:c>
      <x:c r="C32" s="3" t="str">
        <x:v>2024-1</x:v>
      </x:c>
      <x:c r="D32" s="3" t="str">
        <x:v>BA02</x:v>
      </x:c>
      <x:c r="E32" s="3" t="str">
        <x:v>T012</x:v>
      </x:c>
      <x:c r="F32" s="3" t="str">
        <x:v>BA-102</x:v>
      </x:c>
      <x:c r="G32" s="3" t="str">
        <x:v>Mon</x:v>
      </x:c>
      <x:c r="H32" s="3" t="n">
        <x:v>4</x:v>
      </x:c>
      <x:c r="I32" s="3" t="n">
        <x:v>3</x:v>
      </x:c>
    </x:row>
    <x:row r="33" ht="21" customHeight="1">
      <x:c r="A33" s="3" t="str">
        <x:v>SEC029</x:v>
      </x:c>
      <x:c r="B33" s="3" t="str">
        <x:v>GE101</x:v>
      </x:c>
      <x:c r="C33" s="3" t="str">
        <x:v>2024-1</x:v>
      </x:c>
      <x:c r="D33" s="3" t="str">
        <x:v>IT01</x:v>
      </x:c>
      <x:c r="E33" s="3" t="str">
        <x:v>T001</x:v>
      </x:c>
      <x:c r="F33" s="3" t="str">
        <x:v>IT-101</x:v>
      </x:c>
      <x:c r="G33" s="3" t="str">
        <x:v>Mon</x:v>
      </x:c>
      <x:c r="H33" s="3" t="n">
        <x:v>4</x:v>
      </x:c>
      <x:c r="I33" s="3" t="n">
        <x:v>3</x:v>
      </x:c>
    </x:row>
    <x:row r="34" ht="21" customHeight="1">
      <x:c r="A34" s="3" t="str">
        <x:v>SEC030</x:v>
      </x:c>
      <x:c r="B34" s="3" t="str">
        <x:v>GE101</x:v>
      </x:c>
      <x:c r="C34" s="3" t="str">
        <x:v>2024-1</x:v>
      </x:c>
      <x:c r="D34" s="3" t="str">
        <x:v>IT02</x:v>
      </x:c>
      <x:c r="E34" s="3" t="str">
        <x:v>T002</x:v>
      </x:c>
      <x:c r="F34" s="3" t="str">
        <x:v>IT-102</x:v>
      </x:c>
      <x:c r="G34" s="3" t="str">
        <x:v>Mon</x:v>
      </x:c>
      <x:c r="H34" s="3" t="n">
        <x:v>4</x:v>
      </x:c>
      <x:c r="I34" s="3" t="n">
        <x:v>3</x:v>
      </x:c>
    </x:row>
    <x:row r="35" ht="21" customHeight="1">
      <x:c r="A35" s="3" t="str">
        <x:v>SEC031</x:v>
      </x:c>
      <x:c r="B35" s="3" t="str">
        <x:v>GE101</x:v>
      </x:c>
      <x:c r="C35" s="3" t="str">
        <x:v>2025-1</x:v>
      </x:c>
      <x:c r="D35" s="3" t="str">
        <x:v>BA01</x:v>
      </x:c>
      <x:c r="E35" s="3" t="str">
        <x:v>T012</x:v>
      </x:c>
      <x:c r="F35" s="3" t="str">
        <x:v>BA-102</x:v>
      </x:c>
      <x:c r="G35" s="3" t="str">
        <x:v>Tue</x:v>
      </x:c>
      <x:c r="H35" s="3" t="n">
        <x:v>1</x:v>
      </x:c>
      <x:c r="I35" s="3" t="n">
        <x:v>3</x:v>
      </x:c>
    </x:row>
    <x:row r="36" ht="21" customHeight="1">
      <x:c r="A36" s="3" t="str">
        <x:v>SEC032</x:v>
      </x:c>
      <x:c r="B36" s="3" t="str">
        <x:v>GE101</x:v>
      </x:c>
      <x:c r="C36" s="3" t="str">
        <x:v>2025-1</x:v>
      </x:c>
      <x:c r="D36" s="3" t="str">
        <x:v>BA02</x:v>
      </x:c>
      <x:c r="E36" s="3" t="str">
        <x:v>T011</x:v>
      </x:c>
      <x:c r="F36" s="3" t="str">
        <x:v>BA-101</x:v>
      </x:c>
      <x:c r="G36" s="3" t="str">
        <x:v>Tue</x:v>
      </x:c>
      <x:c r="H36" s="3" t="n">
        <x:v>4</x:v>
      </x:c>
      <x:c r="I36" s="3" t="n">
        <x:v>3</x:v>
      </x:c>
    </x:row>
    <x:row r="37" ht="21" customHeight="1">
      <x:c r="A37" s="3" t="str">
        <x:v>SEC033</x:v>
      </x:c>
      <x:c r="B37" s="3" t="str">
        <x:v>GE101</x:v>
      </x:c>
      <x:c r="C37" s="3" t="str">
        <x:v>2025-1</x:v>
      </x:c>
      <x:c r="D37" s="3" t="str">
        <x:v>IT01</x:v>
      </x:c>
      <x:c r="E37" s="3" t="str">
        <x:v>T001</x:v>
      </x:c>
      <x:c r="F37" s="3" t="str">
        <x:v>IT-101</x:v>
      </x:c>
      <x:c r="G37" s="3" t="str">
        <x:v>Tue</x:v>
      </x:c>
      <x:c r="H37" s="3" t="n">
        <x:v>4</x:v>
      </x:c>
      <x:c r="I37" s="3" t="n">
        <x:v>3</x:v>
      </x:c>
    </x:row>
    <x:row r="38" ht="21" customHeight="1">
      <x:c r="A38" s="3" t="str">
        <x:v>SEC034</x:v>
      </x:c>
      <x:c r="B38" s="3" t="str">
        <x:v>GE101</x:v>
      </x:c>
      <x:c r="C38" s="3" t="str">
        <x:v>2025-1</x:v>
      </x:c>
      <x:c r="D38" s="3" t="str">
        <x:v>IT02</x:v>
      </x:c>
      <x:c r="E38" s="3" t="str">
        <x:v>T002</x:v>
      </x:c>
      <x:c r="F38" s="3" t="str">
        <x:v>IT-102</x:v>
      </x:c>
      <x:c r="G38" s="3" t="str">
        <x:v>Tue</x:v>
      </x:c>
      <x:c r="H38" s="3" t="n">
        <x:v>1</x:v>
      </x:c>
      <x:c r="I38" s="3" t="n">
        <x:v>3</x:v>
      </x:c>
    </x:row>
    <x:row r="39" ht="21" customHeight="1">
      <x:c r="A39" s="3" t="str">
        <x:v>SEC035</x:v>
      </x:c>
      <x:c r="B39" s="3" t="str">
        <x:v>GE102</x:v>
      </x:c>
      <x:c r="C39" s="3" t="str">
        <x:v>2024-1</x:v>
      </x:c>
      <x:c r="D39" s="3" t="str">
        <x:v>BA01</x:v>
      </x:c>
      <x:c r="E39" s="3" t="str">
        <x:v>T011</x:v>
      </x:c>
      <x:c r="F39" s="3" t="str">
        <x:v>BA-101</x:v>
      </x:c>
      <x:c r="G39" s="3" t="str">
        <x:v>Mon</x:v>
      </x:c>
      <x:c r="H39" s="3" t="n">
        <x:v>7</x:v>
      </x:c>
      <x:c r="I39" s="3" t="n">
        <x:v>3</x:v>
      </x:c>
    </x:row>
    <x:row r="40" ht="21" customHeight="1">
      <x:c r="A40" s="3" t="str">
        <x:v>SEC036</x:v>
      </x:c>
      <x:c r="B40" s="3" t="str">
        <x:v>GE102</x:v>
      </x:c>
      <x:c r="C40" s="3" t="str">
        <x:v>2024-1</x:v>
      </x:c>
      <x:c r="D40" s="3" t="str">
        <x:v>BA02</x:v>
      </x:c>
      <x:c r="E40" s="3" t="str">
        <x:v>T012</x:v>
      </x:c>
      <x:c r="F40" s="3" t="str">
        <x:v>BA-102</x:v>
      </x:c>
      <x:c r="G40" s="3" t="str">
        <x:v>Mon</x:v>
      </x:c>
      <x:c r="H40" s="3" t="n">
        <x:v>7</x:v>
      </x:c>
      <x:c r="I40" s="3" t="n">
        <x:v>3</x:v>
      </x:c>
    </x:row>
    <x:row r="41" ht="21" customHeight="1">
      <x:c r="A41" s="3" t="str">
        <x:v>SEC037</x:v>
      </x:c>
      <x:c r="B41" s="3" t="str">
        <x:v>GE102</x:v>
      </x:c>
      <x:c r="C41" s="3" t="str">
        <x:v>2024-1</x:v>
      </x:c>
      <x:c r="D41" s="3" t="str">
        <x:v>IT01</x:v>
      </x:c>
      <x:c r="E41" s="3" t="str">
        <x:v>T001</x:v>
      </x:c>
      <x:c r="F41" s="3" t="str">
        <x:v>IT-101</x:v>
      </x:c>
      <x:c r="G41" s="3" t="str">
        <x:v>Mon</x:v>
      </x:c>
      <x:c r="H41" s="3" t="n">
        <x:v>7</x:v>
      </x:c>
      <x:c r="I41" s="3" t="n">
        <x:v>3</x:v>
      </x:c>
    </x:row>
    <x:row r="42" ht="21" customHeight="1">
      <x:c r="A42" s="3" t="str">
        <x:v>SEC038</x:v>
      </x:c>
      <x:c r="B42" s="3" t="str">
        <x:v>GE102</x:v>
      </x:c>
      <x:c r="C42" s="3" t="str">
        <x:v>2024-1</x:v>
      </x:c>
      <x:c r="D42" s="3" t="str">
        <x:v>IT02</x:v>
      </x:c>
      <x:c r="E42" s="3" t="str">
        <x:v>T002</x:v>
      </x:c>
      <x:c r="F42" s="3" t="str">
        <x:v>IT-102</x:v>
      </x:c>
      <x:c r="G42" s="3" t="str">
        <x:v>Mon</x:v>
      </x:c>
      <x:c r="H42" s="3" t="n">
        <x:v>7</x:v>
      </x:c>
      <x:c r="I42" s="3" t="n">
        <x:v>3</x:v>
      </x:c>
    </x:row>
    <x:row r="43" ht="21" customHeight="1">
      <x:c r="A43" s="3" t="str">
        <x:v>SEC039</x:v>
      </x:c>
      <x:c r="B43" s="3" t="str">
        <x:v>GE102</x:v>
      </x:c>
      <x:c r="C43" s="3" t="str">
        <x:v>2025-1</x:v>
      </x:c>
      <x:c r="D43" s="3" t="str">
        <x:v>BA01</x:v>
      </x:c>
      <x:c r="E43" s="3" t="str">
        <x:v>T012</x:v>
      </x:c>
      <x:c r="F43" s="3" t="str">
        <x:v>BA-102</x:v>
      </x:c>
      <x:c r="G43" s="3" t="str">
        <x:v>Tue</x:v>
      </x:c>
      <x:c r="H43" s="3" t="n">
        <x:v>4</x:v>
      </x:c>
      <x:c r="I43" s="3" t="n">
        <x:v>3</x:v>
      </x:c>
    </x:row>
    <x:row r="44" ht="21" customHeight="1">
      <x:c r="A44" s="3" t="str">
        <x:v>SEC040</x:v>
      </x:c>
      <x:c r="B44" s="3" t="str">
        <x:v>GE102</x:v>
      </x:c>
      <x:c r="C44" s="3" t="str">
        <x:v>2025-1</x:v>
      </x:c>
      <x:c r="D44" s="3" t="str">
        <x:v>BA02</x:v>
      </x:c>
      <x:c r="E44" s="3" t="str">
        <x:v>T011</x:v>
      </x:c>
      <x:c r="F44" s="3" t="str">
        <x:v>BA-101</x:v>
      </x:c>
      <x:c r="G44" s="3" t="str">
        <x:v>Tue</x:v>
      </x:c>
      <x:c r="H44" s="3" t="n">
        <x:v>7</x:v>
      </x:c>
      <x:c r="I44" s="3" t="n">
        <x:v>3</x:v>
      </x:c>
    </x:row>
    <x:row r="45" ht="21" customHeight="1">
      <x:c r="A45" s="3" t="str">
        <x:v>SEC041</x:v>
      </x:c>
      <x:c r="B45" s="3" t="str">
        <x:v>GE102</x:v>
      </x:c>
      <x:c r="C45" s="3" t="str">
        <x:v>2025-1</x:v>
      </x:c>
      <x:c r="D45" s="3" t="str">
        <x:v>IT01</x:v>
      </x:c>
      <x:c r="E45" s="3" t="str">
        <x:v>T001</x:v>
      </x:c>
      <x:c r="F45" s="3" t="str">
        <x:v>IT-101</x:v>
      </x:c>
      <x:c r="G45" s="3" t="str">
        <x:v>Tue</x:v>
      </x:c>
      <x:c r="H45" s="3" t="n">
        <x:v>7</x:v>
      </x:c>
      <x:c r="I45" s="3" t="n">
        <x:v>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</x:cols>
  <x:sheetData>
    <x:row r="1">
      <x:c r="A1" s="1" t="str">
        <x:v>Grades</x:v>
      </x:c>
    </x:row>
    <x:row r="2">
      <x:c r="A2" t="str">
        <x:v>2c4110a:mcp-academic/data/sample/grades.csv</x:v>
      </x:c>
    </x:row>
    <x:row r="3">
      <x:c r="A3" t="str">
        <x:v>CSV values start on row 5. Blue inputs, black calculations. Sources and hashes: reference-manifest.json.</x:v>
      </x:c>
    </x:row>
    <x:row r="4" ht="21" customHeight="1">
      <x:c r="A4" s="7" t="str">
        <x:v>student_id</x:v>
      </x:c>
      <x:c r="B4" s="7" t="str">
        <x:v>course_id</x:v>
      </x:c>
      <x:c r="C4" s="7" t="str">
        <x:v>semester</x:v>
      </x:c>
      <x:c r="D4" s="7" t="str">
        <x:v>process_score</x:v>
      </x:c>
      <x:c r="E4" s="7" t="str">
        <x:v>final_score</x:v>
      </x:c>
      <x:c r="F4" s="7" t="str">
        <x:v>valid</x:v>
      </x:c>
      <x:c r="G4" s="7" t="str">
        <x:v>exclusion_reason</x:v>
      </x:c>
      <x:c r="H4" s="7" t="str">
        <x:v>csv_line</x:v>
      </x:c>
      <x:c r="I4" s="7" t="str">
        <x:v>total</x:v>
      </x:c>
      <x:c r="J4" s="7" t="str">
        <x:v>point</x:v>
      </x:c>
      <x:c r="K4" s="7" t="str">
        <x:v>credits</x:v>
      </x:c>
      <x:c r="L4" s="7" t="str">
        <x:v>weighted_points</x:v>
      </x:c>
      <x:c r="M4" s="7" t="str">
        <x:v>class_id</x:v>
      </x:c>
      <x:c r="N4" s="7" t="str">
        <x:v>teacher_id</x:v>
      </x:c>
      <x:c r="O4" s="7" t="str">
        <x:v>passed</x:v>
      </x:c>
    </x:row>
    <x:row r="5" ht="21" customHeight="1">
      <x:c r="A5" s="3" t="str">
        <x:v>2201001</x:v>
      </x:c>
      <x:c r="B5" s="3" t="str">
        <x:v>GE101</x:v>
      </x:c>
      <x:c r="C5" s="3" t="str">
        <x:v>2024-1</x:v>
      </x:c>
      <x:c r="D5" s="3" t="n">
        <x:v>8.5</x:v>
      </x:c>
      <x:c r="E5" s="3" t="n">
        <x:v>8.6</x:v>
      </x:c>
      <x:c r="F5" s="3" t="n">
        <x:v>1</x:v>
      </x:c>
      <x:c r="G5" s="3" t="str"/>
      <x:c r="H5" s="3" t="n">
        <x:v>2</x:v>
      </x:c>
      <x:c r="I5" s="5" t="n">
        <x:f>ROUND(D5*Rules!$B$5+E5*Rules!$B$6,1)</x:f>
        <x:v>8.6</x:v>
      </x:c>
      <x:c r="J5" s="5" t="n">
        <x:f>IF(I5&gt;=Rules!$B$13,Rules!$C$13,IF(I5&gt;=Rules!$B$14,Rules!$C$14,IF(I5&gt;=Rules!$B$15,Rules!$C$15,IF(I5&gt;=Rules!$B$16,Rules!$C$16,Rules!$C$17))))</x:f>
        <x:v>4</x:v>
      </x:c>
      <x:c r="K5" s="5" t="n">
        <x:f>VLOOKUP(B5,Courses!$A$5:$D$14,3,FALSE)</x:f>
        <x:v>2</x:v>
      </x:c>
      <x:c r="L5" s="5" t="n">
        <x:f>J5*K5</x:f>
        <x:v>8</x:v>
      </x:c>
      <x:c r="M5" s="5" t="str">
        <x:f>VLOOKUP(A5,Students!$A$5:$H$45,5,FALSE)</x:f>
        <x:v>IT01</x:v>
      </x:c>
      <x:c r="N5" s="5" t="str">
        <x:f>'Sections'!E33</x:f>
        <x:v>T001</x:v>
      </x:c>
      <x:c r="O5" s="5" t="n">
        <x:f>IF(J5&gt;0,1,0)</x:f>
        <x:v>1</x:v>
      </x:c>
    </x:row>
    <x:row r="6" ht="21" customHeight="1">
      <x:c r="A6" s="3" t="str">
        <x:v>2201001</x:v>
      </x:c>
      <x:c r="B6" s="3" t="str">
        <x:v>GE102</x:v>
      </x:c>
      <x:c r="C6" s="3" t="str">
        <x:v>2024-1</x:v>
      </x:c>
      <x:c r="D6" s="3" t="n">
        <x:v>7.4</x:v>
      </x:c>
      <x:c r="E6" s="3" t="n">
        <x:v>6.9</x:v>
      </x:c>
      <x:c r="F6" s="3" t="n">
        <x:v>1</x:v>
      </x:c>
      <x:c r="G6" s="3" t="str"/>
      <x:c r="H6" s="3" t="n">
        <x:v>3</x:v>
      </x:c>
      <x:c r="I6" s="5" t="n">
        <x:f>ROUND(D6*Rules!$B$5+E6*Rules!$B$6,1)</x:f>
        <x:v>7.1</x:v>
      </x:c>
      <x:c r="J6" s="5" t="n">
        <x:f>IF(I6&gt;=Rules!$B$13,Rules!$C$13,IF(I6&gt;=Rules!$B$14,Rules!$C$14,IF(I6&gt;=Rules!$B$15,Rules!$C$15,IF(I6&gt;=Rules!$B$16,Rules!$C$16,Rules!$C$17))))</x:f>
        <x:v>3</x:v>
      </x:c>
      <x:c r="K6" s="5" t="n">
        <x:f>VLOOKUP(B6,Courses!$A$5:$D$14,3,FALSE)</x:f>
        <x:v>3</x:v>
      </x:c>
      <x:c r="L6" s="5" t="n">
        <x:f>J6*K6</x:f>
        <x:v>9</x:v>
      </x:c>
      <x:c r="M6" s="5" t="str">
        <x:f>VLOOKUP(A6,Students!$A$5:$H$45,5,FALSE)</x:f>
        <x:v>IT01</x:v>
      </x:c>
      <x:c r="N6" s="5" t="str">
        <x:f>'Sections'!E41</x:f>
        <x:v>T001</x:v>
      </x:c>
      <x:c r="O6" s="5" t="n">
        <x:f>IF(J6&gt;0,1,0)</x:f>
        <x:v>1</x:v>
      </x:c>
    </x:row>
    <x:row r="7" ht="21" customHeight="1">
      <x:c r="A7" s="3" t="str">
        <x:v>2201001</x:v>
      </x:c>
      <x:c r="B7" s="3" t="str">
        <x:v>CS101</x:v>
      </x:c>
      <x:c r="C7" s="3" t="str">
        <x:v>2024-1</x:v>
      </x:c>
      <x:c r="D7" s="3" t="n">
        <x:v>7.9</x:v>
      </x:c>
      <x:c r="E7" s="3" t="n">
        <x:v>7.8</x:v>
      </x:c>
      <x:c r="F7" s="3" t="n">
        <x:v>1</x:v>
      </x:c>
      <x:c r="G7" s="3" t="str"/>
      <x:c r="H7" s="3" t="n">
        <x:v>4</x:v>
      </x:c>
      <x:c r="I7" s="5" t="n">
        <x:f>ROUND(D7*Rules!$B$5+E7*Rules!$B$6,1)</x:f>
        <x:v>7.8</x:v>
      </x:c>
      <x:c r="J7" s="5" t="n">
        <x:f>IF(I7&gt;=Rules!$B$13,Rules!$C$13,IF(I7&gt;=Rules!$B$14,Rules!$C$14,IF(I7&gt;=Rules!$B$15,Rules!$C$15,IF(I7&gt;=Rules!$B$16,Rules!$C$16,Rules!$C$17))))</x:f>
        <x:v>3</x:v>
      </x:c>
      <x:c r="K7" s="5" t="n">
        <x:f>VLOOKUP(B7,Courses!$A$5:$D$14,3,FALSE)</x:f>
        <x:v>3</x:v>
      </x:c>
      <x:c r="L7" s="5" t="n">
        <x:f>J7*K7</x:f>
        <x:v>9</x:v>
      </x:c>
      <x:c r="M7" s="5" t="str">
        <x:f>VLOOKUP(A7,Students!$A$5:$H$45,5,FALSE)</x:f>
        <x:v>IT01</x:v>
      </x:c>
      <x:c r="N7" s="5" t="str">
        <x:f>'Sections'!E18</x:f>
        <x:v>T001</x:v>
      </x:c>
      <x:c r="O7" s="5" t="n">
        <x:f>IF(J7&gt;0,1,0)</x:f>
        <x:v>1</x:v>
      </x:c>
    </x:row>
    <x:row r="8" ht="21" customHeight="1">
      <x:c r="A8" s="3" t="str">
        <x:v>2201001</x:v>
      </x:c>
      <x:c r="B8" s="3" t="str">
        <x:v>CS102</x:v>
      </x:c>
      <x:c r="C8" s="3" t="str">
        <x:v>2024-2</x:v>
      </x:c>
      <x:c r="D8" s="3" t="n">
        <x:v>7.9</x:v>
      </x:c>
      <x:c r="E8" s="3" t="n">
        <x:v>9.2</x:v>
      </x:c>
      <x:c r="F8" s="3" t="n">
        <x:v>1</x:v>
      </x:c>
      <x:c r="G8" s="3" t="str"/>
      <x:c r="H8" s="3" t="n">
        <x:v>5</x:v>
      </x:c>
      <x:c r="I8" s="5" t="n">
        <x:f>ROUND(D8*Rules!$B$5+E8*Rules!$B$6,1)</x:f>
        <x:v>8.7</x:v>
      </x:c>
      <x:c r="J8" s="5" t="n">
        <x:f>IF(I8&gt;=Rules!$B$13,Rules!$C$13,IF(I8&gt;=Rules!$B$14,Rules!$C$14,IF(I8&gt;=Rules!$B$15,Rules!$C$15,IF(I8&gt;=Rules!$B$16,Rules!$C$16,Rules!$C$17))))</x:f>
        <x:v>4</x:v>
      </x:c>
      <x:c r="K8" s="5" t="n">
        <x:f>VLOOKUP(B8,Courses!$A$5:$D$14,3,FALSE)</x:f>
        <x:v>3</x:v>
      </x:c>
      <x:c r="L8" s="5" t="n">
        <x:f>J8*K8</x:f>
        <x:v>12</x:v>
      </x:c>
      <x:c r="M8" s="5" t="str">
        <x:f>VLOOKUP(A8,Students!$A$5:$H$45,5,FALSE)</x:f>
        <x:v>IT01</x:v>
      </x:c>
      <x:c r="N8" s="5" t="str">
        <x:f>'Sections'!E21</x:f>
        <x:v>T001</x:v>
      </x:c>
      <x:c r="O8" s="5" t="n">
        <x:f>IF(J8&gt;0,1,0)</x:f>
        <x:v>1</x:v>
      </x:c>
    </x:row>
    <x:row r="9" ht="21" customHeight="1">
      <x:c r="A9" s="3" t="str">
        <x:v>2201001</x:v>
      </x:c>
      <x:c r="B9" s="3" t="str">
        <x:v>CS201</x:v>
      </x:c>
      <x:c r="C9" s="3" t="str">
        <x:v>2024-2</x:v>
      </x:c>
      <x:c r="D9" s="3" t="n">
        <x:v>9</x:v>
      </x:c>
      <x:c r="E9" s="3" t="n">
        <x:v>7.4</x:v>
      </x:c>
      <x:c r="F9" s="3" t="n">
        <x:v>1</x:v>
      </x:c>
      <x:c r="G9" s="3" t="str"/>
      <x:c r="H9" s="3" t="n">
        <x:v>6</x:v>
      </x:c>
      <x:c r="I9" s="5" t="n">
        <x:f>ROUND(D9*Rules!$B$5+E9*Rules!$B$6,1)</x:f>
        <x:v>8</x:v>
      </x:c>
      <x:c r="J9" s="5" t="n">
        <x:f>IF(I9&gt;=Rules!$B$13,Rules!$C$13,IF(I9&gt;=Rules!$B$14,Rules!$C$14,IF(I9&gt;=Rules!$B$15,Rules!$C$15,IF(I9&gt;=Rules!$B$16,Rules!$C$16,Rules!$C$17))))</x:f>
        <x:v>3</x:v>
      </x:c>
      <x:c r="K9" s="5" t="n">
        <x:f>VLOOKUP(B9,Courses!$A$5:$D$14,3,FALSE)</x:f>
        <x:v>4</x:v>
      </x:c>
      <x:c r="L9" s="5" t="n">
        <x:f>J9*K9</x:f>
        <x:v>12</x:v>
      </x:c>
      <x:c r="M9" s="5" t="str">
        <x:f>VLOOKUP(A9,Students!$A$5:$H$45,5,FALSE)</x:f>
        <x:v>IT01</x:v>
      </x:c>
      <x:c r="N9" s="5" t="str">
        <x:f>'Sections'!E25</x:f>
        <x:v>T001</x:v>
      </x:c>
      <x:c r="O9" s="5" t="n">
        <x:f>IF(J9&gt;0,1,0)</x:f>
        <x:v>1</x:v>
      </x:c>
    </x:row>
    <x:row r="10" ht="21" customHeight="1">
      <x:c r="A10" s="3" t="str">
        <x:v>2201001</x:v>
      </x:c>
      <x:c r="B10" s="3" t="str">
        <x:v>CS202</x:v>
      </x:c>
      <x:c r="C10" s="3" t="str">
        <x:v>2025-1</x:v>
      </x:c>
      <x:c r="D10" s="3" t="n">
        <x:v>6.9</x:v>
      </x:c>
      <x:c r="E10" s="3" t="n">
        <x:v>8.3</x:v>
      </x:c>
      <x:c r="F10" s="3" t="n">
        <x:v>1</x:v>
      </x:c>
      <x:c r="G10" s="3" t="str"/>
      <x:c r="H10" s="3" t="n">
        <x:v>7</x:v>
      </x:c>
      <x:c r="I10" s="5" t="n">
        <x:f>ROUND(D10*Rules!$B$5+E10*Rules!$B$6,1)</x:f>
        <x:v>7.7</x:v>
      </x:c>
      <x:c r="J10" s="5" t="n">
        <x:f>IF(I10&gt;=Rules!$B$13,Rules!$C$13,IF(I10&gt;=Rules!$B$14,Rules!$C$14,IF(I10&gt;=Rules!$B$15,Rules!$C$15,IF(I10&gt;=Rules!$B$16,Rules!$C$16,Rules!$C$17))))</x:f>
        <x:v>3</x:v>
      </x:c>
      <x:c r="K10" s="5" t="n">
        <x:f>VLOOKUP(B10,Courses!$A$5:$D$14,3,FALSE)</x:f>
        <x:v>3</x:v>
      </x:c>
      <x:c r="L10" s="5" t="n">
        <x:f>J10*K10</x:f>
        <x:v>9</x:v>
      </x:c>
      <x:c r="M10" s="5" t="str">
        <x:f>VLOOKUP(A10,Students!$A$5:$H$45,5,FALSE)</x:f>
        <x:v>IT01</x:v>
      </x:c>
      <x:c r="N10" s="5" t="str">
        <x:f>'Sections'!E29</x:f>
        <x:v>T001</x:v>
      </x:c>
      <x:c r="O10" s="5" t="n">
        <x:f>IF(J10&gt;0,1,0)</x:f>
        <x:v>1</x:v>
      </x:c>
    </x:row>
    <x:row r="11" ht="21" customHeight="1">
      <x:c r="A11" s="3" t="str">
        <x:v>2201002</x:v>
      </x:c>
      <x:c r="B11" s="3" t="str">
        <x:v>GE101</x:v>
      </x:c>
      <x:c r="C11" s="3" t="str">
        <x:v>2024-1</x:v>
      </x:c>
      <x:c r="D11" s="3" t="n">
        <x:v>8.8</x:v>
      </x:c>
      <x:c r="E11" s="3" t="n">
        <x:v>7.3</x:v>
      </x:c>
      <x:c r="F11" s="3" t="n">
        <x:v>1</x:v>
      </x:c>
      <x:c r="G11" s="3" t="str"/>
      <x:c r="H11" s="3" t="n">
        <x:v>8</x:v>
      </x:c>
      <x:c r="I11" s="5" t="n">
        <x:f>ROUND(D11*Rules!$B$5+E11*Rules!$B$6,1)</x:f>
        <x:v>7.9</x:v>
      </x:c>
      <x:c r="J11" s="5" t="n">
        <x:f>IF(I11&gt;=Rules!$B$13,Rules!$C$13,IF(I11&gt;=Rules!$B$14,Rules!$C$14,IF(I11&gt;=Rules!$B$15,Rules!$C$15,IF(I11&gt;=Rules!$B$16,Rules!$C$16,Rules!$C$17))))</x:f>
        <x:v>3</x:v>
      </x:c>
      <x:c r="K11" s="5" t="n">
        <x:f>VLOOKUP(B11,Courses!$A$5:$D$14,3,FALSE)</x:f>
        <x:v>2</x:v>
      </x:c>
      <x:c r="L11" s="5" t="n">
        <x:f>J11*K11</x:f>
        <x:v>6</x:v>
      </x:c>
      <x:c r="M11" s="5" t="str">
        <x:f>VLOOKUP(A11,Students!$A$5:$H$45,5,FALSE)</x:f>
        <x:v>IT01</x:v>
      </x:c>
      <x:c r="N11" s="5" t="str">
        <x:f>'Sections'!E33</x:f>
        <x:v>T001</x:v>
      </x:c>
      <x:c r="O11" s="5" t="n">
        <x:f>IF(J11&gt;0,1,0)</x:f>
        <x:v>1</x:v>
      </x:c>
    </x:row>
    <x:row r="12" ht="21" customHeight="1">
      <x:c r="A12" s="3" t="str">
        <x:v>2201002</x:v>
      </x:c>
      <x:c r="B12" s="3" t="str">
        <x:v>GE102</x:v>
      </x:c>
      <x:c r="C12" s="3" t="str">
        <x:v>2024-1</x:v>
      </x:c>
      <x:c r="D12" s="3" t="n">
        <x:v>7.6</x:v>
      </x:c>
      <x:c r="E12" s="3" t="n">
        <x:v>7.7</x:v>
      </x:c>
      <x:c r="F12" s="3" t="n">
        <x:v>1</x:v>
      </x:c>
      <x:c r="G12" s="3" t="str"/>
      <x:c r="H12" s="3" t="n">
        <x:v>9</x:v>
      </x:c>
      <x:c r="I12" s="5" t="n">
        <x:f>ROUND(D12*Rules!$B$5+E12*Rules!$B$6,1)</x:f>
        <x:v>7.7</x:v>
      </x:c>
      <x:c r="J12" s="5" t="n">
        <x:f>IF(I12&gt;=Rules!$B$13,Rules!$C$13,IF(I12&gt;=Rules!$B$14,Rules!$C$14,IF(I12&gt;=Rules!$B$15,Rules!$C$15,IF(I12&gt;=Rules!$B$16,Rules!$C$16,Rules!$C$17))))</x:f>
        <x:v>3</x:v>
      </x:c>
      <x:c r="K12" s="5" t="n">
        <x:f>VLOOKUP(B12,Courses!$A$5:$D$14,3,FALSE)</x:f>
        <x:v>3</x:v>
      </x:c>
      <x:c r="L12" s="5" t="n">
        <x:f>J12*K12</x:f>
        <x:v>9</x:v>
      </x:c>
      <x:c r="M12" s="5" t="str">
        <x:f>VLOOKUP(A12,Students!$A$5:$H$45,5,FALSE)</x:f>
        <x:v>IT01</x:v>
      </x:c>
      <x:c r="N12" s="5" t="str">
        <x:f>'Sections'!E41</x:f>
        <x:v>T001</x:v>
      </x:c>
      <x:c r="O12" s="5" t="n">
        <x:f>IF(J12&gt;0,1,0)</x:f>
        <x:v>1</x:v>
      </x:c>
    </x:row>
    <x:row r="13" ht="21" customHeight="1">
      <x:c r="A13" s="3" t="str">
        <x:v>2201002</x:v>
      </x:c>
      <x:c r="B13" s="3" t="str">
        <x:v>CS101</x:v>
      </x:c>
      <x:c r="C13" s="3" t="str">
        <x:v>2024-1</x:v>
      </x:c>
      <x:c r="D13" s="3" t="n">
        <x:v>8.2</x:v>
      </x:c>
      <x:c r="E13" s="3" t="n">
        <x:v>6.5</x:v>
      </x:c>
      <x:c r="F13" s="3" t="n">
        <x:v>1</x:v>
      </x:c>
      <x:c r="G13" s="3" t="str"/>
      <x:c r="H13" s="3" t="n">
        <x:v>10</x:v>
      </x:c>
      <x:c r="I13" s="5" t="n">
        <x:f>ROUND(D13*Rules!$B$5+E13*Rules!$B$6,1)</x:f>
        <x:v>7.2</x:v>
      </x:c>
      <x:c r="J13" s="5" t="n">
        <x:f>IF(I13&gt;=Rules!$B$13,Rules!$C$13,IF(I13&gt;=Rules!$B$14,Rules!$C$14,IF(I13&gt;=Rules!$B$15,Rules!$C$15,IF(I13&gt;=Rules!$B$16,Rules!$C$16,Rules!$C$17))))</x:f>
        <x:v>3</x:v>
      </x:c>
      <x:c r="K13" s="5" t="n">
        <x:f>VLOOKUP(B13,Courses!$A$5:$D$14,3,FALSE)</x:f>
        <x:v>3</x:v>
      </x:c>
      <x:c r="L13" s="5" t="n">
        <x:f>J13*K13</x:f>
        <x:v>9</x:v>
      </x:c>
      <x:c r="M13" s="5" t="str">
        <x:f>VLOOKUP(A13,Students!$A$5:$H$45,5,FALSE)</x:f>
        <x:v>IT01</x:v>
      </x:c>
      <x:c r="N13" s="5" t="str">
        <x:f>'Sections'!E18</x:f>
        <x:v>T001</x:v>
      </x:c>
      <x:c r="O13" s="5" t="n">
        <x:f>IF(J13&gt;0,1,0)</x:f>
        <x:v>1</x:v>
      </x:c>
    </x:row>
    <x:row r="14" ht="21" customHeight="1">
      <x:c r="A14" s="3" t="str">
        <x:v>2201002</x:v>
      </x:c>
      <x:c r="B14" s="3" t="str">
        <x:v>CS102</x:v>
      </x:c>
      <x:c r="C14" s="3" t="str">
        <x:v>2024-2</x:v>
      </x:c>
      <x:c r="D14" s="3" t="n">
        <x:v>7.1</x:v>
      </x:c>
      <x:c r="E14" s="3" t="n">
        <x:v>6.5</x:v>
      </x:c>
      <x:c r="F14" s="3" t="n">
        <x:v>1</x:v>
      </x:c>
      <x:c r="G14" s="3" t="str"/>
      <x:c r="H14" s="3" t="n">
        <x:v>11</x:v>
      </x:c>
      <x:c r="I14" s="5" t="n">
        <x:f>ROUND(D14*Rules!$B$5+E14*Rules!$B$6,1)</x:f>
        <x:v>6.7</x:v>
      </x:c>
      <x:c r="J14" s="5" t="n">
        <x:f>IF(I14&gt;=Rules!$B$13,Rules!$C$13,IF(I14&gt;=Rules!$B$14,Rules!$C$14,IF(I14&gt;=Rules!$B$15,Rules!$C$15,IF(I14&gt;=Rules!$B$16,Rules!$C$16,Rules!$C$17))))</x:f>
        <x:v>2</x:v>
      </x:c>
      <x:c r="K14" s="5" t="n">
        <x:f>VLOOKUP(B14,Courses!$A$5:$D$14,3,FALSE)</x:f>
        <x:v>3</x:v>
      </x:c>
      <x:c r="L14" s="5" t="n">
        <x:f>J14*K14</x:f>
        <x:v>6</x:v>
      </x:c>
      <x:c r="M14" s="5" t="str">
        <x:f>VLOOKUP(A14,Students!$A$5:$H$45,5,FALSE)</x:f>
        <x:v>IT01</x:v>
      </x:c>
      <x:c r="N14" s="5" t="str">
        <x:f>'Sections'!E21</x:f>
        <x:v>T001</x:v>
      </x:c>
      <x:c r="O14" s="5" t="n">
        <x:f>IF(J14&gt;0,1,0)</x:f>
        <x:v>1</x:v>
      </x:c>
    </x:row>
    <x:row r="15" ht="21" customHeight="1">
      <x:c r="A15" s="3" t="str">
        <x:v>2201002</x:v>
      </x:c>
      <x:c r="B15" s="3" t="str">
        <x:v>CS201</x:v>
      </x:c>
      <x:c r="C15" s="3" t="str">
        <x:v>2024-2</x:v>
      </x:c>
      <x:c r="D15" s="3" t="n">
        <x:v>8</x:v>
      </x:c>
      <x:c r="E15" s="3" t="n">
        <x:v>6.7</x:v>
      </x:c>
      <x:c r="F15" s="3" t="n">
        <x:v>1</x:v>
      </x:c>
      <x:c r="G15" s="3" t="str"/>
      <x:c r="H15" s="3" t="n">
        <x:v>12</x:v>
      </x:c>
      <x:c r="I15" s="5" t="n">
        <x:f>ROUND(D15*Rules!$B$5+E15*Rules!$B$6,1)</x:f>
        <x:v>7.2</x:v>
      </x:c>
      <x:c r="J15" s="5" t="n">
        <x:f>IF(I15&gt;=Rules!$B$13,Rules!$C$13,IF(I15&gt;=Rules!$B$14,Rules!$C$14,IF(I15&gt;=Rules!$B$15,Rules!$C$15,IF(I15&gt;=Rules!$B$16,Rules!$C$16,Rules!$C$17))))</x:f>
        <x:v>3</x:v>
      </x:c>
      <x:c r="K15" s="5" t="n">
        <x:f>VLOOKUP(B15,Courses!$A$5:$D$14,3,FALSE)</x:f>
        <x:v>4</x:v>
      </x:c>
      <x:c r="L15" s="5" t="n">
        <x:f>J15*K15</x:f>
        <x:v>12</x:v>
      </x:c>
      <x:c r="M15" s="5" t="str">
        <x:f>VLOOKUP(A15,Students!$A$5:$H$45,5,FALSE)</x:f>
        <x:v>IT01</x:v>
      </x:c>
      <x:c r="N15" s="5" t="str">
        <x:f>'Sections'!E25</x:f>
        <x:v>T001</x:v>
      </x:c>
      <x:c r="O15" s="5" t="n">
        <x:f>IF(J15&gt;0,1,0)</x:f>
        <x:v>1</x:v>
      </x:c>
    </x:row>
    <x:row r="16" ht="21" customHeight="1">
      <x:c r="A16" s="3" t="str">
        <x:v>2201002</x:v>
      </x:c>
      <x:c r="B16" s="3" t="str">
        <x:v>CS202</x:v>
      </x:c>
      <x:c r="C16" s="3" t="str">
        <x:v>2025-1</x:v>
      </x:c>
      <x:c r="D16" s="3" t="n">
        <x:v>7</x:v>
      </x:c>
      <x:c r="E16" s="3" t="n">
        <x:v>8.2</x:v>
      </x:c>
      <x:c r="F16" s="3" t="n">
        <x:v>1</x:v>
      </x:c>
      <x:c r="G16" s="3" t="str"/>
      <x:c r="H16" s="3" t="n">
        <x:v>13</x:v>
      </x:c>
      <x:c r="I16" s="5" t="n">
        <x:f>ROUND(D16*Rules!$B$5+E16*Rules!$B$6,1)</x:f>
        <x:v>7.7</x:v>
      </x:c>
      <x:c r="J16" s="5" t="n">
        <x:f>IF(I16&gt;=Rules!$B$13,Rules!$C$13,IF(I16&gt;=Rules!$B$14,Rules!$C$14,IF(I16&gt;=Rules!$B$15,Rules!$C$15,IF(I16&gt;=Rules!$B$16,Rules!$C$16,Rules!$C$17))))</x:f>
        <x:v>3</x:v>
      </x:c>
      <x:c r="K16" s="5" t="n">
        <x:f>VLOOKUP(B16,Courses!$A$5:$D$14,3,FALSE)</x:f>
        <x:v>3</x:v>
      </x:c>
      <x:c r="L16" s="5" t="n">
        <x:f>J16*K16</x:f>
        <x:v>9</x:v>
      </x:c>
      <x:c r="M16" s="5" t="str">
        <x:f>VLOOKUP(A16,Students!$A$5:$H$45,5,FALSE)</x:f>
        <x:v>IT01</x:v>
      </x:c>
      <x:c r="N16" s="5" t="str">
        <x:f>'Sections'!E29</x:f>
        <x:v>T001</x:v>
      </x:c>
      <x:c r="O16" s="5" t="n">
        <x:f>IF(J16&gt;0,1,0)</x:f>
        <x:v>1</x:v>
      </x:c>
    </x:row>
    <x:row r="17" ht="21" customHeight="1">
      <x:c r="A17" s="3" t="str">
        <x:v>2201003</x:v>
      </x:c>
      <x:c r="B17" s="3" t="str">
        <x:v>GE101</x:v>
      </x:c>
      <x:c r="C17" s="3" t="str">
        <x:v>2024-1</x:v>
      </x:c>
      <x:c r="D17" s="3" t="n">
        <x:v>9.7</x:v>
      </x:c>
      <x:c r="E17" s="3" t="n">
        <x:v>9.3</x:v>
      </x:c>
      <x:c r="F17" s="3" t="n">
        <x:v>1</x:v>
      </x:c>
      <x:c r="G17" s="3" t="str"/>
      <x:c r="H17" s="3" t="n">
        <x:v>14</x:v>
      </x:c>
      <x:c r="I17" s="5" t="n">
        <x:f>ROUND(D17*Rules!$B$5+E17*Rules!$B$6,1)</x:f>
        <x:v>9.5</x:v>
      </x:c>
      <x:c r="J17" s="5" t="n">
        <x:f>IF(I17&gt;=Rules!$B$13,Rules!$C$13,IF(I17&gt;=Rules!$B$14,Rules!$C$14,IF(I17&gt;=Rules!$B$15,Rules!$C$15,IF(I17&gt;=Rules!$B$16,Rules!$C$16,Rules!$C$17))))</x:f>
        <x:v>4</x:v>
      </x:c>
      <x:c r="K17" s="5" t="n">
        <x:f>VLOOKUP(B17,Courses!$A$5:$D$14,3,FALSE)</x:f>
        <x:v>2</x:v>
      </x:c>
      <x:c r="L17" s="5" t="n">
        <x:f>J17*K17</x:f>
        <x:v>8</x:v>
      </x:c>
      <x:c r="M17" s="5" t="str">
        <x:f>VLOOKUP(A17,Students!$A$5:$H$45,5,FALSE)</x:f>
        <x:v>IT01</x:v>
      </x:c>
      <x:c r="N17" s="5" t="str">
        <x:f>'Sections'!E33</x:f>
        <x:v>T001</x:v>
      </x:c>
      <x:c r="O17" s="5" t="n">
        <x:f>IF(J17&gt;0,1,0)</x:f>
        <x:v>1</x:v>
      </x:c>
    </x:row>
    <x:row r="18" ht="21" customHeight="1">
      <x:c r="A18" s="3" t="str">
        <x:v>2201003</x:v>
      </x:c>
      <x:c r="B18" s="3" t="str">
        <x:v>GE102</x:v>
      </x:c>
      <x:c r="C18" s="3" t="str">
        <x:v>2024-1</x:v>
      </x:c>
      <x:c r="D18" s="3" t="n">
        <x:v>8.9</x:v>
      </x:c>
      <x:c r="E18" s="3" t="n">
        <x:v>9.7</x:v>
      </x:c>
      <x:c r="F18" s="3" t="n">
        <x:v>1</x:v>
      </x:c>
      <x:c r="G18" s="3" t="str"/>
      <x:c r="H18" s="3" t="n">
        <x:v>15</x:v>
      </x:c>
      <x:c r="I18" s="5" t="n">
        <x:f>ROUND(D18*Rules!$B$5+E18*Rules!$B$6,1)</x:f>
        <x:v>9.4</x:v>
      </x:c>
      <x:c r="J18" s="5" t="n">
        <x:f>IF(I18&gt;=Rules!$B$13,Rules!$C$13,IF(I18&gt;=Rules!$B$14,Rules!$C$14,IF(I18&gt;=Rules!$B$15,Rules!$C$15,IF(I18&gt;=Rules!$B$16,Rules!$C$16,Rules!$C$17))))</x:f>
        <x:v>4</x:v>
      </x:c>
      <x:c r="K18" s="5" t="n">
        <x:f>VLOOKUP(B18,Courses!$A$5:$D$14,3,FALSE)</x:f>
        <x:v>3</x:v>
      </x:c>
      <x:c r="L18" s="5" t="n">
        <x:f>J18*K18</x:f>
        <x:v>12</x:v>
      </x:c>
      <x:c r="M18" s="5" t="str">
        <x:f>VLOOKUP(A18,Students!$A$5:$H$45,5,FALSE)</x:f>
        <x:v>IT01</x:v>
      </x:c>
      <x:c r="N18" s="5" t="str">
        <x:f>'Sections'!E41</x:f>
        <x:v>T001</x:v>
      </x:c>
      <x:c r="O18" s="5" t="n">
        <x:f>IF(J18&gt;0,1,0)</x:f>
        <x:v>1</x:v>
      </x:c>
    </x:row>
    <x:row r="19" ht="21" customHeight="1">
      <x:c r="A19" s="3" t="str">
        <x:v>2201003</x:v>
      </x:c>
      <x:c r="B19" s="3" t="str">
        <x:v>CS101</x:v>
      </x:c>
      <x:c r="C19" s="3" t="str">
        <x:v>2024-1</x:v>
      </x:c>
      <x:c r="D19" s="3" t="n">
        <x:v>8.4</x:v>
      </x:c>
      <x:c r="E19" s="3" t="n">
        <x:v>9</x:v>
      </x:c>
      <x:c r="F19" s="3" t="n">
        <x:v>1</x:v>
      </x:c>
      <x:c r="G19" s="3" t="str"/>
      <x:c r="H19" s="3" t="n">
        <x:v>16</x:v>
      </x:c>
      <x:c r="I19" s="5" t="n">
        <x:f>ROUND(D19*Rules!$B$5+E19*Rules!$B$6,1)</x:f>
        <x:v>8.8</x:v>
      </x:c>
      <x:c r="J19" s="5" t="n">
        <x:f>IF(I19&gt;=Rules!$B$13,Rules!$C$13,IF(I19&gt;=Rules!$B$14,Rules!$C$14,IF(I19&gt;=Rules!$B$15,Rules!$C$15,IF(I19&gt;=Rules!$B$16,Rules!$C$16,Rules!$C$17))))</x:f>
        <x:v>4</x:v>
      </x:c>
      <x:c r="K19" s="5" t="n">
        <x:f>VLOOKUP(B19,Courses!$A$5:$D$14,3,FALSE)</x:f>
        <x:v>3</x:v>
      </x:c>
      <x:c r="L19" s="5" t="n">
        <x:f>J19*K19</x:f>
        <x:v>12</x:v>
      </x:c>
      <x:c r="M19" s="5" t="str">
        <x:f>VLOOKUP(A19,Students!$A$5:$H$45,5,FALSE)</x:f>
        <x:v>IT01</x:v>
      </x:c>
      <x:c r="N19" s="5" t="str">
        <x:f>'Sections'!E18</x:f>
        <x:v>T001</x:v>
      </x:c>
      <x:c r="O19" s="5" t="n">
        <x:f>IF(J19&gt;0,1,0)</x:f>
        <x:v>1</x:v>
      </x:c>
    </x:row>
    <x:row r="20" ht="21" customHeight="1">
      <x:c r="A20" s="3" t="str">
        <x:v>2201003</x:v>
      </x:c>
      <x:c r="B20" s="3" t="str">
        <x:v>CS102</x:v>
      </x:c>
      <x:c r="C20" s="3" t="str">
        <x:v>2024-2</x:v>
      </x:c>
      <x:c r="D20" s="3" t="n">
        <x:v>10</x:v>
      </x:c>
      <x:c r="E20" s="3" t="n">
        <x:v>10</x:v>
      </x:c>
      <x:c r="F20" s="3" t="n">
        <x:v>1</x:v>
      </x:c>
      <x:c r="G20" s="3" t="str"/>
      <x:c r="H20" s="3" t="n">
        <x:v>17</x:v>
      </x:c>
      <x:c r="I20" s="5" t="n">
        <x:f>ROUND(D20*Rules!$B$5+E20*Rules!$B$6,1)</x:f>
        <x:v>10</x:v>
      </x:c>
      <x:c r="J20" s="5" t="n">
        <x:f>IF(I20&gt;=Rules!$B$13,Rules!$C$13,IF(I20&gt;=Rules!$B$14,Rules!$C$14,IF(I20&gt;=Rules!$B$15,Rules!$C$15,IF(I20&gt;=Rules!$B$16,Rules!$C$16,Rules!$C$17))))</x:f>
        <x:v>4</x:v>
      </x:c>
      <x:c r="K20" s="5" t="n">
        <x:f>VLOOKUP(B20,Courses!$A$5:$D$14,3,FALSE)</x:f>
        <x:v>3</x:v>
      </x:c>
      <x:c r="L20" s="5" t="n">
        <x:f>J20*K20</x:f>
        <x:v>12</x:v>
      </x:c>
      <x:c r="M20" s="5" t="str">
        <x:f>VLOOKUP(A20,Students!$A$5:$H$45,5,FALSE)</x:f>
        <x:v>IT01</x:v>
      </x:c>
      <x:c r="N20" s="5" t="str">
        <x:f>'Sections'!E21</x:f>
        <x:v>T001</x:v>
      </x:c>
      <x:c r="O20" s="5" t="n">
        <x:f>IF(J20&gt;0,1,0)</x:f>
        <x:v>1</x:v>
      </x:c>
    </x:row>
    <x:row r="21" ht="21" customHeight="1">
      <x:c r="A21" s="3" t="str">
        <x:v>2201003</x:v>
      </x:c>
      <x:c r="B21" s="3" t="str">
        <x:v>CS201</x:v>
      </x:c>
      <x:c r="C21" s="3" t="str">
        <x:v>2024-2</x:v>
      </x:c>
      <x:c r="D21" s="3" t="n">
        <x:v>9.5</x:v>
      </x:c>
      <x:c r="E21" s="3" t="n">
        <x:v>9.7</x:v>
      </x:c>
      <x:c r="F21" s="3" t="n">
        <x:v>1</x:v>
      </x:c>
      <x:c r="G21" s="3" t="str"/>
      <x:c r="H21" s="3" t="n">
        <x:v>18</x:v>
      </x:c>
      <x:c r="I21" s="5" t="n">
        <x:f>ROUND(D21*Rules!$B$5+E21*Rules!$B$6,1)</x:f>
        <x:v>9.6</x:v>
      </x:c>
      <x:c r="J21" s="5" t="n">
        <x:f>IF(I21&gt;=Rules!$B$13,Rules!$C$13,IF(I21&gt;=Rules!$B$14,Rules!$C$14,IF(I21&gt;=Rules!$B$15,Rules!$C$15,IF(I21&gt;=Rules!$B$16,Rules!$C$16,Rules!$C$17))))</x:f>
        <x:v>4</x:v>
      </x:c>
      <x:c r="K21" s="5" t="n">
        <x:f>VLOOKUP(B21,Courses!$A$5:$D$14,3,FALSE)</x:f>
        <x:v>4</x:v>
      </x:c>
      <x:c r="L21" s="5" t="n">
        <x:f>J21*K21</x:f>
        <x:v>16</x:v>
      </x:c>
      <x:c r="M21" s="5" t="str">
        <x:f>VLOOKUP(A21,Students!$A$5:$H$45,5,FALSE)</x:f>
        <x:v>IT01</x:v>
      </x:c>
      <x:c r="N21" s="5" t="str">
        <x:f>'Sections'!E25</x:f>
        <x:v>T001</x:v>
      </x:c>
      <x:c r="O21" s="5" t="n">
        <x:f>IF(J21&gt;0,1,0)</x:f>
        <x:v>1</x:v>
      </x:c>
    </x:row>
    <x:row r="22" ht="21" customHeight="1">
      <x:c r="A22" s="3" t="str">
        <x:v>2201003</x:v>
      </x:c>
      <x:c r="B22" s="3" t="str">
        <x:v>CS202</x:v>
      </x:c>
      <x:c r="C22" s="3" t="str">
        <x:v>2025-1</x:v>
      </x:c>
      <x:c r="D22" s="3" t="n">
        <x:v>10</x:v>
      </x:c>
      <x:c r="E22" s="3" t="n">
        <x:v>7.5</x:v>
      </x:c>
      <x:c r="F22" s="3" t="n">
        <x:v>1</x:v>
      </x:c>
      <x:c r="G22" s="3" t="str"/>
      <x:c r="H22" s="3" t="n">
        <x:v>19</x:v>
      </x:c>
      <x:c r="I22" s="5" t="n">
        <x:f>ROUND(D22*Rules!$B$5+E22*Rules!$B$6,1)</x:f>
        <x:v>8.5</x:v>
      </x:c>
      <x:c r="J22" s="5" t="n">
        <x:f>IF(I22&gt;=Rules!$B$13,Rules!$C$13,IF(I22&gt;=Rules!$B$14,Rules!$C$14,IF(I22&gt;=Rules!$B$15,Rules!$C$15,IF(I22&gt;=Rules!$B$16,Rules!$C$16,Rules!$C$17))))</x:f>
        <x:v>4</x:v>
      </x:c>
      <x:c r="K22" s="5" t="n">
        <x:f>VLOOKUP(B22,Courses!$A$5:$D$14,3,FALSE)</x:f>
        <x:v>3</x:v>
      </x:c>
      <x:c r="L22" s="5" t="n">
        <x:f>J22*K22</x:f>
        <x:v>12</x:v>
      </x:c>
      <x:c r="M22" s="5" t="str">
        <x:f>VLOOKUP(A22,Students!$A$5:$H$45,5,FALSE)</x:f>
        <x:v>IT01</x:v>
      </x:c>
      <x:c r="N22" s="5" t="str">
        <x:f>'Sections'!E29</x:f>
        <x:v>T001</x:v>
      </x:c>
      <x:c r="O22" s="5" t="n">
        <x:f>IF(J22&gt;0,1,0)</x:f>
        <x:v>1</x:v>
      </x:c>
    </x:row>
    <x:row r="23" ht="21" customHeight="1">
      <x:c r="A23" s="3" t="str">
        <x:v>2201004</x:v>
      </x:c>
      <x:c r="B23" s="3" t="str">
        <x:v>GE101</x:v>
      </x:c>
      <x:c r="C23" s="3" t="str">
        <x:v>2024-1</x:v>
      </x:c>
      <x:c r="D23" s="3" t="n">
        <x:v>10</x:v>
      </x:c>
      <x:c r="E23" s="3" t="n">
        <x:v>10</x:v>
      </x:c>
      <x:c r="F23" s="3" t="n">
        <x:v>1</x:v>
      </x:c>
      <x:c r="G23" s="3" t="str"/>
      <x:c r="H23" s="3" t="n">
        <x:v>20</x:v>
      </x:c>
      <x:c r="I23" s="5" t="n">
        <x:f>ROUND(D23*Rules!$B$5+E23*Rules!$B$6,1)</x:f>
        <x:v>10</x:v>
      </x:c>
      <x:c r="J23" s="5" t="n">
        <x:f>IF(I23&gt;=Rules!$B$13,Rules!$C$13,IF(I23&gt;=Rules!$B$14,Rules!$C$14,IF(I23&gt;=Rules!$B$15,Rules!$C$15,IF(I23&gt;=Rules!$B$16,Rules!$C$16,Rules!$C$17))))</x:f>
        <x:v>4</x:v>
      </x:c>
      <x:c r="K23" s="5" t="n">
        <x:f>VLOOKUP(B23,Courses!$A$5:$D$14,3,FALSE)</x:f>
        <x:v>2</x:v>
      </x:c>
      <x:c r="L23" s="5" t="n">
        <x:f>J23*K23</x:f>
        <x:v>8</x:v>
      </x:c>
      <x:c r="M23" s="5" t="str">
        <x:f>VLOOKUP(A23,Students!$A$5:$H$45,5,FALSE)</x:f>
        <x:v>IT01</x:v>
      </x:c>
      <x:c r="N23" s="5" t="str">
        <x:f>'Sections'!E33</x:f>
        <x:v>T001</x:v>
      </x:c>
      <x:c r="O23" s="5" t="n">
        <x:f>IF(J23&gt;0,1,0)</x:f>
        <x:v>1</x:v>
      </x:c>
    </x:row>
    <x:row r="24" ht="21" customHeight="1">
      <x:c r="A24" s="3" t="str">
        <x:v>2201004</x:v>
      </x:c>
      <x:c r="B24" s="3" t="str">
        <x:v>GE102</x:v>
      </x:c>
      <x:c r="C24" s="3" t="str">
        <x:v>2024-1</x:v>
      </x:c>
      <x:c r="D24" s="3" t="n">
        <x:v>9.1</x:v>
      </x:c>
      <x:c r="E24" s="3" t="n">
        <x:v>8.9</x:v>
      </x:c>
      <x:c r="F24" s="3" t="n">
        <x:v>1</x:v>
      </x:c>
      <x:c r="G24" s="3" t="str"/>
      <x:c r="H24" s="3" t="n">
        <x:v>21</x:v>
      </x:c>
      <x:c r="I24" s="5" t="n">
        <x:f>ROUND(D24*Rules!$B$5+E24*Rules!$B$6,1)</x:f>
        <x:v>9</x:v>
      </x:c>
      <x:c r="J24" s="5" t="n">
        <x:f>IF(I24&gt;=Rules!$B$13,Rules!$C$13,IF(I24&gt;=Rules!$B$14,Rules!$C$14,IF(I24&gt;=Rules!$B$15,Rules!$C$15,IF(I24&gt;=Rules!$B$16,Rules!$C$16,Rules!$C$17))))</x:f>
        <x:v>4</x:v>
      </x:c>
      <x:c r="K24" s="5" t="n">
        <x:f>VLOOKUP(B24,Courses!$A$5:$D$14,3,FALSE)</x:f>
        <x:v>3</x:v>
      </x:c>
      <x:c r="L24" s="5" t="n">
        <x:f>J24*K24</x:f>
        <x:v>12</x:v>
      </x:c>
      <x:c r="M24" s="5" t="str">
        <x:f>VLOOKUP(A24,Students!$A$5:$H$45,5,FALSE)</x:f>
        <x:v>IT01</x:v>
      </x:c>
      <x:c r="N24" s="5" t="str">
        <x:f>'Sections'!E41</x:f>
        <x:v>T001</x:v>
      </x:c>
      <x:c r="O24" s="5" t="n">
        <x:f>IF(J24&gt;0,1,0)</x:f>
        <x:v>1</x:v>
      </x:c>
    </x:row>
    <x:row r="25" ht="21" customHeight="1">
      <x:c r="A25" s="3" t="str">
        <x:v>2201004</x:v>
      </x:c>
      <x:c r="B25" s="3" t="str">
        <x:v>CS101</x:v>
      </x:c>
      <x:c r="C25" s="3" t="str">
        <x:v>2024-1</x:v>
      </x:c>
      <x:c r="D25" s="3" t="n">
        <x:v>10</x:v>
      </x:c>
      <x:c r="E25" s="3" t="n">
        <x:v>9</x:v>
      </x:c>
      <x:c r="F25" s="3" t="n">
        <x:v>1</x:v>
      </x:c>
      <x:c r="G25" s="3" t="str"/>
      <x:c r="H25" s="3" t="n">
        <x:v>22</x:v>
      </x:c>
      <x:c r="I25" s="5" t="n">
        <x:f>ROUND(D25*Rules!$B$5+E25*Rules!$B$6,1)</x:f>
        <x:v>9.4</x:v>
      </x:c>
      <x:c r="J25" s="5" t="n">
        <x:f>IF(I25&gt;=Rules!$B$13,Rules!$C$13,IF(I25&gt;=Rules!$B$14,Rules!$C$14,IF(I25&gt;=Rules!$B$15,Rules!$C$15,IF(I25&gt;=Rules!$B$16,Rules!$C$16,Rules!$C$17))))</x:f>
        <x:v>4</x:v>
      </x:c>
      <x:c r="K25" s="5" t="n">
        <x:f>VLOOKUP(B25,Courses!$A$5:$D$14,3,FALSE)</x:f>
        <x:v>3</x:v>
      </x:c>
      <x:c r="L25" s="5" t="n">
        <x:f>J25*K25</x:f>
        <x:v>12</x:v>
      </x:c>
      <x:c r="M25" s="5" t="str">
        <x:f>VLOOKUP(A25,Students!$A$5:$H$45,5,FALSE)</x:f>
        <x:v>IT01</x:v>
      </x:c>
      <x:c r="N25" s="5" t="str">
        <x:f>'Sections'!E18</x:f>
        <x:v>T001</x:v>
      </x:c>
      <x:c r="O25" s="5" t="n">
        <x:f>IF(J25&gt;0,1,0)</x:f>
        <x:v>1</x:v>
      </x:c>
    </x:row>
    <x:row r="26" ht="21" customHeight="1">
      <x:c r="A26" s="3" t="str">
        <x:v>2201004</x:v>
      </x:c>
      <x:c r="B26" s="3" t="str">
        <x:v>CS102</x:v>
      </x:c>
      <x:c r="C26" s="3" t="str">
        <x:v>2024-2</x:v>
      </x:c>
      <x:c r="D26" s="3" t="n">
        <x:v>9.7</x:v>
      </x:c>
      <x:c r="E26" s="3" t="n">
        <x:v>8</x:v>
      </x:c>
      <x:c r="F26" s="3" t="n">
        <x:v>1</x:v>
      </x:c>
      <x:c r="G26" s="3" t="str"/>
      <x:c r="H26" s="3" t="n">
        <x:v>23</x:v>
      </x:c>
      <x:c r="I26" s="5" t="n">
        <x:f>ROUND(D26*Rules!$B$5+E26*Rules!$B$6,1)</x:f>
        <x:v>8.7</x:v>
      </x:c>
      <x:c r="J26" s="5" t="n">
        <x:f>IF(I26&gt;=Rules!$B$13,Rules!$C$13,IF(I26&gt;=Rules!$B$14,Rules!$C$14,IF(I26&gt;=Rules!$B$15,Rules!$C$15,IF(I26&gt;=Rules!$B$16,Rules!$C$16,Rules!$C$17))))</x:f>
        <x:v>4</x:v>
      </x:c>
      <x:c r="K26" s="5" t="n">
        <x:f>VLOOKUP(B26,Courses!$A$5:$D$14,3,FALSE)</x:f>
        <x:v>3</x:v>
      </x:c>
      <x:c r="L26" s="5" t="n">
        <x:f>J26*K26</x:f>
        <x:v>12</x:v>
      </x:c>
      <x:c r="M26" s="5" t="str">
        <x:f>VLOOKUP(A26,Students!$A$5:$H$45,5,FALSE)</x:f>
        <x:v>IT01</x:v>
      </x:c>
      <x:c r="N26" s="5" t="str">
        <x:f>'Sections'!E21</x:f>
        <x:v>T001</x:v>
      </x:c>
      <x:c r="O26" s="5" t="n">
        <x:f>IF(J26&gt;0,1,0)</x:f>
        <x:v>1</x:v>
      </x:c>
    </x:row>
    <x:row r="27" ht="21" customHeight="1">
      <x:c r="A27" s="3" t="str">
        <x:v>2201004</x:v>
      </x:c>
      <x:c r="B27" s="3" t="str">
        <x:v>CS201</x:v>
      </x:c>
      <x:c r="C27" s="3" t="str">
        <x:v>2024-2</x:v>
      </x:c>
      <x:c r="D27" s="3" t="n">
        <x:v>9.9</x:v>
      </x:c>
      <x:c r="E27" s="3" t="n">
        <x:v>6.9</x:v>
      </x:c>
      <x:c r="F27" s="3" t="n">
        <x:v>1</x:v>
      </x:c>
      <x:c r="G27" s="3" t="str"/>
      <x:c r="H27" s="3" t="n">
        <x:v>24</x:v>
      </x:c>
      <x:c r="I27" s="5" t="n">
        <x:f>ROUND(D27*Rules!$B$5+E27*Rules!$B$6,1)</x:f>
        <x:v>8.1</x:v>
      </x:c>
      <x:c r="J27" s="5" t="n">
        <x:f>IF(I27&gt;=Rules!$B$13,Rules!$C$13,IF(I27&gt;=Rules!$B$14,Rules!$C$14,IF(I27&gt;=Rules!$B$15,Rules!$C$15,IF(I27&gt;=Rules!$B$16,Rules!$C$16,Rules!$C$17))))</x:f>
        <x:v>3</x:v>
      </x:c>
      <x:c r="K27" s="5" t="n">
        <x:f>VLOOKUP(B27,Courses!$A$5:$D$14,3,FALSE)</x:f>
        <x:v>4</x:v>
      </x:c>
      <x:c r="L27" s="5" t="n">
        <x:f>J27*K27</x:f>
        <x:v>12</x:v>
      </x:c>
      <x:c r="M27" s="5" t="str">
        <x:f>VLOOKUP(A27,Students!$A$5:$H$45,5,FALSE)</x:f>
        <x:v>IT01</x:v>
      </x:c>
      <x:c r="N27" s="5" t="str">
        <x:f>'Sections'!E25</x:f>
        <x:v>T001</x:v>
      </x:c>
      <x:c r="O27" s="5" t="n">
        <x:f>IF(J27&gt;0,1,0)</x:f>
        <x:v>1</x:v>
      </x:c>
    </x:row>
    <x:row r="28" ht="21" customHeight="1">
      <x:c r="A28" s="3" t="str">
        <x:v>2201004</x:v>
      </x:c>
      <x:c r="B28" s="3" t="str">
        <x:v>CS202</x:v>
      </x:c>
      <x:c r="C28" s="3" t="str">
        <x:v>2025-1</x:v>
      </x:c>
      <x:c r="D28" s="3" t="n">
        <x:v>9.8</x:v>
      </x:c>
      <x:c r="E28" s="3" t="n">
        <x:v>8.5</x:v>
      </x:c>
      <x:c r="F28" s="3" t="n">
        <x:v>1</x:v>
      </x:c>
      <x:c r="G28" s="3" t="str"/>
      <x:c r="H28" s="3" t="n">
        <x:v>25</x:v>
      </x:c>
      <x:c r="I28" s="5" t="n">
        <x:f>ROUND(D28*Rules!$B$5+E28*Rules!$B$6,1)</x:f>
        <x:v>9</x:v>
      </x:c>
      <x:c r="J28" s="5" t="n">
        <x:f>IF(I28&gt;=Rules!$B$13,Rules!$C$13,IF(I28&gt;=Rules!$B$14,Rules!$C$14,IF(I28&gt;=Rules!$B$15,Rules!$C$15,IF(I28&gt;=Rules!$B$16,Rules!$C$16,Rules!$C$17))))</x:f>
        <x:v>4</x:v>
      </x:c>
      <x:c r="K28" s="5" t="n">
        <x:f>VLOOKUP(B28,Courses!$A$5:$D$14,3,FALSE)</x:f>
        <x:v>3</x:v>
      </x:c>
      <x:c r="L28" s="5" t="n">
        <x:f>J28*K28</x:f>
        <x:v>12</x:v>
      </x:c>
      <x:c r="M28" s="5" t="str">
        <x:f>VLOOKUP(A28,Students!$A$5:$H$45,5,FALSE)</x:f>
        <x:v>IT01</x:v>
      </x:c>
      <x:c r="N28" s="5" t="str">
        <x:f>'Sections'!E29</x:f>
        <x:v>T001</x:v>
      </x:c>
      <x:c r="O28" s="5" t="n">
        <x:f>IF(J28&gt;0,1,0)</x:f>
        <x:v>1</x:v>
      </x:c>
    </x:row>
    <x:row r="29" ht="21" customHeight="1">
      <x:c r="A29" s="3" t="str">
        <x:v>2201005</x:v>
      </x:c>
      <x:c r="B29" s="3" t="str">
        <x:v>GE101</x:v>
      </x:c>
      <x:c r="C29" s="3" t="str">
        <x:v>2024-1</x:v>
      </x:c>
      <x:c r="D29" s="3" t="n">
        <x:v>3.8</x:v>
      </x:c>
      <x:c r="E29" s="3" t="n">
        <x:v>4.3</x:v>
      </x:c>
      <x:c r="F29" s="3" t="n">
        <x:v>1</x:v>
      </x:c>
      <x:c r="G29" s="3" t="str"/>
      <x:c r="H29" s="3" t="n">
        <x:v>26</x:v>
      </x:c>
      <x:c r="I29" s="5" t="n">
        <x:f>ROUND(D29*Rules!$B$5+E29*Rules!$B$6,1)</x:f>
        <x:v>4.1</x:v>
      </x:c>
      <x:c r="J29" s="5" t="n">
        <x:f>IF(I29&gt;=Rules!$B$13,Rules!$C$13,IF(I29&gt;=Rules!$B$14,Rules!$C$14,IF(I29&gt;=Rules!$B$15,Rules!$C$15,IF(I29&gt;=Rules!$B$16,Rules!$C$16,Rules!$C$17))))</x:f>
        <x:v>1</x:v>
      </x:c>
      <x:c r="K29" s="5" t="n">
        <x:f>VLOOKUP(B29,Courses!$A$5:$D$14,3,FALSE)</x:f>
        <x:v>2</x:v>
      </x:c>
      <x:c r="L29" s="5" t="n">
        <x:f>J29*K29</x:f>
        <x:v>2</x:v>
      </x:c>
      <x:c r="M29" s="5" t="str">
        <x:f>VLOOKUP(A29,Students!$A$5:$H$45,5,FALSE)</x:f>
        <x:v>IT01</x:v>
      </x:c>
      <x:c r="N29" s="5" t="str">
        <x:f>'Sections'!E33</x:f>
        <x:v>T001</x:v>
      </x:c>
      <x:c r="O29" s="5" t="n">
        <x:f>IF(J29&gt;0,1,0)</x:f>
        <x:v>1</x:v>
      </x:c>
    </x:row>
    <x:row r="30" ht="21" customHeight="1">
      <x:c r="A30" s="3" t="str">
        <x:v>2201005</x:v>
      </x:c>
      <x:c r="B30" s="3" t="str">
        <x:v>GE102</x:v>
      </x:c>
      <x:c r="C30" s="3" t="str">
        <x:v>2024-1</x:v>
      </x:c>
      <x:c r="D30" s="3" t="n">
        <x:v>4.2</x:v>
      </x:c>
      <x:c r="E30" s="3" t="n">
        <x:v>3.8</x:v>
      </x:c>
      <x:c r="F30" s="3" t="n">
        <x:v>1</x:v>
      </x:c>
      <x:c r="G30" s="3" t="str"/>
      <x:c r="H30" s="3" t="n">
        <x:v>27</x:v>
      </x:c>
      <x:c r="I30" s="5" t="n">
        <x:f>ROUND(D30*Rules!$B$5+E30*Rules!$B$6,1)</x:f>
        <x:v>4</x:v>
      </x:c>
      <x:c r="J30" s="5" t="n">
        <x:f>IF(I30&gt;=Rules!$B$13,Rules!$C$13,IF(I30&gt;=Rules!$B$14,Rules!$C$14,IF(I30&gt;=Rules!$B$15,Rules!$C$15,IF(I30&gt;=Rules!$B$16,Rules!$C$16,Rules!$C$17))))</x:f>
        <x:v>1</x:v>
      </x:c>
      <x:c r="K30" s="5" t="n">
        <x:f>VLOOKUP(B30,Courses!$A$5:$D$14,3,FALSE)</x:f>
        <x:v>3</x:v>
      </x:c>
      <x:c r="L30" s="5" t="n">
        <x:f>J30*K30</x:f>
        <x:v>3</x:v>
      </x:c>
      <x:c r="M30" s="5" t="str">
        <x:f>VLOOKUP(A30,Students!$A$5:$H$45,5,FALSE)</x:f>
        <x:v>IT01</x:v>
      </x:c>
      <x:c r="N30" s="5" t="str">
        <x:f>'Sections'!E41</x:f>
        <x:v>T001</x:v>
      </x:c>
      <x:c r="O30" s="5" t="n">
        <x:f>IF(J30&gt;0,1,0)</x:f>
        <x:v>1</x:v>
      </x:c>
    </x:row>
    <x:row r="31" ht="21" customHeight="1">
      <x:c r="A31" s="3" t="str">
        <x:v>2201005</x:v>
      </x:c>
      <x:c r="B31" s="3" t="str">
        <x:v>CS101</x:v>
      </x:c>
      <x:c r="C31" s="3" t="str">
        <x:v>2024-1</x:v>
      </x:c>
      <x:c r="D31" s="3" t="n">
        <x:v>3.5</x:v>
      </x:c>
      <x:c r="E31" s="3" t="n">
        <x:v>4</x:v>
      </x:c>
      <x:c r="F31" s="3" t="n">
        <x:v>1</x:v>
      </x:c>
      <x:c r="G31" s="3" t="str"/>
      <x:c r="H31" s="3" t="n">
        <x:v>28</x:v>
      </x:c>
      <x:c r="I31" s="5" t="n">
        <x:f>ROUND(D31*Rules!$B$5+E31*Rules!$B$6,1)</x:f>
        <x:v>3.8</x:v>
      </x:c>
      <x:c r="J31" s="5" t="n">
        <x:f>IF(I31&gt;=Rules!$B$13,Rules!$C$13,IF(I31&gt;=Rules!$B$14,Rules!$C$14,IF(I31&gt;=Rules!$B$15,Rules!$C$15,IF(I31&gt;=Rules!$B$16,Rules!$C$16,Rules!$C$17))))</x:f>
        <x:v>0</x:v>
      </x:c>
      <x:c r="K31" s="5" t="n">
        <x:f>VLOOKUP(B31,Courses!$A$5:$D$14,3,FALSE)</x:f>
        <x:v>3</x:v>
      </x:c>
      <x:c r="L31" s="5" t="n">
        <x:f>J31*K31</x:f>
        <x:v>0</x:v>
      </x:c>
      <x:c r="M31" s="5" t="str">
        <x:f>VLOOKUP(A31,Students!$A$5:$H$45,5,FALSE)</x:f>
        <x:v>IT01</x:v>
      </x:c>
      <x:c r="N31" s="5" t="str">
        <x:f>'Sections'!E18</x:f>
        <x:v>T001</x:v>
      </x:c>
      <x:c r="O31" s="5" t="n">
        <x:f>IF(J31&gt;0,1,0)</x:f>
        <x:v>0</x:v>
      </x:c>
    </x:row>
    <x:row r="32" ht="21" customHeight="1">
      <x:c r="A32" s="3" t="str">
        <x:v>2201005</x:v>
      </x:c>
      <x:c r="B32" s="3" t="str">
        <x:v>CS102</x:v>
      </x:c>
      <x:c r="C32" s="3" t="str">
        <x:v>2024-2</x:v>
      </x:c>
      <x:c r="D32" s="3" t="n">
        <x:v>3.9</x:v>
      </x:c>
      <x:c r="E32" s="3" t="n">
        <x:v>4.2</x:v>
      </x:c>
      <x:c r="F32" s="3" t="n">
        <x:v>1</x:v>
      </x:c>
      <x:c r="G32" s="3" t="str"/>
      <x:c r="H32" s="3" t="n">
        <x:v>29</x:v>
      </x:c>
      <x:c r="I32" s="5" t="n">
        <x:f>ROUND(D32*Rules!$B$5+E32*Rules!$B$6,1)</x:f>
        <x:v>4.1</x:v>
      </x:c>
      <x:c r="J32" s="5" t="n">
        <x:f>IF(I32&gt;=Rules!$B$13,Rules!$C$13,IF(I32&gt;=Rules!$B$14,Rules!$C$14,IF(I32&gt;=Rules!$B$15,Rules!$C$15,IF(I32&gt;=Rules!$B$16,Rules!$C$16,Rules!$C$17))))</x:f>
        <x:v>1</x:v>
      </x:c>
      <x:c r="K32" s="5" t="n">
        <x:f>VLOOKUP(B32,Courses!$A$5:$D$14,3,FALSE)</x:f>
        <x:v>3</x:v>
      </x:c>
      <x:c r="L32" s="5" t="n">
        <x:f>J32*K32</x:f>
        <x:v>3</x:v>
      </x:c>
      <x:c r="M32" s="5" t="str">
        <x:f>VLOOKUP(A32,Students!$A$5:$H$45,5,FALSE)</x:f>
        <x:v>IT01</x:v>
      </x:c>
      <x:c r="N32" s="5" t="str">
        <x:f>'Sections'!E21</x:f>
        <x:v>T001</x:v>
      </x:c>
      <x:c r="O32" s="5" t="n">
        <x:f>IF(J32&gt;0,1,0)</x:f>
        <x:v>1</x:v>
      </x:c>
    </x:row>
    <x:row r="33" ht="21" customHeight="1">
      <x:c r="A33" s="3" t="str">
        <x:v>2201005</x:v>
      </x:c>
      <x:c r="B33" s="3" t="str">
        <x:v>CS201</x:v>
      </x:c>
      <x:c r="C33" s="3" t="str">
        <x:v>2024-2</x:v>
      </x:c>
      <x:c r="D33" s="3" t="n">
        <x:v>4.3</x:v>
      </x:c>
      <x:c r="E33" s="3" t="n">
        <x:v>4.2</x:v>
      </x:c>
      <x:c r="F33" s="3" t="n">
        <x:v>1</x:v>
      </x:c>
      <x:c r="G33" s="3" t="str"/>
      <x:c r="H33" s="3" t="n">
        <x:v>30</x:v>
      </x:c>
      <x:c r="I33" s="5" t="n">
        <x:f>ROUND(D33*Rules!$B$5+E33*Rules!$B$6,1)</x:f>
        <x:v>4.2</x:v>
      </x:c>
      <x:c r="J33" s="5" t="n">
        <x:f>IF(I33&gt;=Rules!$B$13,Rules!$C$13,IF(I33&gt;=Rules!$B$14,Rules!$C$14,IF(I33&gt;=Rules!$B$15,Rules!$C$15,IF(I33&gt;=Rules!$B$16,Rules!$C$16,Rules!$C$17))))</x:f>
        <x:v>1</x:v>
      </x:c>
      <x:c r="K33" s="5" t="n">
        <x:f>VLOOKUP(B33,Courses!$A$5:$D$14,3,FALSE)</x:f>
        <x:v>4</x:v>
      </x:c>
      <x:c r="L33" s="5" t="n">
        <x:f>J33*K33</x:f>
        <x:v>4</x:v>
      </x:c>
      <x:c r="M33" s="5" t="str">
        <x:f>VLOOKUP(A33,Students!$A$5:$H$45,5,FALSE)</x:f>
        <x:v>IT01</x:v>
      </x:c>
      <x:c r="N33" s="5" t="str">
        <x:f>'Sections'!E25</x:f>
        <x:v>T001</x:v>
      </x:c>
      <x:c r="O33" s="5" t="n">
        <x:f>IF(J33&gt;0,1,0)</x:f>
        <x:v>1</x:v>
      </x:c>
    </x:row>
    <x:row r="34" ht="21" customHeight="1">
      <x:c r="A34" s="3" t="str">
        <x:v>2201005</x:v>
      </x:c>
      <x:c r="B34" s="3" t="str">
        <x:v>CS202</x:v>
      </x:c>
      <x:c r="C34" s="3" t="str">
        <x:v>2025-1</x:v>
      </x:c>
      <x:c r="D34" s="3" t="n">
        <x:v>4.1</x:v>
      </x:c>
      <x:c r="E34" s="3" t="n">
        <x:v>3.7</x:v>
      </x:c>
      <x:c r="F34" s="3" t="n">
        <x:v>1</x:v>
      </x:c>
      <x:c r="G34" s="3" t="str"/>
      <x:c r="H34" s="3" t="n">
        <x:v>31</x:v>
      </x:c>
      <x:c r="I34" s="5" t="n">
        <x:f>ROUND(D34*Rules!$B$5+E34*Rules!$B$6,1)</x:f>
        <x:v>3.9</x:v>
      </x:c>
      <x:c r="J34" s="5" t="n">
        <x:f>IF(I34&gt;=Rules!$B$13,Rules!$C$13,IF(I34&gt;=Rules!$B$14,Rules!$C$14,IF(I34&gt;=Rules!$B$15,Rules!$C$15,IF(I34&gt;=Rules!$B$16,Rules!$C$16,Rules!$C$17))))</x:f>
        <x:v>0</x:v>
      </x:c>
      <x:c r="K34" s="5" t="n">
        <x:f>VLOOKUP(B34,Courses!$A$5:$D$14,3,FALSE)</x:f>
        <x:v>3</x:v>
      </x:c>
      <x:c r="L34" s="5" t="n">
        <x:f>J34*K34</x:f>
        <x:v>0</x:v>
      </x:c>
      <x:c r="M34" s="5" t="str">
        <x:f>VLOOKUP(A34,Students!$A$5:$H$45,5,FALSE)</x:f>
        <x:v>IT01</x:v>
      </x:c>
      <x:c r="N34" s="5" t="str">
        <x:f>'Sections'!E29</x:f>
        <x:v>T001</x:v>
      </x:c>
      <x:c r="O34" s="5" t="n">
        <x:f>IF(J34&gt;0,1,0)</x:f>
        <x:v>0</x:v>
      </x:c>
    </x:row>
    <x:row r="35" ht="21" customHeight="1">
      <x:c r="A35" s="3" t="str">
        <x:v>2201005</x:v>
      </x:c>
      <x:c r="B35" s="3" t="str">
        <x:v>CS101</x:v>
      </x:c>
      <x:c r="C35" s="3" t="str">
        <x:v>2025-1</x:v>
      </x:c>
      <x:c r="D35" s="3" t="n">
        <x:v>6.7</x:v>
      </x:c>
      <x:c r="E35" s="3" t="n">
        <x:v>5.2</x:v>
      </x:c>
      <x:c r="F35" s="3" t="n">
        <x:v>1</x:v>
      </x:c>
      <x:c r="G35" s="3" t="str"/>
      <x:c r="H35" s="3" t="n">
        <x:v>32</x:v>
      </x:c>
      <x:c r="I35" s="5" t="n">
        <x:f>ROUND(D35*Rules!$B$5+E35*Rules!$B$6,1)</x:f>
        <x:v>5.8</x:v>
      </x:c>
      <x:c r="J35" s="5" t="n">
        <x:f>IF(I35&gt;=Rules!$B$13,Rules!$C$13,IF(I35&gt;=Rules!$B$14,Rules!$C$14,IF(I35&gt;=Rules!$B$15,Rules!$C$15,IF(I35&gt;=Rules!$B$16,Rules!$C$16,Rules!$C$17))))</x:f>
        <x:v>2</x:v>
      </x:c>
      <x:c r="K35" s="5" t="n">
        <x:f>VLOOKUP(B35,Courses!$A$5:$D$14,3,FALSE)</x:f>
        <x:v>3</x:v>
      </x:c>
      <x:c r="L35" s="5" t="n">
        <x:f>J35*K35</x:f>
        <x:v>6</x:v>
      </x:c>
      <x:c r="M35" s="5" t="str">
        <x:f>VLOOKUP(A35,Students!$A$5:$H$45,5,FALSE)</x:f>
        <x:v>IT01</x:v>
      </x:c>
      <x:c r="N35" s="5" t="str">
        <x:f>'Sections'!E20</x:f>
        <x:v>T001</x:v>
      </x:c>
      <x:c r="O35" s="5" t="n">
        <x:f>IF(J35&gt;0,1,0)</x:f>
        <x:v>1</x:v>
      </x:c>
    </x:row>
    <x:row r="36" ht="21" customHeight="1">
      <x:c r="A36" s="3" t="str">
        <x:v>2201006</x:v>
      </x:c>
      <x:c r="B36" s="3" t="str">
        <x:v>GE101</x:v>
      </x:c>
      <x:c r="C36" s="3" t="str">
        <x:v>2024-1</x:v>
      </x:c>
      <x:c r="D36" s="3" t="n">
        <x:v>7.4</x:v>
      </x:c>
      <x:c r="E36" s="3" t="n">
        <x:v>9</x:v>
      </x:c>
      <x:c r="F36" s="3" t="n">
        <x:v>1</x:v>
      </x:c>
      <x:c r="G36" s="3" t="str"/>
      <x:c r="H36" s="3" t="n">
        <x:v>33</x:v>
      </x:c>
      <x:c r="I36" s="5" t="n">
        <x:f>ROUND(D36*Rules!$B$5+E36*Rules!$B$6,1)</x:f>
        <x:v>8.4</x:v>
      </x:c>
      <x:c r="J36" s="5" t="n">
        <x:f>IF(I36&gt;=Rules!$B$13,Rules!$C$13,IF(I36&gt;=Rules!$B$14,Rules!$C$14,IF(I36&gt;=Rules!$B$15,Rules!$C$15,IF(I36&gt;=Rules!$B$16,Rules!$C$16,Rules!$C$17))))</x:f>
        <x:v>3</x:v>
      </x:c>
      <x:c r="K36" s="5" t="n">
        <x:f>VLOOKUP(B36,Courses!$A$5:$D$14,3,FALSE)</x:f>
        <x:v>2</x:v>
      </x:c>
      <x:c r="L36" s="5" t="n">
        <x:f>J36*K36</x:f>
        <x:v>6</x:v>
      </x:c>
      <x:c r="M36" s="5" t="str">
        <x:f>VLOOKUP(A36,Students!$A$5:$H$45,5,FALSE)</x:f>
        <x:v>IT01</x:v>
      </x:c>
      <x:c r="N36" s="5" t="str">
        <x:f>'Sections'!E33</x:f>
        <x:v>T001</x:v>
      </x:c>
      <x:c r="O36" s="5" t="n">
        <x:f>IF(J36&gt;0,1,0)</x:f>
        <x:v>1</x:v>
      </x:c>
    </x:row>
    <x:row r="37" ht="21" customHeight="1">
      <x:c r="A37" s="3" t="str">
        <x:v>2201006</x:v>
      </x:c>
      <x:c r="B37" s="3" t="str">
        <x:v>GE102</x:v>
      </x:c>
      <x:c r="C37" s="3" t="str">
        <x:v>2024-1</x:v>
      </x:c>
      <x:c r="D37" s="3" t="n">
        <x:v>8.5</x:v>
      </x:c>
      <x:c r="E37" s="3" t="n">
        <x:v>8.8</x:v>
      </x:c>
      <x:c r="F37" s="3" t="n">
        <x:v>1</x:v>
      </x:c>
      <x:c r="G37" s="3" t="str"/>
      <x:c r="H37" s="3" t="n">
        <x:v>34</x:v>
      </x:c>
      <x:c r="I37" s="5" t="n">
        <x:f>ROUND(D37*Rules!$B$5+E37*Rules!$B$6,1)</x:f>
        <x:v>8.7</x:v>
      </x:c>
      <x:c r="J37" s="5" t="n">
        <x:f>IF(I37&gt;=Rules!$B$13,Rules!$C$13,IF(I37&gt;=Rules!$B$14,Rules!$C$14,IF(I37&gt;=Rules!$B$15,Rules!$C$15,IF(I37&gt;=Rules!$B$16,Rules!$C$16,Rules!$C$17))))</x:f>
        <x:v>4</x:v>
      </x:c>
      <x:c r="K37" s="5" t="n">
        <x:f>VLOOKUP(B37,Courses!$A$5:$D$14,3,FALSE)</x:f>
        <x:v>3</x:v>
      </x:c>
      <x:c r="L37" s="5" t="n">
        <x:f>J37*K37</x:f>
        <x:v>12</x:v>
      </x:c>
      <x:c r="M37" s="5" t="str">
        <x:f>VLOOKUP(A37,Students!$A$5:$H$45,5,FALSE)</x:f>
        <x:v>IT01</x:v>
      </x:c>
      <x:c r="N37" s="5" t="str">
        <x:f>'Sections'!E41</x:f>
        <x:v>T001</x:v>
      </x:c>
      <x:c r="O37" s="5" t="n">
        <x:f>IF(J37&gt;0,1,0)</x:f>
        <x:v>1</x:v>
      </x:c>
    </x:row>
    <x:row r="38" ht="21" customHeight="1">
      <x:c r="A38" s="3" t="str">
        <x:v>2201006</x:v>
      </x:c>
      <x:c r="B38" s="3" t="str">
        <x:v>CS101</x:v>
      </x:c>
      <x:c r="C38" s="3" t="str">
        <x:v>2024-1</x:v>
      </x:c>
      <x:c r="D38" s="3" t="n">
        <x:v>8.6</x:v>
      </x:c>
      <x:c r="E38" s="3" t="n">
        <x:v>6.7</x:v>
      </x:c>
      <x:c r="F38" s="3" t="n">
        <x:v>1</x:v>
      </x:c>
      <x:c r="G38" s="3" t="str"/>
      <x:c r="H38" s="3" t="n">
        <x:v>35</x:v>
      </x:c>
      <x:c r="I38" s="5" t="n">
        <x:f>ROUND(D38*Rules!$B$5+E38*Rules!$B$6,1)</x:f>
        <x:v>7.5</x:v>
      </x:c>
      <x:c r="J38" s="5" t="n">
        <x:f>IF(I38&gt;=Rules!$B$13,Rules!$C$13,IF(I38&gt;=Rules!$B$14,Rules!$C$14,IF(I38&gt;=Rules!$B$15,Rules!$C$15,IF(I38&gt;=Rules!$B$16,Rules!$C$16,Rules!$C$17))))</x:f>
        <x:v>3</x:v>
      </x:c>
      <x:c r="K38" s="5" t="n">
        <x:f>VLOOKUP(B38,Courses!$A$5:$D$14,3,FALSE)</x:f>
        <x:v>3</x:v>
      </x:c>
      <x:c r="L38" s="5" t="n">
        <x:f>J38*K38</x:f>
        <x:v>9</x:v>
      </x:c>
      <x:c r="M38" s="5" t="str">
        <x:f>VLOOKUP(A38,Students!$A$5:$H$45,5,FALSE)</x:f>
        <x:v>IT01</x:v>
      </x:c>
      <x:c r="N38" s="5" t="str">
        <x:f>'Sections'!E18</x:f>
        <x:v>T001</x:v>
      </x:c>
      <x:c r="O38" s="5" t="n">
        <x:f>IF(J38&gt;0,1,0)</x:f>
        <x:v>1</x:v>
      </x:c>
    </x:row>
    <x:row r="39" ht="21" customHeight="1">
      <x:c r="A39" s="3" t="str">
        <x:v>2201006</x:v>
      </x:c>
      <x:c r="B39" s="3" t="str">
        <x:v>CS102</x:v>
      </x:c>
      <x:c r="C39" s="3" t="str">
        <x:v>2024-2</x:v>
      </x:c>
      <x:c r="D39" s="3" t="n">
        <x:v>8.2</x:v>
      </x:c>
      <x:c r="E39" s="3" t="n">
        <x:v>6.4</x:v>
      </x:c>
      <x:c r="F39" s="3" t="n">
        <x:v>1</x:v>
      </x:c>
      <x:c r="G39" s="3" t="str"/>
      <x:c r="H39" s="3" t="n">
        <x:v>36</x:v>
      </x:c>
      <x:c r="I39" s="5" t="n">
        <x:f>ROUND(D39*Rules!$B$5+E39*Rules!$B$6,1)</x:f>
        <x:v>7.1</x:v>
      </x:c>
      <x:c r="J39" s="5" t="n">
        <x:f>IF(I39&gt;=Rules!$B$13,Rules!$C$13,IF(I39&gt;=Rules!$B$14,Rules!$C$14,IF(I39&gt;=Rules!$B$15,Rules!$C$15,IF(I39&gt;=Rules!$B$16,Rules!$C$16,Rules!$C$17))))</x:f>
        <x:v>3</x:v>
      </x:c>
      <x:c r="K39" s="5" t="n">
        <x:f>VLOOKUP(B39,Courses!$A$5:$D$14,3,FALSE)</x:f>
        <x:v>3</x:v>
      </x:c>
      <x:c r="L39" s="5" t="n">
        <x:f>J39*K39</x:f>
        <x:v>9</x:v>
      </x:c>
      <x:c r="M39" s="5" t="str">
        <x:f>VLOOKUP(A39,Students!$A$5:$H$45,5,FALSE)</x:f>
        <x:v>IT01</x:v>
      </x:c>
      <x:c r="N39" s="5" t="str">
        <x:f>'Sections'!E21</x:f>
        <x:v>T001</x:v>
      </x:c>
      <x:c r="O39" s="5" t="n">
        <x:f>IF(J39&gt;0,1,0)</x:f>
        <x:v>1</x:v>
      </x:c>
    </x:row>
    <x:row r="40" ht="21" customHeight="1">
      <x:c r="A40" s="3" t="str">
        <x:v>2201006</x:v>
      </x:c>
      <x:c r="B40" s="3" t="str">
        <x:v>CS201</x:v>
      </x:c>
      <x:c r="C40" s="3" t="str">
        <x:v>2024-2</x:v>
      </x:c>
      <x:c r="D40" s="3" t="n">
        <x:v>8.6</x:v>
      </x:c>
      <x:c r="E40" s="3" t="n">
        <x:v>8</x:v>
      </x:c>
      <x:c r="F40" s="3" t="n">
        <x:v>1</x:v>
      </x:c>
      <x:c r="G40" s="3" t="str"/>
      <x:c r="H40" s="3" t="n">
        <x:v>37</x:v>
      </x:c>
      <x:c r="I40" s="5" t="n">
        <x:f>ROUND(D40*Rules!$B$5+E40*Rules!$B$6,1)</x:f>
        <x:v>8.2</x:v>
      </x:c>
      <x:c r="J40" s="5" t="n">
        <x:f>IF(I40&gt;=Rules!$B$13,Rules!$C$13,IF(I40&gt;=Rules!$B$14,Rules!$C$14,IF(I40&gt;=Rules!$B$15,Rules!$C$15,IF(I40&gt;=Rules!$B$16,Rules!$C$16,Rules!$C$17))))</x:f>
        <x:v>3</x:v>
      </x:c>
      <x:c r="K40" s="5" t="n">
        <x:f>VLOOKUP(B40,Courses!$A$5:$D$14,3,FALSE)</x:f>
        <x:v>4</x:v>
      </x:c>
      <x:c r="L40" s="5" t="n">
        <x:f>J40*K40</x:f>
        <x:v>12</x:v>
      </x:c>
      <x:c r="M40" s="5" t="str">
        <x:f>VLOOKUP(A40,Students!$A$5:$H$45,5,FALSE)</x:f>
        <x:v>IT01</x:v>
      </x:c>
      <x:c r="N40" s="5" t="str">
        <x:f>'Sections'!E25</x:f>
        <x:v>T001</x:v>
      </x:c>
      <x:c r="O40" s="5" t="n">
        <x:f>IF(J40&gt;0,1,0)</x:f>
        <x:v>1</x:v>
      </x:c>
    </x:row>
    <x:row r="41" ht="21" customHeight="1">
      <x:c r="A41" s="3" t="str">
        <x:v>2201006</x:v>
      </x:c>
      <x:c r="B41" s="3" t="str">
        <x:v>CS202</x:v>
      </x:c>
      <x:c r="C41" s="3" t="str">
        <x:v>2025-1</x:v>
      </x:c>
      <x:c r="D41" s="3" t="n">
        <x:v>8.1</x:v>
      </x:c>
      <x:c r="E41" s="3" t="n">
        <x:v>6.8</x:v>
      </x:c>
      <x:c r="F41" s="3" t="n">
        <x:v>1</x:v>
      </x:c>
      <x:c r="G41" s="3" t="str"/>
      <x:c r="H41" s="3" t="n">
        <x:v>38</x:v>
      </x:c>
      <x:c r="I41" s="5" t="n">
        <x:f>ROUND(D41*Rules!$B$5+E41*Rules!$B$6,1)</x:f>
        <x:v>7.3</x:v>
      </x:c>
      <x:c r="J41" s="5" t="n">
        <x:f>IF(I41&gt;=Rules!$B$13,Rules!$C$13,IF(I41&gt;=Rules!$B$14,Rules!$C$14,IF(I41&gt;=Rules!$B$15,Rules!$C$15,IF(I41&gt;=Rules!$B$16,Rules!$C$16,Rules!$C$17))))</x:f>
        <x:v>3</x:v>
      </x:c>
      <x:c r="K41" s="5" t="n">
        <x:f>VLOOKUP(B41,Courses!$A$5:$D$14,3,FALSE)</x:f>
        <x:v>3</x:v>
      </x:c>
      <x:c r="L41" s="5" t="n">
        <x:f>J41*K41</x:f>
        <x:v>9</x:v>
      </x:c>
      <x:c r="M41" s="5" t="str">
        <x:f>VLOOKUP(A41,Students!$A$5:$H$45,5,FALSE)</x:f>
        <x:v>IT01</x:v>
      </x:c>
      <x:c r="N41" s="5" t="str">
        <x:f>'Sections'!E29</x:f>
        <x:v>T001</x:v>
      </x:c>
      <x:c r="O41" s="5" t="n">
        <x:f>IF(J41&gt;0,1,0)</x:f>
        <x:v>1</x:v>
      </x:c>
    </x:row>
    <x:row r="42" ht="21" customHeight="1">
      <x:c r="A42" s="3" t="str">
        <x:v>2201007</x:v>
      </x:c>
      <x:c r="B42" s="3" t="str">
        <x:v>GE101</x:v>
      </x:c>
      <x:c r="C42" s="3" t="str">
        <x:v>2024-1</x:v>
      </x:c>
      <x:c r="D42" s="3" t="n">
        <x:v>7.6</x:v>
      </x:c>
      <x:c r="E42" s="3" t="n">
        <x:v>7.3</x:v>
      </x:c>
      <x:c r="F42" s="3" t="n">
        <x:v>1</x:v>
      </x:c>
      <x:c r="G42" s="3" t="str"/>
      <x:c r="H42" s="3" t="n">
        <x:v>39</x:v>
      </x:c>
      <x:c r="I42" s="5" t="n">
        <x:f>ROUND(D42*Rules!$B$5+E42*Rules!$B$6,1)</x:f>
        <x:v>7.4</x:v>
      </x:c>
      <x:c r="J42" s="5" t="n">
        <x:f>IF(I42&gt;=Rules!$B$13,Rules!$C$13,IF(I42&gt;=Rules!$B$14,Rules!$C$14,IF(I42&gt;=Rules!$B$15,Rules!$C$15,IF(I42&gt;=Rules!$B$16,Rules!$C$16,Rules!$C$17))))</x:f>
        <x:v>3</x:v>
      </x:c>
      <x:c r="K42" s="5" t="n">
        <x:f>VLOOKUP(B42,Courses!$A$5:$D$14,3,FALSE)</x:f>
        <x:v>2</x:v>
      </x:c>
      <x:c r="L42" s="5" t="n">
        <x:f>J42*K42</x:f>
        <x:v>6</x:v>
      </x:c>
      <x:c r="M42" s="5" t="str">
        <x:f>VLOOKUP(A42,Students!$A$5:$H$45,5,FALSE)</x:f>
        <x:v>IT01</x:v>
      </x:c>
      <x:c r="N42" s="5" t="str">
        <x:f>'Sections'!E33</x:f>
        <x:v>T001</x:v>
      </x:c>
      <x:c r="O42" s="5" t="n">
        <x:f>IF(J42&gt;0,1,0)</x:f>
        <x:v>1</x:v>
      </x:c>
    </x:row>
    <x:row r="43" ht="21" customHeight="1">
      <x:c r="A43" s="3" t="str">
        <x:v>2201007</x:v>
      </x:c>
      <x:c r="B43" s="3" t="str">
        <x:v>GE102</x:v>
      </x:c>
      <x:c r="C43" s="3" t="str">
        <x:v>2024-1</x:v>
      </x:c>
      <x:c r="D43" s="3" t="n">
        <x:v>7</x:v>
      </x:c>
      <x:c r="E43" s="3" t="n">
        <x:v>7.9</x:v>
      </x:c>
      <x:c r="F43" s="3" t="n">
        <x:v>1</x:v>
      </x:c>
      <x:c r="G43" s="3" t="str"/>
      <x:c r="H43" s="3" t="n">
        <x:v>40</x:v>
      </x:c>
      <x:c r="I43" s="5" t="n">
        <x:f>ROUND(D43*Rules!$B$5+E43*Rules!$B$6,1)</x:f>
        <x:v>7.5</x:v>
      </x:c>
      <x:c r="J43" s="5" t="n">
        <x:f>IF(I43&gt;=Rules!$B$13,Rules!$C$13,IF(I43&gt;=Rules!$B$14,Rules!$C$14,IF(I43&gt;=Rules!$B$15,Rules!$C$15,IF(I43&gt;=Rules!$B$16,Rules!$C$16,Rules!$C$17))))</x:f>
        <x:v>3</x:v>
      </x:c>
      <x:c r="K43" s="5" t="n">
        <x:f>VLOOKUP(B43,Courses!$A$5:$D$14,3,FALSE)</x:f>
        <x:v>3</x:v>
      </x:c>
      <x:c r="L43" s="5" t="n">
        <x:f>J43*K43</x:f>
        <x:v>9</x:v>
      </x:c>
      <x:c r="M43" s="5" t="str">
        <x:f>VLOOKUP(A43,Students!$A$5:$H$45,5,FALSE)</x:f>
        <x:v>IT01</x:v>
      </x:c>
      <x:c r="N43" s="5" t="str">
        <x:f>'Sections'!E41</x:f>
        <x:v>T001</x:v>
      </x:c>
      <x:c r="O43" s="5" t="n">
        <x:f>IF(J43&gt;0,1,0)</x:f>
        <x:v>1</x:v>
      </x:c>
    </x:row>
    <x:row r="44" ht="21" customHeight="1">
      <x:c r="A44" s="3" t="str">
        <x:v>2201007</x:v>
      </x:c>
      <x:c r="B44" s="3" t="str">
        <x:v>CS101</x:v>
      </x:c>
      <x:c r="C44" s="3" t="str">
        <x:v>2024-1</x:v>
      </x:c>
      <x:c r="D44" s="3" t="n">
        <x:v>7.4</x:v>
      </x:c>
      <x:c r="E44" s="3" t="n">
        <x:v>7.3</x:v>
      </x:c>
      <x:c r="F44" s="3" t="n">
        <x:v>1</x:v>
      </x:c>
      <x:c r="G44" s="3" t="str"/>
      <x:c r="H44" s="3" t="n">
        <x:v>41</x:v>
      </x:c>
      <x:c r="I44" s="5" t="n">
        <x:f>ROUND(D44*Rules!$B$5+E44*Rules!$B$6,1)</x:f>
        <x:v>7.3</x:v>
      </x:c>
      <x:c r="J44" s="5" t="n">
        <x:f>IF(I44&gt;=Rules!$B$13,Rules!$C$13,IF(I44&gt;=Rules!$B$14,Rules!$C$14,IF(I44&gt;=Rules!$B$15,Rules!$C$15,IF(I44&gt;=Rules!$B$16,Rules!$C$16,Rules!$C$17))))</x:f>
        <x:v>3</x:v>
      </x:c>
      <x:c r="K44" s="5" t="n">
        <x:f>VLOOKUP(B44,Courses!$A$5:$D$14,3,FALSE)</x:f>
        <x:v>3</x:v>
      </x:c>
      <x:c r="L44" s="5" t="n">
        <x:f>J44*K44</x:f>
        <x:v>9</x:v>
      </x:c>
      <x:c r="M44" s="5" t="str">
        <x:f>VLOOKUP(A44,Students!$A$5:$H$45,5,FALSE)</x:f>
        <x:v>IT01</x:v>
      </x:c>
      <x:c r="N44" s="5" t="str">
        <x:f>'Sections'!E18</x:f>
        <x:v>T001</x:v>
      </x:c>
      <x:c r="O44" s="5" t="n">
        <x:f>IF(J44&gt;0,1,0)</x:f>
        <x:v>1</x:v>
      </x:c>
    </x:row>
    <x:row r="45" ht="21" customHeight="1">
      <x:c r="A45" s="3" t="str">
        <x:v>2201007</x:v>
      </x:c>
      <x:c r="B45" s="3" t="str">
        <x:v>CS102</x:v>
      </x:c>
      <x:c r="C45" s="3" t="str">
        <x:v>2024-2</x:v>
      </x:c>
      <x:c r="D45" s="3" t="n">
        <x:v>7.9</x:v>
      </x:c>
      <x:c r="E45" s="3" t="n">
        <x:v>6.9</x:v>
      </x:c>
      <x:c r="F45" s="3" t="n">
        <x:v>1</x:v>
      </x:c>
      <x:c r="G45" s="3" t="str"/>
      <x:c r="H45" s="3" t="n">
        <x:v>42</x:v>
      </x:c>
      <x:c r="I45" s="5" t="n">
        <x:f>ROUND(D45*Rules!$B$5+E45*Rules!$B$6,1)</x:f>
        <x:v>7.3</x:v>
      </x:c>
      <x:c r="J45" s="5" t="n">
        <x:f>IF(I45&gt;=Rules!$B$13,Rules!$C$13,IF(I45&gt;=Rules!$B$14,Rules!$C$14,IF(I45&gt;=Rules!$B$15,Rules!$C$15,IF(I45&gt;=Rules!$B$16,Rules!$C$16,Rules!$C$17))))</x:f>
        <x:v>3</x:v>
      </x:c>
      <x:c r="K45" s="5" t="n">
        <x:f>VLOOKUP(B45,Courses!$A$5:$D$14,3,FALSE)</x:f>
        <x:v>3</x:v>
      </x:c>
      <x:c r="L45" s="5" t="n">
        <x:f>J45*K45</x:f>
        <x:v>9</x:v>
      </x:c>
      <x:c r="M45" s="5" t="str">
        <x:f>VLOOKUP(A45,Students!$A$5:$H$45,5,FALSE)</x:f>
        <x:v>IT01</x:v>
      </x:c>
      <x:c r="N45" s="5" t="str">
        <x:f>'Sections'!E21</x:f>
        <x:v>T001</x:v>
      </x:c>
      <x:c r="O45" s="5" t="n">
        <x:f>IF(J45&gt;0,1,0)</x:f>
        <x:v>1</x:v>
      </x:c>
    </x:row>
    <x:row r="46" ht="21" customHeight="1">
      <x:c r="A46" s="3" t="str">
        <x:v>2201007</x:v>
      </x:c>
      <x:c r="B46" s="3" t="str">
        <x:v>CS201</x:v>
      </x:c>
      <x:c r="C46" s="3" t="str">
        <x:v>2024-2</x:v>
      </x:c>
      <x:c r="D46" s="3" t="n">
        <x:v>6.5</x:v>
      </x:c>
      <x:c r="E46" s="3" t="n">
        <x:v>7.2</x:v>
      </x:c>
      <x:c r="F46" s="3" t="n">
        <x:v>1</x:v>
      </x:c>
      <x:c r="G46" s="3" t="str"/>
      <x:c r="H46" s="3" t="n">
        <x:v>43</x:v>
      </x:c>
      <x:c r="I46" s="5" t="n">
        <x:f>ROUND(D46*Rules!$B$5+E46*Rules!$B$6,1)</x:f>
        <x:v>6.9</x:v>
      </x:c>
      <x:c r="J46" s="5" t="n">
        <x:f>IF(I46&gt;=Rules!$B$13,Rules!$C$13,IF(I46&gt;=Rules!$B$14,Rules!$C$14,IF(I46&gt;=Rules!$B$15,Rules!$C$15,IF(I46&gt;=Rules!$B$16,Rules!$C$16,Rules!$C$17))))</x:f>
        <x:v>2</x:v>
      </x:c>
      <x:c r="K46" s="5" t="n">
        <x:f>VLOOKUP(B46,Courses!$A$5:$D$14,3,FALSE)</x:f>
        <x:v>4</x:v>
      </x:c>
      <x:c r="L46" s="5" t="n">
        <x:f>J46*K46</x:f>
        <x:v>8</x:v>
      </x:c>
      <x:c r="M46" s="5" t="str">
        <x:f>VLOOKUP(A46,Students!$A$5:$H$45,5,FALSE)</x:f>
        <x:v>IT01</x:v>
      </x:c>
      <x:c r="N46" s="5" t="str">
        <x:f>'Sections'!E25</x:f>
        <x:v>T001</x:v>
      </x:c>
      <x:c r="O46" s="5" t="n">
        <x:f>IF(J46&gt;0,1,0)</x:f>
        <x:v>1</x:v>
      </x:c>
    </x:row>
    <x:row r="47" ht="21" customHeight="1">
      <x:c r="A47" s="3" t="str">
        <x:v>2201007</x:v>
      </x:c>
      <x:c r="B47" s="3" t="str">
        <x:v>CS202</x:v>
      </x:c>
      <x:c r="C47" s="3" t="str">
        <x:v>2025-1</x:v>
      </x:c>
      <x:c r="D47" s="3" t="n">
        <x:v>8.3</x:v>
      </x:c>
      <x:c r="E47" s="3" t="n">
        <x:v>7.1</x:v>
      </x:c>
      <x:c r="F47" s="3" t="n">
        <x:v>1</x:v>
      </x:c>
      <x:c r="G47" s="3" t="str"/>
      <x:c r="H47" s="3" t="n">
        <x:v>44</x:v>
      </x:c>
      <x:c r="I47" s="5" t="n">
        <x:f>ROUND(D47*Rules!$B$5+E47*Rules!$B$6,1)</x:f>
        <x:v>7.6</x:v>
      </x:c>
      <x:c r="J47" s="5" t="n">
        <x:f>IF(I47&gt;=Rules!$B$13,Rules!$C$13,IF(I47&gt;=Rules!$B$14,Rules!$C$14,IF(I47&gt;=Rules!$B$15,Rules!$C$15,IF(I47&gt;=Rules!$B$16,Rules!$C$16,Rules!$C$17))))</x:f>
        <x:v>3</x:v>
      </x:c>
      <x:c r="K47" s="5" t="n">
        <x:f>VLOOKUP(B47,Courses!$A$5:$D$14,3,FALSE)</x:f>
        <x:v>3</x:v>
      </x:c>
      <x:c r="L47" s="5" t="n">
        <x:f>J47*K47</x:f>
        <x:v>9</x:v>
      </x:c>
      <x:c r="M47" s="5" t="str">
        <x:f>VLOOKUP(A47,Students!$A$5:$H$45,5,FALSE)</x:f>
        <x:v>IT01</x:v>
      </x:c>
      <x:c r="N47" s="5" t="str">
        <x:f>'Sections'!E29</x:f>
        <x:v>T001</x:v>
      </x:c>
      <x:c r="O47" s="5" t="n">
        <x:f>IF(J47&gt;0,1,0)</x:f>
        <x:v>1</x:v>
      </x:c>
    </x:row>
    <x:row r="48" ht="21" customHeight="1">
      <x:c r="A48" s="3" t="str">
        <x:v>2201008</x:v>
      </x:c>
      <x:c r="B48" s="3" t="str">
        <x:v>GE101</x:v>
      </x:c>
      <x:c r="C48" s="3" t="str">
        <x:v>2024-1</x:v>
      </x:c>
      <x:c r="D48" s="3" t="n">
        <x:v>9.1</x:v>
      </x:c>
      <x:c r="E48" s="3" t="n">
        <x:v>8.7</x:v>
      </x:c>
      <x:c r="F48" s="3" t="n">
        <x:v>1</x:v>
      </x:c>
      <x:c r="G48" s="3" t="str"/>
      <x:c r="H48" s="3" t="n">
        <x:v>45</x:v>
      </x:c>
      <x:c r="I48" s="5" t="n">
        <x:f>ROUND(D48*Rules!$B$5+E48*Rules!$B$6,1)</x:f>
        <x:v>8.9</x:v>
      </x:c>
      <x:c r="J48" s="5" t="n">
        <x:f>IF(I48&gt;=Rules!$B$13,Rules!$C$13,IF(I48&gt;=Rules!$B$14,Rules!$C$14,IF(I48&gt;=Rules!$B$15,Rules!$C$15,IF(I48&gt;=Rules!$B$16,Rules!$C$16,Rules!$C$17))))</x:f>
        <x:v>4</x:v>
      </x:c>
      <x:c r="K48" s="5" t="n">
        <x:f>VLOOKUP(B48,Courses!$A$5:$D$14,3,FALSE)</x:f>
        <x:v>2</x:v>
      </x:c>
      <x:c r="L48" s="5" t="n">
        <x:f>J48*K48</x:f>
        <x:v>8</x:v>
      </x:c>
      <x:c r="M48" s="5" t="str">
        <x:f>VLOOKUP(A48,Students!$A$5:$H$45,5,FALSE)</x:f>
        <x:v>IT01</x:v>
      </x:c>
      <x:c r="N48" s="5" t="str">
        <x:f>'Sections'!E33</x:f>
        <x:v>T001</x:v>
      </x:c>
      <x:c r="O48" s="5" t="n">
        <x:f>IF(J48&gt;0,1,0)</x:f>
        <x:v>1</x:v>
      </x:c>
    </x:row>
    <x:row r="49" ht="21" customHeight="1">
      <x:c r="A49" s="3" t="str">
        <x:v>2201008</x:v>
      </x:c>
      <x:c r="B49" s="3" t="str">
        <x:v>GE102</x:v>
      </x:c>
      <x:c r="C49" s="3" t="str">
        <x:v>2024-1</x:v>
      </x:c>
      <x:c r="D49" s="3" t="n">
        <x:v>8.9</x:v>
      </x:c>
      <x:c r="E49" s="3" t="n">
        <x:v>9.1</x:v>
      </x:c>
      <x:c r="F49" s="3" t="n">
        <x:v>1</x:v>
      </x:c>
      <x:c r="G49" s="3" t="str"/>
      <x:c r="H49" s="3" t="n">
        <x:v>46</x:v>
      </x:c>
      <x:c r="I49" s="5" t="n">
        <x:f>ROUND(D49*Rules!$B$5+E49*Rules!$B$6,1)</x:f>
        <x:v>9</x:v>
      </x:c>
      <x:c r="J49" s="5" t="n">
        <x:f>IF(I49&gt;=Rules!$B$13,Rules!$C$13,IF(I49&gt;=Rules!$B$14,Rules!$C$14,IF(I49&gt;=Rules!$B$15,Rules!$C$15,IF(I49&gt;=Rules!$B$16,Rules!$C$16,Rules!$C$17))))</x:f>
        <x:v>4</x:v>
      </x:c>
      <x:c r="K49" s="5" t="n">
        <x:f>VLOOKUP(B49,Courses!$A$5:$D$14,3,FALSE)</x:f>
        <x:v>3</x:v>
      </x:c>
      <x:c r="L49" s="5" t="n">
        <x:f>J49*K49</x:f>
        <x:v>12</x:v>
      </x:c>
      <x:c r="M49" s="5" t="str">
        <x:f>VLOOKUP(A49,Students!$A$5:$H$45,5,FALSE)</x:f>
        <x:v>IT01</x:v>
      </x:c>
      <x:c r="N49" s="5" t="str">
        <x:f>'Sections'!E41</x:f>
        <x:v>T001</x:v>
      </x:c>
      <x:c r="O49" s="5" t="n">
        <x:f>IF(J49&gt;0,1,0)</x:f>
        <x:v>1</x:v>
      </x:c>
    </x:row>
    <x:row r="50" ht="21" customHeight="1">
      <x:c r="A50" s="3" t="str">
        <x:v>2201008</x:v>
      </x:c>
      <x:c r="B50" s="3" t="str">
        <x:v>CS101</x:v>
      </x:c>
      <x:c r="C50" s="3" t="str">
        <x:v>2024-1</x:v>
      </x:c>
      <x:c r="D50" s="3" t="n">
        <x:v>7.5</x:v>
      </x:c>
      <x:c r="E50" s="3" t="n">
        <x:v>7.1</x:v>
      </x:c>
      <x:c r="F50" s="3" t="n">
        <x:v>1</x:v>
      </x:c>
      <x:c r="G50" s="3" t="str"/>
      <x:c r="H50" s="3" t="n">
        <x:v>47</x:v>
      </x:c>
      <x:c r="I50" s="5" t="n">
        <x:f>ROUND(D50*Rules!$B$5+E50*Rules!$B$6,1)</x:f>
        <x:v>7.3</x:v>
      </x:c>
      <x:c r="J50" s="5" t="n">
        <x:f>IF(I50&gt;=Rules!$B$13,Rules!$C$13,IF(I50&gt;=Rules!$B$14,Rules!$C$14,IF(I50&gt;=Rules!$B$15,Rules!$C$15,IF(I50&gt;=Rules!$B$16,Rules!$C$16,Rules!$C$17))))</x:f>
        <x:v>3</x:v>
      </x:c>
      <x:c r="K50" s="5" t="n">
        <x:f>VLOOKUP(B50,Courses!$A$5:$D$14,3,FALSE)</x:f>
        <x:v>3</x:v>
      </x:c>
      <x:c r="L50" s="5" t="n">
        <x:f>J50*K50</x:f>
        <x:v>9</x:v>
      </x:c>
      <x:c r="M50" s="5" t="str">
        <x:f>VLOOKUP(A50,Students!$A$5:$H$45,5,FALSE)</x:f>
        <x:v>IT01</x:v>
      </x:c>
      <x:c r="N50" s="5" t="str">
        <x:f>'Sections'!E18</x:f>
        <x:v>T001</x:v>
      </x:c>
      <x:c r="O50" s="5" t="n">
        <x:f>IF(J50&gt;0,1,0)</x:f>
        <x:v>1</x:v>
      </x:c>
    </x:row>
    <x:row r="51" ht="21" customHeight="1">
      <x:c r="A51" s="3" t="str">
        <x:v>2201008</x:v>
      </x:c>
      <x:c r="B51" s="3" t="str">
        <x:v>CS102</x:v>
      </x:c>
      <x:c r="C51" s="3" t="str">
        <x:v>2024-2</x:v>
      </x:c>
      <x:c r="D51" s="3" t="n">
        <x:v>8.2</x:v>
      </x:c>
      <x:c r="E51" s="3" t="n">
        <x:v>7.7</x:v>
      </x:c>
      <x:c r="F51" s="3" t="n">
        <x:v>1</x:v>
      </x:c>
      <x:c r="G51" s="3" t="str"/>
      <x:c r="H51" s="3" t="n">
        <x:v>48</x:v>
      </x:c>
      <x:c r="I51" s="5" t="n">
        <x:f>ROUND(D51*Rules!$B$5+E51*Rules!$B$6,1)</x:f>
        <x:v>7.9</x:v>
      </x:c>
      <x:c r="J51" s="5" t="n">
        <x:f>IF(I51&gt;=Rules!$B$13,Rules!$C$13,IF(I51&gt;=Rules!$B$14,Rules!$C$14,IF(I51&gt;=Rules!$B$15,Rules!$C$15,IF(I51&gt;=Rules!$B$16,Rules!$C$16,Rules!$C$17))))</x:f>
        <x:v>3</x:v>
      </x:c>
      <x:c r="K51" s="5" t="n">
        <x:f>VLOOKUP(B51,Courses!$A$5:$D$14,3,FALSE)</x:f>
        <x:v>3</x:v>
      </x:c>
      <x:c r="L51" s="5" t="n">
        <x:f>J51*K51</x:f>
        <x:v>9</x:v>
      </x:c>
      <x:c r="M51" s="5" t="str">
        <x:f>VLOOKUP(A51,Students!$A$5:$H$45,5,FALSE)</x:f>
        <x:v>IT01</x:v>
      </x:c>
      <x:c r="N51" s="5" t="str">
        <x:f>'Sections'!E21</x:f>
        <x:v>T001</x:v>
      </x:c>
      <x:c r="O51" s="5" t="n">
        <x:f>IF(J51&gt;0,1,0)</x:f>
        <x:v>1</x:v>
      </x:c>
    </x:row>
    <x:row r="52" ht="21" customHeight="1">
      <x:c r="A52" s="3" t="str">
        <x:v>2201008</x:v>
      </x:c>
      <x:c r="B52" s="3" t="str">
        <x:v>CS201</x:v>
      </x:c>
      <x:c r="C52" s="3" t="str">
        <x:v>2024-2</x:v>
      </x:c>
      <x:c r="D52" s="3" t="n">
        <x:v>8.5</x:v>
      </x:c>
      <x:c r="E52" s="3" t="n">
        <x:v>6.7</x:v>
      </x:c>
      <x:c r="F52" s="3" t="n">
        <x:v>1</x:v>
      </x:c>
      <x:c r="G52" s="3" t="str"/>
      <x:c r="H52" s="3" t="n">
        <x:v>49</x:v>
      </x:c>
      <x:c r="I52" s="5" t="n">
        <x:f>ROUND(D52*Rules!$B$5+E52*Rules!$B$6,1)</x:f>
        <x:v>7.4</x:v>
      </x:c>
      <x:c r="J52" s="5" t="n">
        <x:f>IF(I52&gt;=Rules!$B$13,Rules!$C$13,IF(I52&gt;=Rules!$B$14,Rules!$C$14,IF(I52&gt;=Rules!$B$15,Rules!$C$15,IF(I52&gt;=Rules!$B$16,Rules!$C$16,Rules!$C$17))))</x:f>
        <x:v>3</x:v>
      </x:c>
      <x:c r="K52" s="5" t="n">
        <x:f>VLOOKUP(B52,Courses!$A$5:$D$14,3,FALSE)</x:f>
        <x:v>4</x:v>
      </x:c>
      <x:c r="L52" s="5" t="n">
        <x:f>J52*K52</x:f>
        <x:v>12</x:v>
      </x:c>
      <x:c r="M52" s="5" t="str">
        <x:f>VLOOKUP(A52,Students!$A$5:$H$45,5,FALSE)</x:f>
        <x:v>IT01</x:v>
      </x:c>
      <x:c r="N52" s="5" t="str">
        <x:f>'Sections'!E25</x:f>
        <x:v>T001</x:v>
      </x:c>
      <x:c r="O52" s="5" t="n">
        <x:f>IF(J52&gt;0,1,0)</x:f>
        <x:v>1</x:v>
      </x:c>
    </x:row>
    <x:row r="53" ht="21" customHeight="1">
      <x:c r="A53" s="3" t="str">
        <x:v>2201008</x:v>
      </x:c>
      <x:c r="B53" s="3" t="str">
        <x:v>CS202</x:v>
      </x:c>
      <x:c r="C53" s="3" t="str">
        <x:v>2025-1</x:v>
      </x:c>
      <x:c r="D53" s="3" t="n">
        <x:v>8.3</x:v>
      </x:c>
      <x:c r="E53" s="3" t="n">
        <x:v>7.9</x:v>
      </x:c>
      <x:c r="F53" s="3" t="n">
        <x:v>1</x:v>
      </x:c>
      <x:c r="G53" s="3" t="str"/>
      <x:c r="H53" s="3" t="n">
        <x:v>50</x:v>
      </x:c>
      <x:c r="I53" s="5" t="n">
        <x:f>ROUND(D53*Rules!$B$5+E53*Rules!$B$6,1)</x:f>
        <x:v>8.1</x:v>
      </x:c>
      <x:c r="J53" s="5" t="n">
        <x:f>IF(I53&gt;=Rules!$B$13,Rules!$C$13,IF(I53&gt;=Rules!$B$14,Rules!$C$14,IF(I53&gt;=Rules!$B$15,Rules!$C$15,IF(I53&gt;=Rules!$B$16,Rules!$C$16,Rules!$C$17))))</x:f>
        <x:v>3</x:v>
      </x:c>
      <x:c r="K53" s="5" t="n">
        <x:f>VLOOKUP(B53,Courses!$A$5:$D$14,3,FALSE)</x:f>
        <x:v>3</x:v>
      </x:c>
      <x:c r="L53" s="5" t="n">
        <x:f>J53*K53</x:f>
        <x:v>9</x:v>
      </x:c>
      <x:c r="M53" s="5" t="str">
        <x:f>VLOOKUP(A53,Students!$A$5:$H$45,5,FALSE)</x:f>
        <x:v>IT01</x:v>
      </x:c>
      <x:c r="N53" s="5" t="str">
        <x:f>'Sections'!E29</x:f>
        <x:v>T001</x:v>
      </x:c>
      <x:c r="O53" s="5" t="n">
        <x:f>IF(J53&gt;0,1,0)</x:f>
        <x:v>1</x:v>
      </x:c>
    </x:row>
    <x:row r="54" ht="21" customHeight="1">
      <x:c r="A54" s="3" t="str">
        <x:v>2201009</x:v>
      </x:c>
      <x:c r="B54" s="3" t="str">
        <x:v>GE101</x:v>
      </x:c>
      <x:c r="C54" s="3" t="str">
        <x:v>2024-1</x:v>
      </x:c>
      <x:c r="D54" s="3" t="n">
        <x:v>7.8</x:v>
      </x:c>
      <x:c r="E54" s="3" t="n">
        <x:v>8.5</x:v>
      </x:c>
      <x:c r="F54" s="3" t="n">
        <x:v>1</x:v>
      </x:c>
      <x:c r="G54" s="3" t="str"/>
      <x:c r="H54" s="3" t="n">
        <x:v>51</x:v>
      </x:c>
      <x:c r="I54" s="5" t="n">
        <x:f>ROUND(D54*Rules!$B$5+E54*Rules!$B$6,1)</x:f>
        <x:v>8.2</x:v>
      </x:c>
      <x:c r="J54" s="5" t="n">
        <x:f>IF(I54&gt;=Rules!$B$13,Rules!$C$13,IF(I54&gt;=Rules!$B$14,Rules!$C$14,IF(I54&gt;=Rules!$B$15,Rules!$C$15,IF(I54&gt;=Rules!$B$16,Rules!$C$16,Rules!$C$17))))</x:f>
        <x:v>3</x:v>
      </x:c>
      <x:c r="K54" s="5" t="n">
        <x:f>VLOOKUP(B54,Courses!$A$5:$D$14,3,FALSE)</x:f>
        <x:v>2</x:v>
      </x:c>
      <x:c r="L54" s="5" t="n">
        <x:f>J54*K54</x:f>
        <x:v>6</x:v>
      </x:c>
      <x:c r="M54" s="5" t="str">
        <x:f>VLOOKUP(A54,Students!$A$5:$H$45,5,FALSE)</x:f>
        <x:v>IT01</x:v>
      </x:c>
      <x:c r="N54" s="5" t="str">
        <x:f>'Sections'!E33</x:f>
        <x:v>T001</x:v>
      </x:c>
      <x:c r="O54" s="5" t="n">
        <x:f>IF(J54&gt;0,1,0)</x:f>
        <x:v>1</x:v>
      </x:c>
    </x:row>
    <x:row r="55" ht="21" customHeight="1">
      <x:c r="A55" s="3" t="str">
        <x:v>2201009</x:v>
      </x:c>
      <x:c r="B55" s="3" t="str">
        <x:v>GE102</x:v>
      </x:c>
      <x:c r="C55" s="3" t="str">
        <x:v>2024-1</x:v>
      </x:c>
      <x:c r="D55" s="3" t="n">
        <x:v>8.1</x:v>
      </x:c>
      <x:c r="E55" s="3" t="n">
        <x:v>7.3</x:v>
      </x:c>
      <x:c r="F55" s="3" t="n">
        <x:v>1</x:v>
      </x:c>
      <x:c r="G55" s="3" t="str"/>
      <x:c r="H55" s="3" t="n">
        <x:v>52</x:v>
      </x:c>
      <x:c r="I55" s="5" t="n">
        <x:f>ROUND(D55*Rules!$B$5+E55*Rules!$B$6,1)</x:f>
        <x:v>7.6</x:v>
      </x:c>
      <x:c r="J55" s="5" t="n">
        <x:f>IF(I55&gt;=Rules!$B$13,Rules!$C$13,IF(I55&gt;=Rules!$B$14,Rules!$C$14,IF(I55&gt;=Rules!$B$15,Rules!$C$15,IF(I55&gt;=Rules!$B$16,Rules!$C$16,Rules!$C$17))))</x:f>
        <x:v>3</x:v>
      </x:c>
      <x:c r="K55" s="5" t="n">
        <x:f>VLOOKUP(B55,Courses!$A$5:$D$14,3,FALSE)</x:f>
        <x:v>3</x:v>
      </x:c>
      <x:c r="L55" s="5" t="n">
        <x:f>J55*K55</x:f>
        <x:v>9</x:v>
      </x:c>
      <x:c r="M55" s="5" t="str">
        <x:f>VLOOKUP(A55,Students!$A$5:$H$45,5,FALSE)</x:f>
        <x:v>IT01</x:v>
      </x:c>
      <x:c r="N55" s="5" t="str">
        <x:f>'Sections'!E41</x:f>
        <x:v>T001</x:v>
      </x:c>
      <x:c r="O55" s="5" t="n">
        <x:f>IF(J55&gt;0,1,0)</x:f>
        <x:v>1</x:v>
      </x:c>
    </x:row>
    <x:row r="56" ht="21" customHeight="1">
      <x:c r="A56" s="3" t="str">
        <x:v>2201009</x:v>
      </x:c>
      <x:c r="B56" s="3" t="str">
        <x:v>CS101</x:v>
      </x:c>
      <x:c r="C56" s="3" t="str">
        <x:v>2024-1</x:v>
      </x:c>
      <x:c r="D56" s="3" t="n">
        <x:v>8.6</x:v>
      </x:c>
      <x:c r="E56" s="3" t="n">
        <x:v>6.8</x:v>
      </x:c>
      <x:c r="F56" s="3" t="n">
        <x:v>1</x:v>
      </x:c>
      <x:c r="G56" s="3" t="str"/>
      <x:c r="H56" s="3" t="n">
        <x:v>53</x:v>
      </x:c>
      <x:c r="I56" s="5" t="n">
        <x:f>ROUND(D56*Rules!$B$5+E56*Rules!$B$6,1)</x:f>
        <x:v>7.5</x:v>
      </x:c>
      <x:c r="J56" s="5" t="n">
        <x:f>IF(I56&gt;=Rules!$B$13,Rules!$C$13,IF(I56&gt;=Rules!$B$14,Rules!$C$14,IF(I56&gt;=Rules!$B$15,Rules!$C$15,IF(I56&gt;=Rules!$B$16,Rules!$C$16,Rules!$C$17))))</x:f>
        <x:v>3</x:v>
      </x:c>
      <x:c r="K56" s="5" t="n">
        <x:f>VLOOKUP(B56,Courses!$A$5:$D$14,3,FALSE)</x:f>
        <x:v>3</x:v>
      </x:c>
      <x:c r="L56" s="5" t="n">
        <x:f>J56*K56</x:f>
        <x:v>9</x:v>
      </x:c>
      <x:c r="M56" s="5" t="str">
        <x:f>VLOOKUP(A56,Students!$A$5:$H$45,5,FALSE)</x:f>
        <x:v>IT01</x:v>
      </x:c>
      <x:c r="N56" s="5" t="str">
        <x:f>'Sections'!E18</x:f>
        <x:v>T001</x:v>
      </x:c>
      <x:c r="O56" s="5" t="n">
        <x:f>IF(J56&gt;0,1,0)</x:f>
        <x:v>1</x:v>
      </x:c>
    </x:row>
    <x:row r="57" ht="21" customHeight="1">
      <x:c r="A57" s="3" t="str">
        <x:v>2201009</x:v>
      </x:c>
      <x:c r="B57" s="3" t="str">
        <x:v>CS102</x:v>
      </x:c>
      <x:c r="C57" s="3" t="str">
        <x:v>2024-2</x:v>
      </x:c>
      <x:c r="D57" s="3" t="n">
        <x:v>7.3</x:v>
      </x:c>
      <x:c r="E57" s="3" t="n">
        <x:v>8.8</x:v>
      </x:c>
      <x:c r="F57" s="3" t="n">
        <x:v>1</x:v>
      </x:c>
      <x:c r="G57" s="3" t="str"/>
      <x:c r="H57" s="3" t="n">
        <x:v>54</x:v>
      </x:c>
      <x:c r="I57" s="5" t="n">
        <x:f>ROUND(D57*Rules!$B$5+E57*Rules!$B$6,1)</x:f>
        <x:v>8.2</x:v>
      </x:c>
      <x:c r="J57" s="5" t="n">
        <x:f>IF(I57&gt;=Rules!$B$13,Rules!$C$13,IF(I57&gt;=Rules!$B$14,Rules!$C$14,IF(I57&gt;=Rules!$B$15,Rules!$C$15,IF(I57&gt;=Rules!$B$16,Rules!$C$16,Rules!$C$17))))</x:f>
        <x:v>3</x:v>
      </x:c>
      <x:c r="K57" s="5" t="n">
        <x:f>VLOOKUP(B57,Courses!$A$5:$D$14,3,FALSE)</x:f>
        <x:v>3</x:v>
      </x:c>
      <x:c r="L57" s="5" t="n">
        <x:f>J57*K57</x:f>
        <x:v>9</x:v>
      </x:c>
      <x:c r="M57" s="5" t="str">
        <x:f>VLOOKUP(A57,Students!$A$5:$H$45,5,FALSE)</x:f>
        <x:v>IT01</x:v>
      </x:c>
      <x:c r="N57" s="5" t="str">
        <x:f>'Sections'!E21</x:f>
        <x:v>T001</x:v>
      </x:c>
      <x:c r="O57" s="5" t="n">
        <x:f>IF(J57&gt;0,1,0)</x:f>
        <x:v>1</x:v>
      </x:c>
    </x:row>
    <x:row r="58" ht="21" customHeight="1">
      <x:c r="A58" s="3" t="str">
        <x:v>2201009</x:v>
      </x:c>
      <x:c r="B58" s="3" t="str">
        <x:v>CS201</x:v>
      </x:c>
      <x:c r="C58" s="3" t="str">
        <x:v>2024-2</x:v>
      </x:c>
      <x:c r="D58" s="3" t="n">
        <x:v>9.5</x:v>
      </x:c>
      <x:c r="E58" s="3" t="n">
        <x:v>7.1</x:v>
      </x:c>
      <x:c r="F58" s="3" t="n">
        <x:v>1</x:v>
      </x:c>
      <x:c r="G58" s="3" t="str"/>
      <x:c r="H58" s="3" t="n">
        <x:v>55</x:v>
      </x:c>
      <x:c r="I58" s="5" t="n">
        <x:f>ROUND(D58*Rules!$B$5+E58*Rules!$B$6,1)</x:f>
        <x:v>8.1</x:v>
      </x:c>
      <x:c r="J58" s="5" t="n">
        <x:f>IF(I58&gt;=Rules!$B$13,Rules!$C$13,IF(I58&gt;=Rules!$B$14,Rules!$C$14,IF(I58&gt;=Rules!$B$15,Rules!$C$15,IF(I58&gt;=Rules!$B$16,Rules!$C$16,Rules!$C$17))))</x:f>
        <x:v>3</x:v>
      </x:c>
      <x:c r="K58" s="5" t="n">
        <x:f>VLOOKUP(B58,Courses!$A$5:$D$14,3,FALSE)</x:f>
        <x:v>4</x:v>
      </x:c>
      <x:c r="L58" s="5" t="n">
        <x:f>J58*K58</x:f>
        <x:v>12</x:v>
      </x:c>
      <x:c r="M58" s="5" t="str">
        <x:f>VLOOKUP(A58,Students!$A$5:$H$45,5,FALSE)</x:f>
        <x:v>IT01</x:v>
      </x:c>
      <x:c r="N58" s="5" t="str">
        <x:f>'Sections'!E25</x:f>
        <x:v>T001</x:v>
      </x:c>
      <x:c r="O58" s="5" t="n">
        <x:f>IF(J58&gt;0,1,0)</x:f>
        <x:v>1</x:v>
      </x:c>
    </x:row>
    <x:row r="59" ht="21" customHeight="1">
      <x:c r="A59" s="3" t="str">
        <x:v>2201009</x:v>
      </x:c>
      <x:c r="B59" s="3" t="str">
        <x:v>CS202</x:v>
      </x:c>
      <x:c r="C59" s="3" t="str">
        <x:v>2025-1</x:v>
      </x:c>
      <x:c r="D59" s="3" t="n">
        <x:v>7.5</x:v>
      </x:c>
      <x:c r="E59" s="3" t="n">
        <x:v>8.1</x:v>
      </x:c>
      <x:c r="F59" s="3" t="n">
        <x:v>1</x:v>
      </x:c>
      <x:c r="G59" s="3" t="str"/>
      <x:c r="H59" s="3" t="n">
        <x:v>56</x:v>
      </x:c>
      <x:c r="I59" s="5" t="n">
        <x:f>ROUND(D59*Rules!$B$5+E59*Rules!$B$6,1)</x:f>
        <x:v>7.9</x:v>
      </x:c>
      <x:c r="J59" s="5" t="n">
        <x:f>IF(I59&gt;=Rules!$B$13,Rules!$C$13,IF(I59&gt;=Rules!$B$14,Rules!$C$14,IF(I59&gt;=Rules!$B$15,Rules!$C$15,IF(I59&gt;=Rules!$B$16,Rules!$C$16,Rules!$C$17))))</x:f>
        <x:v>3</x:v>
      </x:c>
      <x:c r="K59" s="5" t="n">
        <x:f>VLOOKUP(B59,Courses!$A$5:$D$14,3,FALSE)</x:f>
        <x:v>3</x:v>
      </x:c>
      <x:c r="L59" s="5" t="n">
        <x:f>J59*K59</x:f>
        <x:v>9</x:v>
      </x:c>
      <x:c r="M59" s="5" t="str">
        <x:f>VLOOKUP(A59,Students!$A$5:$H$45,5,FALSE)</x:f>
        <x:v>IT01</x:v>
      </x:c>
      <x:c r="N59" s="5" t="str">
        <x:f>'Sections'!E29</x:f>
        <x:v>T001</x:v>
      </x:c>
      <x:c r="O59" s="5" t="n">
        <x:f>IF(J59&gt;0,1,0)</x:f>
        <x:v>1</x:v>
      </x:c>
    </x:row>
    <x:row r="60" ht="21" customHeight="1">
      <x:c r="A60" s="3" t="str">
        <x:v>2201010</x:v>
      </x:c>
      <x:c r="B60" s="3" t="str">
        <x:v>GE101</x:v>
      </x:c>
      <x:c r="C60" s="3" t="str">
        <x:v>2024-1</x:v>
      </x:c>
      <x:c r="D60" s="3" t="n">
        <x:v>4.3</x:v>
      </x:c>
      <x:c r="E60" s="3" t="n">
        <x:v>2.9</x:v>
      </x:c>
      <x:c r="F60" s="3" t="n">
        <x:v>1</x:v>
      </x:c>
      <x:c r="G60" s="3" t="str"/>
      <x:c r="H60" s="3" t="n">
        <x:v>57</x:v>
      </x:c>
      <x:c r="I60" s="5" t="n">
        <x:f>ROUND(D60*Rules!$B$5+E60*Rules!$B$6,1)</x:f>
        <x:v>3.5</x:v>
      </x:c>
      <x:c r="J60" s="5" t="n">
        <x:f>IF(I60&gt;=Rules!$B$13,Rules!$C$13,IF(I60&gt;=Rules!$B$14,Rules!$C$14,IF(I60&gt;=Rules!$B$15,Rules!$C$15,IF(I60&gt;=Rules!$B$16,Rules!$C$16,Rules!$C$17))))</x:f>
        <x:v>0</x:v>
      </x:c>
      <x:c r="K60" s="5" t="n">
        <x:f>VLOOKUP(B60,Courses!$A$5:$D$14,3,FALSE)</x:f>
        <x:v>2</x:v>
      </x:c>
      <x:c r="L60" s="5" t="n">
        <x:f>J60*K60</x:f>
        <x:v>0</x:v>
      </x:c>
      <x:c r="M60" s="5" t="str">
        <x:f>VLOOKUP(A60,Students!$A$5:$H$45,5,FALSE)</x:f>
        <x:v>IT01</x:v>
      </x:c>
      <x:c r="N60" s="5" t="str">
        <x:f>'Sections'!E33</x:f>
        <x:v>T001</x:v>
      </x:c>
      <x:c r="O60" s="5" t="n">
        <x:f>IF(J60&gt;0,1,0)</x:f>
        <x:v>0</x:v>
      </x:c>
    </x:row>
    <x:row r="61" ht="21" customHeight="1">
      <x:c r="A61" s="3" t="str">
        <x:v>2201010</x:v>
      </x:c>
      <x:c r="B61" s="3" t="str">
        <x:v>GE102</x:v>
      </x:c>
      <x:c r="C61" s="3" t="str">
        <x:v>2024-1</x:v>
      </x:c>
      <x:c r="D61" s="3" t="n">
        <x:v>4.4</x:v>
      </x:c>
      <x:c r="E61" s="3" t="n">
        <x:v>2.6</x:v>
      </x:c>
      <x:c r="F61" s="3" t="n">
        <x:v>1</x:v>
      </x:c>
      <x:c r="G61" s="3" t="str"/>
      <x:c r="H61" s="3" t="n">
        <x:v>58</x:v>
      </x:c>
      <x:c r="I61" s="5" t="n">
        <x:f>ROUND(D61*Rules!$B$5+E61*Rules!$B$6,1)</x:f>
        <x:v>3.3</x:v>
      </x:c>
      <x:c r="J61" s="5" t="n">
        <x:f>IF(I61&gt;=Rules!$B$13,Rules!$C$13,IF(I61&gt;=Rules!$B$14,Rules!$C$14,IF(I61&gt;=Rules!$B$15,Rules!$C$15,IF(I61&gt;=Rules!$B$16,Rules!$C$16,Rules!$C$17))))</x:f>
        <x:v>0</x:v>
      </x:c>
      <x:c r="K61" s="5" t="n">
        <x:f>VLOOKUP(B61,Courses!$A$5:$D$14,3,FALSE)</x:f>
        <x:v>3</x:v>
      </x:c>
      <x:c r="L61" s="5" t="n">
        <x:f>J61*K61</x:f>
        <x:v>0</x:v>
      </x:c>
      <x:c r="M61" s="5" t="str">
        <x:f>VLOOKUP(A61,Students!$A$5:$H$45,5,FALSE)</x:f>
        <x:v>IT01</x:v>
      </x:c>
      <x:c r="N61" s="5" t="str">
        <x:f>'Sections'!E41</x:f>
        <x:v>T001</x:v>
      </x:c>
      <x:c r="O61" s="5" t="n">
        <x:f>IF(J61&gt;0,1,0)</x:f>
        <x:v>0</x:v>
      </x:c>
    </x:row>
    <x:row r="62" ht="21" customHeight="1">
      <x:c r="A62" s="3" t="str">
        <x:v>2201010</x:v>
      </x:c>
      <x:c r="B62" s="3" t="str">
        <x:v>CS101</x:v>
      </x:c>
      <x:c r="C62" s="3" t="str">
        <x:v>2024-1</x:v>
      </x:c>
      <x:c r="D62" s="3" t="n">
        <x:v>4</x:v>
      </x:c>
      <x:c r="E62" s="3" t="n">
        <x:v>4.2</x:v>
      </x:c>
      <x:c r="F62" s="3" t="n">
        <x:v>1</x:v>
      </x:c>
      <x:c r="G62" s="3" t="str"/>
      <x:c r="H62" s="3" t="n">
        <x:v>59</x:v>
      </x:c>
      <x:c r="I62" s="5" t="n">
        <x:f>ROUND(D62*Rules!$B$5+E62*Rules!$B$6,1)</x:f>
        <x:v>4.1</x:v>
      </x:c>
      <x:c r="J62" s="5" t="n">
        <x:f>IF(I62&gt;=Rules!$B$13,Rules!$C$13,IF(I62&gt;=Rules!$B$14,Rules!$C$14,IF(I62&gt;=Rules!$B$15,Rules!$C$15,IF(I62&gt;=Rules!$B$16,Rules!$C$16,Rules!$C$17))))</x:f>
        <x:v>1</x:v>
      </x:c>
      <x:c r="K62" s="5" t="n">
        <x:f>VLOOKUP(B62,Courses!$A$5:$D$14,3,FALSE)</x:f>
        <x:v>3</x:v>
      </x:c>
      <x:c r="L62" s="5" t="n">
        <x:f>J62*K62</x:f>
        <x:v>3</x:v>
      </x:c>
      <x:c r="M62" s="5" t="str">
        <x:f>VLOOKUP(A62,Students!$A$5:$H$45,5,FALSE)</x:f>
        <x:v>IT01</x:v>
      </x:c>
      <x:c r="N62" s="5" t="str">
        <x:f>'Sections'!E18</x:f>
        <x:v>T001</x:v>
      </x:c>
      <x:c r="O62" s="5" t="n">
        <x:f>IF(J62&gt;0,1,0)</x:f>
        <x:v>1</x:v>
      </x:c>
    </x:row>
    <x:row r="63" ht="21" customHeight="1">
      <x:c r="A63" s="3" t="str">
        <x:v>2201010</x:v>
      </x:c>
      <x:c r="B63" s="3" t="str">
        <x:v>CS102</x:v>
      </x:c>
      <x:c r="C63" s="3" t="str">
        <x:v>2024-2</x:v>
      </x:c>
      <x:c r="D63" s="3" t="n">
        <x:v>3.1</x:v>
      </x:c>
      <x:c r="E63" s="3" t="n">
        <x:v>3.9</x:v>
      </x:c>
      <x:c r="F63" s="3" t="n">
        <x:v>1</x:v>
      </x:c>
      <x:c r="G63" s="3" t="str"/>
      <x:c r="H63" s="3" t="n">
        <x:v>60</x:v>
      </x:c>
      <x:c r="I63" s="5" t="n">
        <x:f>ROUND(D63*Rules!$B$5+E63*Rules!$B$6,1)</x:f>
        <x:v>3.6</x:v>
      </x:c>
      <x:c r="J63" s="5" t="n">
        <x:f>IF(I63&gt;=Rules!$B$13,Rules!$C$13,IF(I63&gt;=Rules!$B$14,Rules!$C$14,IF(I63&gt;=Rules!$B$15,Rules!$C$15,IF(I63&gt;=Rules!$B$16,Rules!$C$16,Rules!$C$17))))</x:f>
        <x:v>0</x:v>
      </x:c>
      <x:c r="K63" s="5" t="n">
        <x:f>VLOOKUP(B63,Courses!$A$5:$D$14,3,FALSE)</x:f>
        <x:v>3</x:v>
      </x:c>
      <x:c r="L63" s="5" t="n">
        <x:f>J63*K63</x:f>
        <x:v>0</x:v>
      </x:c>
      <x:c r="M63" s="5" t="str">
        <x:f>VLOOKUP(A63,Students!$A$5:$H$45,5,FALSE)</x:f>
        <x:v>IT01</x:v>
      </x:c>
      <x:c r="N63" s="5" t="str">
        <x:f>'Sections'!E21</x:f>
        <x:v>T001</x:v>
      </x:c>
      <x:c r="O63" s="5" t="n">
        <x:f>IF(J63&gt;0,1,0)</x:f>
        <x:v>0</x:v>
      </x:c>
    </x:row>
    <x:row r="64" ht="21" customHeight="1">
      <x:c r="A64" s="3" t="str">
        <x:v>2201010</x:v>
      </x:c>
      <x:c r="B64" s="3" t="str">
        <x:v>CS201</x:v>
      </x:c>
      <x:c r="C64" s="3" t="str">
        <x:v>2024-2</x:v>
      </x:c>
      <x:c r="D64" s="3" t="n">
        <x:v>4.8</x:v>
      </x:c>
      <x:c r="E64" s="3" t="n">
        <x:v>2.3</x:v>
      </x:c>
      <x:c r="F64" s="3" t="n">
        <x:v>1</x:v>
      </x:c>
      <x:c r="G64" s="3" t="str"/>
      <x:c r="H64" s="3" t="n">
        <x:v>61</x:v>
      </x:c>
      <x:c r="I64" s="5" t="n">
        <x:f>ROUND(D64*Rules!$B$5+E64*Rules!$B$6,1)</x:f>
        <x:v>3.3</x:v>
      </x:c>
      <x:c r="J64" s="5" t="n">
        <x:f>IF(I64&gt;=Rules!$B$13,Rules!$C$13,IF(I64&gt;=Rules!$B$14,Rules!$C$14,IF(I64&gt;=Rules!$B$15,Rules!$C$15,IF(I64&gt;=Rules!$B$16,Rules!$C$16,Rules!$C$17))))</x:f>
        <x:v>0</x:v>
      </x:c>
      <x:c r="K64" s="5" t="n">
        <x:f>VLOOKUP(B64,Courses!$A$5:$D$14,3,FALSE)</x:f>
        <x:v>4</x:v>
      </x:c>
      <x:c r="L64" s="5" t="n">
        <x:f>J64*K64</x:f>
        <x:v>0</x:v>
      </x:c>
      <x:c r="M64" s="5" t="str">
        <x:f>VLOOKUP(A64,Students!$A$5:$H$45,5,FALSE)</x:f>
        <x:v>IT01</x:v>
      </x:c>
      <x:c r="N64" s="5" t="str">
        <x:f>'Sections'!E25</x:f>
        <x:v>T001</x:v>
      </x:c>
      <x:c r="O64" s="5" t="n">
        <x:f>IF(J64&gt;0,1,0)</x:f>
        <x:v>0</x:v>
      </x:c>
    </x:row>
    <x:row r="65" ht="21" customHeight="1">
      <x:c r="A65" s="3" t="str">
        <x:v>2201010</x:v>
      </x:c>
      <x:c r="B65" s="3" t="str">
        <x:v>CS202</x:v>
      </x:c>
      <x:c r="C65" s="3" t="str">
        <x:v>2025-1</x:v>
      </x:c>
      <x:c r="D65" s="3" t="n">
        <x:v>5</x:v>
      </x:c>
      <x:c r="E65" s="3" t="n">
        <x:v>4.6</x:v>
      </x:c>
      <x:c r="F65" s="3" t="n">
        <x:v>1</x:v>
      </x:c>
      <x:c r="G65" s="3" t="str"/>
      <x:c r="H65" s="3" t="n">
        <x:v>62</x:v>
      </x:c>
      <x:c r="I65" s="5" t="n">
        <x:f>ROUND(D65*Rules!$B$5+E65*Rules!$B$6,1)</x:f>
        <x:v>4.8</x:v>
      </x:c>
      <x:c r="J65" s="5" t="n">
        <x:f>IF(I65&gt;=Rules!$B$13,Rules!$C$13,IF(I65&gt;=Rules!$B$14,Rules!$C$14,IF(I65&gt;=Rules!$B$15,Rules!$C$15,IF(I65&gt;=Rules!$B$16,Rules!$C$16,Rules!$C$17))))</x:f>
        <x:v>1</x:v>
      </x:c>
      <x:c r="K65" s="5" t="n">
        <x:f>VLOOKUP(B65,Courses!$A$5:$D$14,3,FALSE)</x:f>
        <x:v>3</x:v>
      </x:c>
      <x:c r="L65" s="5" t="n">
        <x:f>J65*K65</x:f>
        <x:v>3</x:v>
      </x:c>
      <x:c r="M65" s="5" t="str">
        <x:f>VLOOKUP(A65,Students!$A$5:$H$45,5,FALSE)</x:f>
        <x:v>IT01</x:v>
      </x:c>
      <x:c r="N65" s="5" t="str">
        <x:f>'Sections'!E29</x:f>
        <x:v>T001</x:v>
      </x:c>
      <x:c r="O65" s="5" t="n">
        <x:f>IF(J65&gt;0,1,0)</x:f>
        <x:v>1</x:v>
      </x:c>
    </x:row>
    <x:row r="66" ht="21" customHeight="1">
      <x:c r="A66" s="3" t="str">
        <x:v>2201010</x:v>
      </x:c>
      <x:c r="B66" s="3" t="str">
        <x:v>GE101</x:v>
      </x:c>
      <x:c r="C66" s="3" t="str">
        <x:v>2025-1</x:v>
      </x:c>
      <x:c r="D66" s="3" t="n">
        <x:v>7.5</x:v>
      </x:c>
      <x:c r="E66" s="3" t="n">
        <x:v>6.1</x:v>
      </x:c>
      <x:c r="F66" s="3" t="n">
        <x:v>1</x:v>
      </x:c>
      <x:c r="G66" s="3" t="str"/>
      <x:c r="H66" s="3" t="n">
        <x:v>63</x:v>
      </x:c>
      <x:c r="I66" s="5" t="n">
        <x:f>ROUND(D66*Rules!$B$5+E66*Rules!$B$6,1)</x:f>
        <x:v>6.7</x:v>
      </x:c>
      <x:c r="J66" s="5" t="n">
        <x:f>IF(I66&gt;=Rules!$B$13,Rules!$C$13,IF(I66&gt;=Rules!$B$14,Rules!$C$14,IF(I66&gt;=Rules!$B$15,Rules!$C$15,IF(I66&gt;=Rules!$B$16,Rules!$C$16,Rules!$C$17))))</x:f>
        <x:v>2</x:v>
      </x:c>
      <x:c r="K66" s="5" t="n">
        <x:f>VLOOKUP(B66,Courses!$A$5:$D$14,3,FALSE)</x:f>
        <x:v>2</x:v>
      </x:c>
      <x:c r="L66" s="5" t="n">
        <x:f>J66*K66</x:f>
        <x:v>4</x:v>
      </x:c>
      <x:c r="M66" s="5" t="str">
        <x:f>VLOOKUP(A66,Students!$A$5:$H$45,5,FALSE)</x:f>
        <x:v>IT01</x:v>
      </x:c>
      <x:c r="N66" s="5" t="str">
        <x:f>'Sections'!E37</x:f>
        <x:v>T001</x:v>
      </x:c>
      <x:c r="O66" s="5" t="n">
        <x:f>IF(J66&gt;0,1,0)</x:f>
        <x:v>1</x:v>
      </x:c>
    </x:row>
    <x:row r="67" ht="21" customHeight="1">
      <x:c r="A67" s="3" t="str">
        <x:v>2201010</x:v>
      </x:c>
      <x:c r="B67" s="3" t="str">
        <x:v>GE102</x:v>
      </x:c>
      <x:c r="C67" s="3" t="str">
        <x:v>2025-1</x:v>
      </x:c>
      <x:c r="D67" s="3" t="n">
        <x:v>7.3</x:v>
      </x:c>
      <x:c r="E67" s="3" t="n">
        <x:v>7.5</x:v>
      </x:c>
      <x:c r="F67" s="3" t="n">
        <x:v>1</x:v>
      </x:c>
      <x:c r="G67" s="3" t="str"/>
      <x:c r="H67" s="3" t="n">
        <x:v>64</x:v>
      </x:c>
      <x:c r="I67" s="5" t="n">
        <x:f>ROUND(D67*Rules!$B$5+E67*Rules!$B$6,1)</x:f>
        <x:v>7.4</x:v>
      </x:c>
      <x:c r="J67" s="5" t="n">
        <x:f>IF(I67&gt;=Rules!$B$13,Rules!$C$13,IF(I67&gt;=Rules!$B$14,Rules!$C$14,IF(I67&gt;=Rules!$B$15,Rules!$C$15,IF(I67&gt;=Rules!$B$16,Rules!$C$16,Rules!$C$17))))</x:f>
        <x:v>3</x:v>
      </x:c>
      <x:c r="K67" s="5" t="n">
        <x:f>VLOOKUP(B67,Courses!$A$5:$D$14,3,FALSE)</x:f>
        <x:v>3</x:v>
      </x:c>
      <x:c r="L67" s="5" t="n">
        <x:f>J67*K67</x:f>
        <x:v>9</x:v>
      </x:c>
      <x:c r="M67" s="5" t="str">
        <x:f>VLOOKUP(A67,Students!$A$5:$H$45,5,FALSE)</x:f>
        <x:v>IT01</x:v>
      </x:c>
      <x:c r="N67" s="5" t="str">
        <x:f>'Sections'!E45</x:f>
        <x:v>T001</x:v>
      </x:c>
      <x:c r="O67" s="5" t="n">
        <x:f>IF(J67&gt;0,1,0)</x:f>
        <x:v>1</x:v>
      </x:c>
    </x:row>
    <x:row r="68" ht="21" customHeight="1">
      <x:c r="A68" s="3" t="str">
        <x:v>2201010</x:v>
      </x:c>
      <x:c r="B68" s="3" t="str">
        <x:v>CS102</x:v>
      </x:c>
      <x:c r="C68" s="3" t="str">
        <x:v>2025-1</x:v>
      </x:c>
      <x:c r="D68" s="3" t="n">
        <x:v>6.9</x:v>
      </x:c>
      <x:c r="E68" s="3" t="n">
        <x:v>6.9</x:v>
      </x:c>
      <x:c r="F68" s="3" t="n">
        <x:v>1</x:v>
      </x:c>
      <x:c r="G68" s="3" t="str"/>
      <x:c r="H68" s="3" t="n">
        <x:v>65</x:v>
      </x:c>
      <x:c r="I68" s="5" t="n">
        <x:f>ROUND(D68*Rules!$B$5+E68*Rules!$B$6,1)</x:f>
        <x:v>6.9</x:v>
      </x:c>
      <x:c r="J68" s="5" t="n">
        <x:f>IF(I68&gt;=Rules!$B$13,Rules!$C$13,IF(I68&gt;=Rules!$B$14,Rules!$C$14,IF(I68&gt;=Rules!$B$15,Rules!$C$15,IF(I68&gt;=Rules!$B$16,Rules!$C$16,Rules!$C$17))))</x:f>
        <x:v>2</x:v>
      </x:c>
      <x:c r="K68" s="5" t="n">
        <x:f>VLOOKUP(B68,Courses!$A$5:$D$14,3,FALSE)</x:f>
        <x:v>3</x:v>
      </x:c>
      <x:c r="L68" s="5" t="n">
        <x:f>J68*K68</x:f>
        <x:v>6</x:v>
      </x:c>
      <x:c r="M68" s="5" t="str">
        <x:f>VLOOKUP(A68,Students!$A$5:$H$45,5,FALSE)</x:f>
        <x:v>IT01</x:v>
      </x:c>
      <x:c r="N68" s="5" t="str">
        <x:f>'Sections'!E23</x:f>
        <x:v>T001</x:v>
      </x:c>
      <x:c r="O68" s="5" t="n">
        <x:f>IF(J68&gt;0,1,0)</x:f>
        <x:v>1</x:v>
      </x:c>
    </x:row>
    <x:row r="69" ht="21" customHeight="1">
      <x:c r="A69" s="3" t="str">
        <x:v>2201010</x:v>
      </x:c>
      <x:c r="B69" s="3" t="str">
        <x:v>CS201</x:v>
      </x:c>
      <x:c r="C69" s="3" t="str">
        <x:v>2025-1</x:v>
      </x:c>
      <x:c r="D69" s="3" t="n">
        <x:v>7.6</x:v>
      </x:c>
      <x:c r="E69" s="3" t="n">
        <x:v>7.4</x:v>
      </x:c>
      <x:c r="F69" s="3" t="n">
        <x:v>1</x:v>
      </x:c>
      <x:c r="G69" s="3" t="str"/>
      <x:c r="H69" s="3" t="n">
        <x:v>66</x:v>
      </x:c>
      <x:c r="I69" s="5" t="n">
        <x:f>ROUND(D69*Rules!$B$5+E69*Rules!$B$6,1)</x:f>
        <x:v>7.5</x:v>
      </x:c>
      <x:c r="J69" s="5" t="n">
        <x:f>IF(I69&gt;=Rules!$B$13,Rules!$C$13,IF(I69&gt;=Rules!$B$14,Rules!$C$14,IF(I69&gt;=Rules!$B$15,Rules!$C$15,IF(I69&gt;=Rules!$B$16,Rules!$C$16,Rules!$C$17))))</x:f>
        <x:v>3</x:v>
      </x:c>
      <x:c r="K69" s="5" t="n">
        <x:f>VLOOKUP(B69,Courses!$A$5:$D$14,3,FALSE)</x:f>
        <x:v>4</x:v>
      </x:c>
      <x:c r="L69" s="5" t="n">
        <x:f>J69*K69</x:f>
        <x:v>12</x:v>
      </x:c>
      <x:c r="M69" s="5" t="str">
        <x:f>VLOOKUP(A69,Students!$A$5:$H$45,5,FALSE)</x:f>
        <x:v>IT01</x:v>
      </x:c>
      <x:c r="N69" s="5" t="str">
        <x:f>'Sections'!E27</x:f>
        <x:v>T001</x:v>
      </x:c>
      <x:c r="O69" s="5" t="n">
        <x:f>IF(J69&gt;0,1,0)</x:f>
        <x:v>1</x:v>
      </x:c>
    </x:row>
    <x:row r="70" ht="21" customHeight="1">
      <x:c r="A70" s="3" t="str">
        <x:v>2201011</x:v>
      </x:c>
      <x:c r="B70" s="3" t="str">
        <x:v>GE101</x:v>
      </x:c>
      <x:c r="C70" s="3" t="str">
        <x:v>2024-1</x:v>
      </x:c>
      <x:c r="D70" s="3" t="n">
        <x:v>7.6</x:v>
      </x:c>
      <x:c r="E70" s="3" t="n">
        <x:v>7.4</x:v>
      </x:c>
      <x:c r="F70" s="3" t="n">
        <x:v>1</x:v>
      </x:c>
      <x:c r="G70" s="3" t="str"/>
      <x:c r="H70" s="3" t="n">
        <x:v>67</x:v>
      </x:c>
      <x:c r="I70" s="5" t="n">
        <x:f>ROUND(D70*Rules!$B$5+E70*Rules!$B$6,1)</x:f>
        <x:v>7.5</x:v>
      </x:c>
      <x:c r="J70" s="5" t="n">
        <x:f>IF(I70&gt;=Rules!$B$13,Rules!$C$13,IF(I70&gt;=Rules!$B$14,Rules!$C$14,IF(I70&gt;=Rules!$B$15,Rules!$C$15,IF(I70&gt;=Rules!$B$16,Rules!$C$16,Rules!$C$17))))</x:f>
        <x:v>3</x:v>
      </x:c>
      <x:c r="K70" s="5" t="n">
        <x:f>VLOOKUP(B70,Courses!$A$5:$D$14,3,FALSE)</x:f>
        <x:v>2</x:v>
      </x:c>
      <x:c r="L70" s="5" t="n">
        <x:f>J70*K70</x:f>
        <x:v>6</x:v>
      </x:c>
      <x:c r="M70" s="5" t="str">
        <x:f>VLOOKUP(A70,Students!$A$5:$H$45,5,FALSE)</x:f>
        <x:v>IT02</x:v>
      </x:c>
      <x:c r="N70" s="5" t="str">
        <x:f>'Sections'!E34</x:f>
        <x:v>T002</x:v>
      </x:c>
      <x:c r="O70" s="5" t="n">
        <x:f>IF(J70&gt;0,1,0)</x:f>
        <x:v>1</x:v>
      </x:c>
    </x:row>
    <x:row r="71" ht="21" customHeight="1">
      <x:c r="A71" s="3" t="str">
        <x:v>2201011</x:v>
      </x:c>
      <x:c r="B71" s="3" t="str">
        <x:v>GE102</x:v>
      </x:c>
      <x:c r="C71" s="3" t="str">
        <x:v>2024-1</x:v>
      </x:c>
      <x:c r="D71" s="3" t="n">
        <x:v>7.7</x:v>
      </x:c>
      <x:c r="E71" s="3" t="n">
        <x:v>6.7</x:v>
      </x:c>
      <x:c r="F71" s="3" t="n">
        <x:v>1</x:v>
      </x:c>
      <x:c r="G71" s="3" t="str"/>
      <x:c r="H71" s="3" t="n">
        <x:v>68</x:v>
      </x:c>
      <x:c r="I71" s="5" t="n">
        <x:f>ROUND(D71*Rules!$B$5+E71*Rules!$B$6,1)</x:f>
        <x:v>7.1</x:v>
      </x:c>
      <x:c r="J71" s="5" t="n">
        <x:f>IF(I71&gt;=Rules!$B$13,Rules!$C$13,IF(I71&gt;=Rules!$B$14,Rules!$C$14,IF(I71&gt;=Rules!$B$15,Rules!$C$15,IF(I71&gt;=Rules!$B$16,Rules!$C$16,Rules!$C$17))))</x:f>
        <x:v>3</x:v>
      </x:c>
      <x:c r="K71" s="5" t="n">
        <x:f>VLOOKUP(B71,Courses!$A$5:$D$14,3,FALSE)</x:f>
        <x:v>3</x:v>
      </x:c>
      <x:c r="L71" s="5" t="n">
        <x:f>J71*K71</x:f>
        <x:v>9</x:v>
      </x:c>
      <x:c r="M71" s="5" t="str">
        <x:f>VLOOKUP(A71,Students!$A$5:$H$45,5,FALSE)</x:f>
        <x:v>IT02</x:v>
      </x:c>
      <x:c r="N71" s="5" t="str">
        <x:f>'Sections'!E42</x:f>
        <x:v>T002</x:v>
      </x:c>
      <x:c r="O71" s="5" t="n">
        <x:f>IF(J71&gt;0,1,0)</x:f>
        <x:v>1</x:v>
      </x:c>
    </x:row>
    <x:row r="72" ht="21" customHeight="1">
      <x:c r="A72" s="3" t="str">
        <x:v>2201011</x:v>
      </x:c>
      <x:c r="B72" s="3" t="str">
        <x:v>CS101</x:v>
      </x:c>
      <x:c r="C72" s="3" t="str">
        <x:v>2024-1</x:v>
      </x:c>
      <x:c r="D72" s="3" t="n">
        <x:v>8.3</x:v>
      </x:c>
      <x:c r="E72" s="3" t="n">
        <x:v>7.3</x:v>
      </x:c>
      <x:c r="F72" s="3" t="n">
        <x:v>1</x:v>
      </x:c>
      <x:c r="G72" s="3" t="str"/>
      <x:c r="H72" s="3" t="n">
        <x:v>69</x:v>
      </x:c>
      <x:c r="I72" s="5" t="n">
        <x:f>ROUND(D72*Rules!$B$5+E72*Rules!$B$6,1)</x:f>
        <x:v>7.7</x:v>
      </x:c>
      <x:c r="J72" s="5" t="n">
        <x:f>IF(I72&gt;=Rules!$B$13,Rules!$C$13,IF(I72&gt;=Rules!$B$14,Rules!$C$14,IF(I72&gt;=Rules!$B$15,Rules!$C$15,IF(I72&gt;=Rules!$B$16,Rules!$C$16,Rules!$C$17))))</x:f>
        <x:v>3</x:v>
      </x:c>
      <x:c r="K72" s="5" t="n">
        <x:f>VLOOKUP(B72,Courses!$A$5:$D$14,3,FALSE)</x:f>
        <x:v>3</x:v>
      </x:c>
      <x:c r="L72" s="5" t="n">
        <x:f>J72*K72</x:f>
        <x:v>9</x:v>
      </x:c>
      <x:c r="M72" s="5" t="str">
        <x:f>VLOOKUP(A72,Students!$A$5:$H$45,5,FALSE)</x:f>
        <x:v>IT02</x:v>
      </x:c>
      <x:c r="N72" s="5" t="str">
        <x:f>'Sections'!E19</x:f>
        <x:v>T002</x:v>
      </x:c>
      <x:c r="O72" s="5" t="n">
        <x:f>IF(J72&gt;0,1,0)</x:f>
        <x:v>1</x:v>
      </x:c>
    </x:row>
    <x:row r="73" ht="21" customHeight="1">
      <x:c r="A73" s="3" t="str">
        <x:v>2201011</x:v>
      </x:c>
      <x:c r="B73" s="3" t="str">
        <x:v>CS102</x:v>
      </x:c>
      <x:c r="C73" s="3" t="str">
        <x:v>2024-2</x:v>
      </x:c>
      <x:c r="D73" s="3" t="n">
        <x:v>9.2</x:v>
      </x:c>
      <x:c r="E73" s="3" t="n">
        <x:v>8.7</x:v>
      </x:c>
      <x:c r="F73" s="3" t="n">
        <x:v>1</x:v>
      </x:c>
      <x:c r="G73" s="3" t="str"/>
      <x:c r="H73" s="3" t="n">
        <x:v>70</x:v>
      </x:c>
      <x:c r="I73" s="5" t="n">
        <x:f>ROUND(D73*Rules!$B$5+E73*Rules!$B$6,1)</x:f>
        <x:v>8.9</x:v>
      </x:c>
      <x:c r="J73" s="5" t="n">
        <x:f>IF(I73&gt;=Rules!$B$13,Rules!$C$13,IF(I73&gt;=Rules!$B$14,Rules!$C$14,IF(I73&gt;=Rules!$B$15,Rules!$C$15,IF(I73&gt;=Rules!$B$16,Rules!$C$16,Rules!$C$17))))</x:f>
        <x:v>4</x:v>
      </x:c>
      <x:c r="K73" s="5" t="n">
        <x:f>VLOOKUP(B73,Courses!$A$5:$D$14,3,FALSE)</x:f>
        <x:v>3</x:v>
      </x:c>
      <x:c r="L73" s="5" t="n">
        <x:f>J73*K73</x:f>
        <x:v>12</x:v>
      </x:c>
      <x:c r="M73" s="5" t="str">
        <x:f>VLOOKUP(A73,Students!$A$5:$H$45,5,FALSE)</x:f>
        <x:v>IT02</x:v>
      </x:c>
      <x:c r="N73" s="5" t="str">
        <x:f>'Sections'!E22</x:f>
        <x:v>T002</x:v>
      </x:c>
      <x:c r="O73" s="5" t="n">
        <x:f>IF(J73&gt;0,1,0)</x:f>
        <x:v>1</x:v>
      </x:c>
    </x:row>
    <x:row r="74" ht="21" customHeight="1">
      <x:c r="A74" s="3" t="str">
        <x:v>2201011</x:v>
      </x:c>
      <x:c r="B74" s="3" t="str">
        <x:v>CS201</x:v>
      </x:c>
      <x:c r="C74" s="3" t="str">
        <x:v>2024-2</x:v>
      </x:c>
      <x:c r="D74" s="3" t="n">
        <x:v>7.8</x:v>
      </x:c>
      <x:c r="E74" s="3" t="n">
        <x:v>8</x:v>
      </x:c>
      <x:c r="F74" s="3" t="n">
        <x:v>1</x:v>
      </x:c>
      <x:c r="G74" s="3" t="str"/>
      <x:c r="H74" s="3" t="n">
        <x:v>71</x:v>
      </x:c>
      <x:c r="I74" s="5" t="n">
        <x:f>ROUND(D74*Rules!$B$5+E74*Rules!$B$6,1)</x:f>
        <x:v>7.9</x:v>
      </x:c>
      <x:c r="J74" s="5" t="n">
        <x:f>IF(I74&gt;=Rules!$B$13,Rules!$C$13,IF(I74&gt;=Rules!$B$14,Rules!$C$14,IF(I74&gt;=Rules!$B$15,Rules!$C$15,IF(I74&gt;=Rules!$B$16,Rules!$C$16,Rules!$C$17))))</x:f>
        <x:v>3</x:v>
      </x:c>
      <x:c r="K74" s="5" t="n">
        <x:f>VLOOKUP(B74,Courses!$A$5:$D$14,3,FALSE)</x:f>
        <x:v>4</x:v>
      </x:c>
      <x:c r="L74" s="5" t="n">
        <x:f>J74*K74</x:f>
        <x:v>12</x:v>
      </x:c>
      <x:c r="M74" s="5" t="str">
        <x:f>VLOOKUP(A74,Students!$A$5:$H$45,5,FALSE)</x:f>
        <x:v>IT02</x:v>
      </x:c>
      <x:c r="N74" s="5" t="str">
        <x:f>'Sections'!E26</x:f>
        <x:v>T002</x:v>
      </x:c>
      <x:c r="O74" s="5" t="n">
        <x:f>IF(J74&gt;0,1,0)</x:f>
        <x:v>1</x:v>
      </x:c>
    </x:row>
    <x:row r="75" ht="21" customHeight="1">
      <x:c r="A75" s="3" t="str">
        <x:v>2201011</x:v>
      </x:c>
      <x:c r="B75" s="3" t="str">
        <x:v>CS202</x:v>
      </x:c>
      <x:c r="C75" s="3" t="str">
        <x:v>2025-1</x:v>
      </x:c>
      <x:c r="D75" s="3" t="n">
        <x:v>8.5</x:v>
      </x:c>
      <x:c r="E75" s="3" t="n">
        <x:v>7.4</x:v>
      </x:c>
      <x:c r="F75" s="3" t="n">
        <x:v>1</x:v>
      </x:c>
      <x:c r="G75" s="3" t="str"/>
      <x:c r="H75" s="3" t="n">
        <x:v>72</x:v>
      </x:c>
      <x:c r="I75" s="5" t="n">
        <x:f>ROUND(D75*Rules!$B$5+E75*Rules!$B$6,1)</x:f>
        <x:v>7.8</x:v>
      </x:c>
      <x:c r="J75" s="5" t="n">
        <x:f>IF(I75&gt;=Rules!$B$13,Rules!$C$13,IF(I75&gt;=Rules!$B$14,Rules!$C$14,IF(I75&gt;=Rules!$B$15,Rules!$C$15,IF(I75&gt;=Rules!$B$16,Rules!$C$16,Rules!$C$17))))</x:f>
        <x:v>3</x:v>
      </x:c>
      <x:c r="K75" s="5" t="n">
        <x:f>VLOOKUP(B75,Courses!$A$5:$D$14,3,FALSE)</x:f>
        <x:v>3</x:v>
      </x:c>
      <x:c r="L75" s="5" t="n">
        <x:f>J75*K75</x:f>
        <x:v>9</x:v>
      </x:c>
      <x:c r="M75" s="5" t="str">
        <x:f>VLOOKUP(A75,Students!$A$5:$H$45,5,FALSE)</x:f>
        <x:v>IT02</x:v>
      </x:c>
      <x:c r="N75" s="5" t="str">
        <x:f>'Sections'!E30</x:f>
        <x:v>T002</x:v>
      </x:c>
      <x:c r="O75" s="5" t="n">
        <x:f>IF(J75&gt;0,1,0)</x:f>
        <x:v>1</x:v>
      </x:c>
    </x:row>
    <x:row r="76" ht="21" customHeight="1">
      <x:c r="A76" s="3" t="str">
        <x:v>2201012</x:v>
      </x:c>
      <x:c r="B76" s="3" t="str">
        <x:v>GE101</x:v>
      </x:c>
      <x:c r="C76" s="3" t="str">
        <x:v>2024-1</x:v>
      </x:c>
      <x:c r="D76" s="3" t="n">
        <x:v>5.8</x:v>
      </x:c>
      <x:c r="E76" s="3" t="n">
        <x:v>7.2</x:v>
      </x:c>
      <x:c r="F76" s="3" t="n">
        <x:v>1</x:v>
      </x:c>
      <x:c r="G76" s="3" t="str"/>
      <x:c r="H76" s="3" t="n">
        <x:v>73</x:v>
      </x:c>
      <x:c r="I76" s="5" t="n">
        <x:f>ROUND(D76*Rules!$B$5+E76*Rules!$B$6,1)</x:f>
        <x:v>6.6</x:v>
      </x:c>
      <x:c r="J76" s="5" t="n">
        <x:f>IF(I76&gt;=Rules!$B$13,Rules!$C$13,IF(I76&gt;=Rules!$B$14,Rules!$C$14,IF(I76&gt;=Rules!$B$15,Rules!$C$15,IF(I76&gt;=Rules!$B$16,Rules!$C$16,Rules!$C$17))))</x:f>
        <x:v>2</x:v>
      </x:c>
      <x:c r="K76" s="5" t="n">
        <x:f>VLOOKUP(B76,Courses!$A$5:$D$14,3,FALSE)</x:f>
        <x:v>2</x:v>
      </x:c>
      <x:c r="L76" s="5" t="n">
        <x:f>J76*K76</x:f>
        <x:v>4</x:v>
      </x:c>
      <x:c r="M76" s="5" t="str">
        <x:f>VLOOKUP(A76,Students!$A$5:$H$45,5,FALSE)</x:f>
        <x:v>IT02</x:v>
      </x:c>
      <x:c r="N76" s="5" t="str">
        <x:f>'Sections'!E34</x:f>
        <x:v>T002</x:v>
      </x:c>
      <x:c r="O76" s="5" t="n">
        <x:f>IF(J76&gt;0,1,0)</x:f>
        <x:v>1</x:v>
      </x:c>
    </x:row>
    <x:row r="77" ht="21" customHeight="1">
      <x:c r="A77" s="3" t="str">
        <x:v>2201012</x:v>
      </x:c>
      <x:c r="B77" s="3" t="str">
        <x:v>GE102</x:v>
      </x:c>
      <x:c r="C77" s="3" t="str">
        <x:v>2024-1</x:v>
      </x:c>
      <x:c r="D77" s="3" t="n">
        <x:v>6.5</x:v>
      </x:c>
      <x:c r="E77" s="3" t="n">
        <x:v>6</x:v>
      </x:c>
      <x:c r="F77" s="3" t="n">
        <x:v>1</x:v>
      </x:c>
      <x:c r="G77" s="3" t="str"/>
      <x:c r="H77" s="3" t="n">
        <x:v>74</x:v>
      </x:c>
      <x:c r="I77" s="5" t="n">
        <x:f>ROUND(D77*Rules!$B$5+E77*Rules!$B$6,1)</x:f>
        <x:v>6.2</x:v>
      </x:c>
      <x:c r="J77" s="5" t="n">
        <x:f>IF(I77&gt;=Rules!$B$13,Rules!$C$13,IF(I77&gt;=Rules!$B$14,Rules!$C$14,IF(I77&gt;=Rules!$B$15,Rules!$C$15,IF(I77&gt;=Rules!$B$16,Rules!$C$16,Rules!$C$17))))</x:f>
        <x:v>2</x:v>
      </x:c>
      <x:c r="K77" s="5" t="n">
        <x:f>VLOOKUP(B77,Courses!$A$5:$D$14,3,FALSE)</x:f>
        <x:v>3</x:v>
      </x:c>
      <x:c r="L77" s="5" t="n">
        <x:f>J77*K77</x:f>
        <x:v>6</x:v>
      </x:c>
      <x:c r="M77" s="5" t="str">
        <x:f>VLOOKUP(A77,Students!$A$5:$H$45,5,FALSE)</x:f>
        <x:v>IT02</x:v>
      </x:c>
      <x:c r="N77" s="5" t="str">
        <x:f>'Sections'!E42</x:f>
        <x:v>T002</x:v>
      </x:c>
      <x:c r="O77" s="5" t="n">
        <x:f>IF(J77&gt;0,1,0)</x:f>
        <x:v>1</x:v>
      </x:c>
    </x:row>
    <x:row r="78" ht="21" customHeight="1">
      <x:c r="A78" s="3" t="str">
        <x:v>2201012</x:v>
      </x:c>
      <x:c r="B78" s="3" t="str">
        <x:v>CS101</x:v>
      </x:c>
      <x:c r="C78" s="3" t="str">
        <x:v>2024-1</x:v>
      </x:c>
      <x:c r="D78" s="3" t="n">
        <x:v>6.7</x:v>
      </x:c>
      <x:c r="E78" s="3" t="n">
        <x:v>6.9</x:v>
      </x:c>
      <x:c r="F78" s="3" t="n">
        <x:v>1</x:v>
      </x:c>
      <x:c r="G78" s="3" t="str"/>
      <x:c r="H78" s="3" t="n">
        <x:v>75</x:v>
      </x:c>
      <x:c r="I78" s="5" t="n">
        <x:f>ROUND(D78*Rules!$B$5+E78*Rules!$B$6,1)</x:f>
        <x:v>6.8</x:v>
      </x:c>
      <x:c r="J78" s="5" t="n">
        <x:f>IF(I78&gt;=Rules!$B$13,Rules!$C$13,IF(I78&gt;=Rules!$B$14,Rules!$C$14,IF(I78&gt;=Rules!$B$15,Rules!$C$15,IF(I78&gt;=Rules!$B$16,Rules!$C$16,Rules!$C$17))))</x:f>
        <x:v>2</x:v>
      </x:c>
      <x:c r="K78" s="5" t="n">
        <x:f>VLOOKUP(B78,Courses!$A$5:$D$14,3,FALSE)</x:f>
        <x:v>3</x:v>
      </x:c>
      <x:c r="L78" s="5" t="n">
        <x:f>J78*K78</x:f>
        <x:v>6</x:v>
      </x:c>
      <x:c r="M78" s="5" t="str">
        <x:f>VLOOKUP(A78,Students!$A$5:$H$45,5,FALSE)</x:f>
        <x:v>IT02</x:v>
      </x:c>
      <x:c r="N78" s="5" t="str">
        <x:f>'Sections'!E19</x:f>
        <x:v>T002</x:v>
      </x:c>
      <x:c r="O78" s="5" t="n">
        <x:f>IF(J78&gt;0,1,0)</x:f>
        <x:v>1</x:v>
      </x:c>
    </x:row>
    <x:row r="79" ht="21" customHeight="1">
      <x:c r="A79" s="3" t="str">
        <x:v>2201012</x:v>
      </x:c>
      <x:c r="B79" s="3" t="str">
        <x:v>CS102</x:v>
      </x:c>
      <x:c r="C79" s="3" t="str">
        <x:v>2024-2</x:v>
      </x:c>
      <x:c r="D79" s="3" t="n">
        <x:v>6.3</x:v>
      </x:c>
      <x:c r="E79" s="3" t="n">
        <x:v>6.6</x:v>
      </x:c>
      <x:c r="F79" s="3" t="n">
        <x:v>1</x:v>
      </x:c>
      <x:c r="G79" s="3" t="str"/>
      <x:c r="H79" s="3" t="n">
        <x:v>76</x:v>
      </x:c>
      <x:c r="I79" s="5" t="n">
        <x:f>ROUND(D79*Rules!$B$5+E79*Rules!$B$6,1)</x:f>
        <x:v>6.5</x:v>
      </x:c>
      <x:c r="J79" s="5" t="n">
        <x:f>IF(I79&gt;=Rules!$B$13,Rules!$C$13,IF(I79&gt;=Rules!$B$14,Rules!$C$14,IF(I79&gt;=Rules!$B$15,Rules!$C$15,IF(I79&gt;=Rules!$B$16,Rules!$C$16,Rules!$C$17))))</x:f>
        <x:v>2</x:v>
      </x:c>
      <x:c r="K79" s="5" t="n">
        <x:f>VLOOKUP(B79,Courses!$A$5:$D$14,3,FALSE)</x:f>
        <x:v>3</x:v>
      </x:c>
      <x:c r="L79" s="5" t="n">
        <x:f>J79*K79</x:f>
        <x:v>6</x:v>
      </x:c>
      <x:c r="M79" s="5" t="str">
        <x:f>VLOOKUP(A79,Students!$A$5:$H$45,5,FALSE)</x:f>
        <x:v>IT02</x:v>
      </x:c>
      <x:c r="N79" s="5" t="str">
        <x:f>'Sections'!E22</x:f>
        <x:v>T002</x:v>
      </x:c>
      <x:c r="O79" s="5" t="n">
        <x:f>IF(J79&gt;0,1,0)</x:f>
        <x:v>1</x:v>
      </x:c>
    </x:row>
    <x:row r="80" ht="21" customHeight="1">
      <x:c r="A80" s="3" t="str">
        <x:v>2201012</x:v>
      </x:c>
      <x:c r="B80" s="3" t="str">
        <x:v>CS201</x:v>
      </x:c>
      <x:c r="C80" s="3" t="str">
        <x:v>2024-2</x:v>
      </x:c>
      <x:c r="D80" s="3" t="n">
        <x:v>8.5</x:v>
      </x:c>
      <x:c r="E80" s="3" t="n">
        <x:v>7.2</x:v>
      </x:c>
      <x:c r="F80" s="3" t="n">
        <x:v>1</x:v>
      </x:c>
      <x:c r="G80" s="3" t="str"/>
      <x:c r="H80" s="3" t="n">
        <x:v>77</x:v>
      </x:c>
      <x:c r="I80" s="5" t="n">
        <x:f>ROUND(D80*Rules!$B$5+E80*Rules!$B$6,1)</x:f>
        <x:v>7.7</x:v>
      </x:c>
      <x:c r="J80" s="5" t="n">
        <x:f>IF(I80&gt;=Rules!$B$13,Rules!$C$13,IF(I80&gt;=Rules!$B$14,Rules!$C$14,IF(I80&gt;=Rules!$B$15,Rules!$C$15,IF(I80&gt;=Rules!$B$16,Rules!$C$16,Rules!$C$17))))</x:f>
        <x:v>3</x:v>
      </x:c>
      <x:c r="K80" s="5" t="n">
        <x:f>VLOOKUP(B80,Courses!$A$5:$D$14,3,FALSE)</x:f>
        <x:v>4</x:v>
      </x:c>
      <x:c r="L80" s="5" t="n">
        <x:f>J80*K80</x:f>
        <x:v>12</x:v>
      </x:c>
      <x:c r="M80" s="5" t="str">
        <x:f>VLOOKUP(A80,Students!$A$5:$H$45,5,FALSE)</x:f>
        <x:v>IT02</x:v>
      </x:c>
      <x:c r="N80" s="5" t="str">
        <x:f>'Sections'!E26</x:f>
        <x:v>T002</x:v>
      </x:c>
      <x:c r="O80" s="5" t="n">
        <x:f>IF(J80&gt;0,1,0)</x:f>
        <x:v>1</x:v>
      </x:c>
    </x:row>
    <x:row r="81" ht="21" customHeight="1">
      <x:c r="A81" s="3" t="str">
        <x:v>2201012</x:v>
      </x:c>
      <x:c r="B81" s="3" t="str">
        <x:v>CS202</x:v>
      </x:c>
      <x:c r="C81" s="3" t="str">
        <x:v>2025-1</x:v>
      </x:c>
      <x:c r="D81" s="3" t="n">
        <x:v>7</x:v>
      </x:c>
      <x:c r="E81" s="3" t="n">
        <x:v>7.2</x:v>
      </x:c>
      <x:c r="F81" s="3" t="n">
        <x:v>1</x:v>
      </x:c>
      <x:c r="G81" s="3" t="str"/>
      <x:c r="H81" s="3" t="n">
        <x:v>78</x:v>
      </x:c>
      <x:c r="I81" s="5" t="n">
        <x:f>ROUND(D81*Rules!$B$5+E81*Rules!$B$6,1)</x:f>
        <x:v>7.1</x:v>
      </x:c>
      <x:c r="J81" s="5" t="n">
        <x:f>IF(I81&gt;=Rules!$B$13,Rules!$C$13,IF(I81&gt;=Rules!$B$14,Rules!$C$14,IF(I81&gt;=Rules!$B$15,Rules!$C$15,IF(I81&gt;=Rules!$B$16,Rules!$C$16,Rules!$C$17))))</x:f>
        <x:v>3</x:v>
      </x:c>
      <x:c r="K81" s="5" t="n">
        <x:f>VLOOKUP(B81,Courses!$A$5:$D$14,3,FALSE)</x:f>
        <x:v>3</x:v>
      </x:c>
      <x:c r="L81" s="5" t="n">
        <x:f>J81*K81</x:f>
        <x:v>9</x:v>
      </x:c>
      <x:c r="M81" s="5" t="str">
        <x:f>VLOOKUP(A81,Students!$A$5:$H$45,5,FALSE)</x:f>
        <x:v>IT02</x:v>
      </x:c>
      <x:c r="N81" s="5" t="str">
        <x:f>'Sections'!E30</x:f>
        <x:v>T002</x:v>
      </x:c>
      <x:c r="O81" s="5" t="n">
        <x:f>IF(J81&gt;0,1,0)</x:f>
        <x:v>1</x:v>
      </x:c>
    </x:row>
    <x:row r="82" ht="21" customHeight="1">
      <x:c r="A82" s="3" t="str">
        <x:v>2201013</x:v>
      </x:c>
      <x:c r="B82" s="3" t="str">
        <x:v>GE101</x:v>
      </x:c>
      <x:c r="C82" s="3" t="str">
        <x:v>2024-1</x:v>
      </x:c>
      <x:c r="D82" s="3" t="n">
        <x:v>7</x:v>
      </x:c>
      <x:c r="E82" s="3" t="n">
        <x:v>6.1</x:v>
      </x:c>
      <x:c r="F82" s="3" t="n">
        <x:v>1</x:v>
      </x:c>
      <x:c r="G82" s="3" t="str"/>
      <x:c r="H82" s="3" t="n">
        <x:v>79</x:v>
      </x:c>
      <x:c r="I82" s="5" t="n">
        <x:f>ROUND(D82*Rules!$B$5+E82*Rules!$B$6,1)</x:f>
        <x:v>6.5</x:v>
      </x:c>
      <x:c r="J82" s="5" t="n">
        <x:f>IF(I82&gt;=Rules!$B$13,Rules!$C$13,IF(I82&gt;=Rules!$B$14,Rules!$C$14,IF(I82&gt;=Rules!$B$15,Rules!$C$15,IF(I82&gt;=Rules!$B$16,Rules!$C$16,Rules!$C$17))))</x:f>
        <x:v>2</x:v>
      </x:c>
      <x:c r="K82" s="5" t="n">
        <x:f>VLOOKUP(B82,Courses!$A$5:$D$14,3,FALSE)</x:f>
        <x:v>2</x:v>
      </x:c>
      <x:c r="L82" s="5" t="n">
        <x:f>J82*K82</x:f>
        <x:v>4</x:v>
      </x:c>
      <x:c r="M82" s="5" t="str">
        <x:f>VLOOKUP(A82,Students!$A$5:$H$45,5,FALSE)</x:f>
        <x:v>IT02</x:v>
      </x:c>
      <x:c r="N82" s="5" t="str">
        <x:f>'Sections'!E34</x:f>
        <x:v>T002</x:v>
      </x:c>
      <x:c r="O82" s="5" t="n">
        <x:f>IF(J82&gt;0,1,0)</x:f>
        <x:v>1</x:v>
      </x:c>
    </x:row>
    <x:row r="83" ht="21" customHeight="1">
      <x:c r="A83" s="3" t="str">
        <x:v>2201013</x:v>
      </x:c>
      <x:c r="B83" s="3" t="str">
        <x:v>GE102</x:v>
      </x:c>
      <x:c r="C83" s="3" t="str">
        <x:v>2024-1</x:v>
      </x:c>
      <x:c r="D83" s="3" t="n">
        <x:v>6.1</x:v>
      </x:c>
      <x:c r="E83" s="3" t="n">
        <x:v>5.2</x:v>
      </x:c>
      <x:c r="F83" s="3" t="n">
        <x:v>1</x:v>
      </x:c>
      <x:c r="G83" s="3" t="str"/>
      <x:c r="H83" s="3" t="n">
        <x:v>80</x:v>
      </x:c>
      <x:c r="I83" s="5" t="n">
        <x:f>ROUND(D83*Rules!$B$5+E83*Rules!$B$6,1)</x:f>
        <x:v>5.6</x:v>
      </x:c>
      <x:c r="J83" s="5" t="n">
        <x:f>IF(I83&gt;=Rules!$B$13,Rules!$C$13,IF(I83&gt;=Rules!$B$14,Rules!$C$14,IF(I83&gt;=Rules!$B$15,Rules!$C$15,IF(I83&gt;=Rules!$B$16,Rules!$C$16,Rules!$C$17))))</x:f>
        <x:v>2</x:v>
      </x:c>
      <x:c r="K83" s="5" t="n">
        <x:f>VLOOKUP(B83,Courses!$A$5:$D$14,3,FALSE)</x:f>
        <x:v>3</x:v>
      </x:c>
      <x:c r="L83" s="5" t="n">
        <x:f>J83*K83</x:f>
        <x:v>6</x:v>
      </x:c>
      <x:c r="M83" s="5" t="str">
        <x:f>VLOOKUP(A83,Students!$A$5:$H$45,5,FALSE)</x:f>
        <x:v>IT02</x:v>
      </x:c>
      <x:c r="N83" s="5" t="str">
        <x:f>'Sections'!E42</x:f>
        <x:v>T002</x:v>
      </x:c>
      <x:c r="O83" s="5" t="n">
        <x:f>IF(J83&gt;0,1,0)</x:f>
        <x:v>1</x:v>
      </x:c>
    </x:row>
    <x:row r="84" ht="21" customHeight="1">
      <x:c r="A84" s="3" t="str">
        <x:v>2201013</x:v>
      </x:c>
      <x:c r="B84" s="3" t="str">
        <x:v>CS101</x:v>
      </x:c>
      <x:c r="C84" s="3" t="str">
        <x:v>2024-1</x:v>
      </x:c>
      <x:c r="D84" s="3" t="n">
        <x:v>7.1</x:v>
      </x:c>
      <x:c r="E84" s="3" t="n">
        <x:v>6.7</x:v>
      </x:c>
      <x:c r="F84" s="3" t="n">
        <x:v>1</x:v>
      </x:c>
      <x:c r="G84" s="3" t="str"/>
      <x:c r="H84" s="3" t="n">
        <x:v>81</x:v>
      </x:c>
      <x:c r="I84" s="5" t="n">
        <x:f>ROUND(D84*Rules!$B$5+E84*Rules!$B$6,1)</x:f>
        <x:v>6.9</x:v>
      </x:c>
      <x:c r="J84" s="5" t="n">
        <x:f>IF(I84&gt;=Rules!$B$13,Rules!$C$13,IF(I84&gt;=Rules!$B$14,Rules!$C$14,IF(I84&gt;=Rules!$B$15,Rules!$C$15,IF(I84&gt;=Rules!$B$16,Rules!$C$16,Rules!$C$17))))</x:f>
        <x:v>2</x:v>
      </x:c>
      <x:c r="K84" s="5" t="n">
        <x:f>VLOOKUP(B84,Courses!$A$5:$D$14,3,FALSE)</x:f>
        <x:v>3</x:v>
      </x:c>
      <x:c r="L84" s="5" t="n">
        <x:f>J84*K84</x:f>
        <x:v>6</x:v>
      </x:c>
      <x:c r="M84" s="5" t="str">
        <x:f>VLOOKUP(A84,Students!$A$5:$H$45,5,FALSE)</x:f>
        <x:v>IT02</x:v>
      </x:c>
      <x:c r="N84" s="5" t="str">
        <x:f>'Sections'!E19</x:f>
        <x:v>T002</x:v>
      </x:c>
      <x:c r="O84" s="5" t="n">
        <x:f>IF(J84&gt;0,1,0)</x:f>
        <x:v>1</x:v>
      </x:c>
    </x:row>
    <x:row r="85" ht="21" customHeight="1">
      <x:c r="A85" s="3" t="str">
        <x:v>2201013</x:v>
      </x:c>
      <x:c r="B85" s="3" t="str">
        <x:v>CS102</x:v>
      </x:c>
      <x:c r="C85" s="3" t="str">
        <x:v>2024-2</x:v>
      </x:c>
      <x:c r="D85" s="3" t="n">
        <x:v>6.3</x:v>
      </x:c>
      <x:c r="E85" s="3" t="n">
        <x:v>7</x:v>
      </x:c>
      <x:c r="F85" s="3" t="n">
        <x:v>1</x:v>
      </x:c>
      <x:c r="G85" s="3" t="str"/>
      <x:c r="H85" s="3" t="n">
        <x:v>82</x:v>
      </x:c>
      <x:c r="I85" s="5" t="n">
        <x:f>ROUND(D85*Rules!$B$5+E85*Rules!$B$6,1)</x:f>
        <x:v>6.7</x:v>
      </x:c>
      <x:c r="J85" s="5" t="n">
        <x:f>IF(I85&gt;=Rules!$B$13,Rules!$C$13,IF(I85&gt;=Rules!$B$14,Rules!$C$14,IF(I85&gt;=Rules!$B$15,Rules!$C$15,IF(I85&gt;=Rules!$B$16,Rules!$C$16,Rules!$C$17))))</x:f>
        <x:v>2</x:v>
      </x:c>
      <x:c r="K85" s="5" t="n">
        <x:f>VLOOKUP(B85,Courses!$A$5:$D$14,3,FALSE)</x:f>
        <x:v>3</x:v>
      </x:c>
      <x:c r="L85" s="5" t="n">
        <x:f>J85*K85</x:f>
        <x:v>6</x:v>
      </x:c>
      <x:c r="M85" s="5" t="str">
        <x:f>VLOOKUP(A85,Students!$A$5:$H$45,5,FALSE)</x:f>
        <x:v>IT02</x:v>
      </x:c>
      <x:c r="N85" s="5" t="str">
        <x:f>'Sections'!E22</x:f>
        <x:v>T002</x:v>
      </x:c>
      <x:c r="O85" s="5" t="n">
        <x:f>IF(J85&gt;0,1,0)</x:f>
        <x:v>1</x:v>
      </x:c>
    </x:row>
    <x:row r="86" ht="21" customHeight="1">
      <x:c r="A86" s="3" t="str">
        <x:v>2201013</x:v>
      </x:c>
      <x:c r="B86" s="3" t="str">
        <x:v>CS201</x:v>
      </x:c>
      <x:c r="C86" s="3" t="str">
        <x:v>2024-2</x:v>
      </x:c>
      <x:c r="D86" s="3" t="n">
        <x:v>6.5</x:v>
      </x:c>
      <x:c r="E86" s="3" t="n">
        <x:v>3.9</x:v>
      </x:c>
      <x:c r="F86" s="3" t="n">
        <x:v>1</x:v>
      </x:c>
      <x:c r="G86" s="3" t="str"/>
      <x:c r="H86" s="3" t="n">
        <x:v>83</x:v>
      </x:c>
      <x:c r="I86" s="5" t="n">
        <x:f>ROUND(D86*Rules!$B$5+E86*Rules!$B$6,1)</x:f>
        <x:v>4.9</x:v>
      </x:c>
      <x:c r="J86" s="5" t="n">
        <x:f>IF(I86&gt;=Rules!$B$13,Rules!$C$13,IF(I86&gt;=Rules!$B$14,Rules!$C$14,IF(I86&gt;=Rules!$B$15,Rules!$C$15,IF(I86&gt;=Rules!$B$16,Rules!$C$16,Rules!$C$17))))</x:f>
        <x:v>1</x:v>
      </x:c>
      <x:c r="K86" s="5" t="n">
        <x:f>VLOOKUP(B86,Courses!$A$5:$D$14,3,FALSE)</x:f>
        <x:v>4</x:v>
      </x:c>
      <x:c r="L86" s="5" t="n">
        <x:f>J86*K86</x:f>
        <x:v>4</x:v>
      </x:c>
      <x:c r="M86" s="5" t="str">
        <x:f>VLOOKUP(A86,Students!$A$5:$H$45,5,FALSE)</x:f>
        <x:v>IT02</x:v>
      </x:c>
      <x:c r="N86" s="5" t="str">
        <x:f>'Sections'!E26</x:f>
        <x:v>T002</x:v>
      </x:c>
      <x:c r="O86" s="5" t="n">
        <x:f>IF(J86&gt;0,1,0)</x:f>
        <x:v>1</x:v>
      </x:c>
    </x:row>
    <x:row r="87" ht="21" customHeight="1">
      <x:c r="A87" s="3" t="str">
        <x:v>2201013</x:v>
      </x:c>
      <x:c r="B87" s="3" t="str">
        <x:v>CS202</x:v>
      </x:c>
      <x:c r="C87" s="3" t="str">
        <x:v>2025-1</x:v>
      </x:c>
      <x:c r="D87" s="3" t="n">
        <x:v>6.4</x:v>
      </x:c>
      <x:c r="E87" s="3" t="n">
        <x:v>5.2</x:v>
      </x:c>
      <x:c r="F87" s="3" t="n">
        <x:v>1</x:v>
      </x:c>
      <x:c r="G87" s="3" t="str"/>
      <x:c r="H87" s="3" t="n">
        <x:v>84</x:v>
      </x:c>
      <x:c r="I87" s="5" t="n">
        <x:f>ROUND(D87*Rules!$B$5+E87*Rules!$B$6,1)</x:f>
        <x:v>5.7</x:v>
      </x:c>
      <x:c r="J87" s="5" t="n">
        <x:f>IF(I87&gt;=Rules!$B$13,Rules!$C$13,IF(I87&gt;=Rules!$B$14,Rules!$C$14,IF(I87&gt;=Rules!$B$15,Rules!$C$15,IF(I87&gt;=Rules!$B$16,Rules!$C$16,Rules!$C$17))))</x:f>
        <x:v>2</x:v>
      </x:c>
      <x:c r="K87" s="5" t="n">
        <x:f>VLOOKUP(B87,Courses!$A$5:$D$14,3,FALSE)</x:f>
        <x:v>3</x:v>
      </x:c>
      <x:c r="L87" s="5" t="n">
        <x:f>J87*K87</x:f>
        <x:v>6</x:v>
      </x:c>
      <x:c r="M87" s="5" t="str">
        <x:f>VLOOKUP(A87,Students!$A$5:$H$45,5,FALSE)</x:f>
        <x:v>IT02</x:v>
      </x:c>
      <x:c r="N87" s="5" t="str">
        <x:f>'Sections'!E30</x:f>
        <x:v>T002</x:v>
      </x:c>
      <x:c r="O87" s="5" t="n">
        <x:f>IF(J87&gt;0,1,0)</x:f>
        <x:v>1</x:v>
      </x:c>
    </x:row>
    <x:row r="88" ht="21" customHeight="1">
      <x:c r="A88" s="3" t="str">
        <x:v>2201014</x:v>
      </x:c>
      <x:c r="B88" s="3" t="str">
        <x:v>GE101</x:v>
      </x:c>
      <x:c r="C88" s="3" t="str">
        <x:v>2024-1</x:v>
      </x:c>
      <x:c r="D88" s="3" t="n">
        <x:v>7.6</x:v>
      </x:c>
      <x:c r="E88" s="3" t="n">
        <x:v>6.3</x:v>
      </x:c>
      <x:c r="F88" s="3" t="n">
        <x:v>1</x:v>
      </x:c>
      <x:c r="G88" s="3" t="str"/>
      <x:c r="H88" s="3" t="n">
        <x:v>85</x:v>
      </x:c>
      <x:c r="I88" s="5" t="n">
        <x:f>ROUND(D88*Rules!$B$5+E88*Rules!$B$6,1)</x:f>
        <x:v>6.8</x:v>
      </x:c>
      <x:c r="J88" s="5" t="n">
        <x:f>IF(I88&gt;=Rules!$B$13,Rules!$C$13,IF(I88&gt;=Rules!$B$14,Rules!$C$14,IF(I88&gt;=Rules!$B$15,Rules!$C$15,IF(I88&gt;=Rules!$B$16,Rules!$C$16,Rules!$C$17))))</x:f>
        <x:v>2</x:v>
      </x:c>
      <x:c r="K88" s="5" t="n">
        <x:f>VLOOKUP(B88,Courses!$A$5:$D$14,3,FALSE)</x:f>
        <x:v>2</x:v>
      </x:c>
      <x:c r="L88" s="5" t="n">
        <x:f>J88*K88</x:f>
        <x:v>4</x:v>
      </x:c>
      <x:c r="M88" s="5" t="str">
        <x:f>VLOOKUP(A88,Students!$A$5:$H$45,5,FALSE)</x:f>
        <x:v>IT02</x:v>
      </x:c>
      <x:c r="N88" s="5" t="str">
        <x:f>'Sections'!E34</x:f>
        <x:v>T002</x:v>
      </x:c>
      <x:c r="O88" s="5" t="n">
        <x:f>IF(J88&gt;0,1,0)</x:f>
        <x:v>1</x:v>
      </x:c>
    </x:row>
    <x:row r="89" ht="21" customHeight="1">
      <x:c r="A89" s="3" t="str">
        <x:v>2201014</x:v>
      </x:c>
      <x:c r="B89" s="3" t="str">
        <x:v>GE102</x:v>
      </x:c>
      <x:c r="C89" s="3" t="str">
        <x:v>2024-1</x:v>
      </x:c>
      <x:c r="D89" s="3" t="n">
        <x:v>5.9</x:v>
      </x:c>
      <x:c r="E89" s="3" t="n">
        <x:v>7.5</x:v>
      </x:c>
      <x:c r="F89" s="3" t="n">
        <x:v>1</x:v>
      </x:c>
      <x:c r="G89" s="3" t="str"/>
      <x:c r="H89" s="3" t="n">
        <x:v>86</x:v>
      </x:c>
      <x:c r="I89" s="5" t="n">
        <x:f>ROUND(D89*Rules!$B$5+E89*Rules!$B$6,1)</x:f>
        <x:v>6.9</x:v>
      </x:c>
      <x:c r="J89" s="5" t="n">
        <x:f>IF(I89&gt;=Rules!$B$13,Rules!$C$13,IF(I89&gt;=Rules!$B$14,Rules!$C$14,IF(I89&gt;=Rules!$B$15,Rules!$C$15,IF(I89&gt;=Rules!$B$16,Rules!$C$16,Rules!$C$17))))</x:f>
        <x:v>2</x:v>
      </x:c>
      <x:c r="K89" s="5" t="n">
        <x:f>VLOOKUP(B89,Courses!$A$5:$D$14,3,FALSE)</x:f>
        <x:v>3</x:v>
      </x:c>
      <x:c r="L89" s="5" t="n">
        <x:f>J89*K89</x:f>
        <x:v>6</x:v>
      </x:c>
      <x:c r="M89" s="5" t="str">
        <x:f>VLOOKUP(A89,Students!$A$5:$H$45,5,FALSE)</x:f>
        <x:v>IT02</x:v>
      </x:c>
      <x:c r="N89" s="5" t="str">
        <x:f>'Sections'!E42</x:f>
        <x:v>T002</x:v>
      </x:c>
      <x:c r="O89" s="5" t="n">
        <x:f>IF(J89&gt;0,1,0)</x:f>
        <x:v>1</x:v>
      </x:c>
    </x:row>
    <x:row r="90" ht="21" customHeight="1">
      <x:c r="A90" s="3" t="str">
        <x:v>2201014</x:v>
      </x:c>
      <x:c r="B90" s="3" t="str">
        <x:v>CS101</x:v>
      </x:c>
      <x:c r="C90" s="3" t="str">
        <x:v>2024-1</x:v>
      </x:c>
      <x:c r="D90" s="3" t="n">
        <x:v>7.4</x:v>
      </x:c>
      <x:c r="E90" s="3" t="n">
        <x:v>7.2</x:v>
      </x:c>
      <x:c r="F90" s="3" t="n">
        <x:v>1</x:v>
      </x:c>
      <x:c r="G90" s="3" t="str"/>
      <x:c r="H90" s="3" t="n">
        <x:v>87</x:v>
      </x:c>
      <x:c r="I90" s="5" t="n">
        <x:f>ROUND(D90*Rules!$B$5+E90*Rules!$B$6,1)</x:f>
        <x:v>7.3</x:v>
      </x:c>
      <x:c r="J90" s="5" t="n">
        <x:f>IF(I90&gt;=Rules!$B$13,Rules!$C$13,IF(I90&gt;=Rules!$B$14,Rules!$C$14,IF(I90&gt;=Rules!$B$15,Rules!$C$15,IF(I90&gt;=Rules!$B$16,Rules!$C$16,Rules!$C$17))))</x:f>
        <x:v>3</x:v>
      </x:c>
      <x:c r="K90" s="5" t="n">
        <x:f>VLOOKUP(B90,Courses!$A$5:$D$14,3,FALSE)</x:f>
        <x:v>3</x:v>
      </x:c>
      <x:c r="L90" s="5" t="n">
        <x:f>J90*K90</x:f>
        <x:v>9</x:v>
      </x:c>
      <x:c r="M90" s="5" t="str">
        <x:f>VLOOKUP(A90,Students!$A$5:$H$45,5,FALSE)</x:f>
        <x:v>IT02</x:v>
      </x:c>
      <x:c r="N90" s="5" t="str">
        <x:f>'Sections'!E19</x:f>
        <x:v>T002</x:v>
      </x:c>
      <x:c r="O90" s="5" t="n">
        <x:f>IF(J90&gt;0,1,0)</x:f>
        <x:v>1</x:v>
      </x:c>
    </x:row>
    <x:row r="91" ht="21" customHeight="1">
      <x:c r="A91" s="3" t="str">
        <x:v>2201014</x:v>
      </x:c>
      <x:c r="B91" s="3" t="str">
        <x:v>CS102</x:v>
      </x:c>
      <x:c r="C91" s="3" t="str">
        <x:v>2024-2</x:v>
      </x:c>
      <x:c r="D91" s="3" t="n">
        <x:v>7.8</x:v>
      </x:c>
      <x:c r="E91" s="3" t="n">
        <x:v>7.8</x:v>
      </x:c>
      <x:c r="F91" s="3" t="n">
        <x:v>1</x:v>
      </x:c>
      <x:c r="G91" s="3" t="str"/>
      <x:c r="H91" s="3" t="n">
        <x:v>88</x:v>
      </x:c>
      <x:c r="I91" s="5" t="n">
        <x:f>ROUND(D91*Rules!$B$5+E91*Rules!$B$6,1)</x:f>
        <x:v>7.8</x:v>
      </x:c>
      <x:c r="J91" s="5" t="n">
        <x:f>IF(I91&gt;=Rules!$B$13,Rules!$C$13,IF(I91&gt;=Rules!$B$14,Rules!$C$14,IF(I91&gt;=Rules!$B$15,Rules!$C$15,IF(I91&gt;=Rules!$B$16,Rules!$C$16,Rules!$C$17))))</x:f>
        <x:v>3</x:v>
      </x:c>
      <x:c r="K91" s="5" t="n">
        <x:f>VLOOKUP(B91,Courses!$A$5:$D$14,3,FALSE)</x:f>
        <x:v>3</x:v>
      </x:c>
      <x:c r="L91" s="5" t="n">
        <x:f>J91*K91</x:f>
        <x:v>9</x:v>
      </x:c>
      <x:c r="M91" s="5" t="str">
        <x:f>VLOOKUP(A91,Students!$A$5:$H$45,5,FALSE)</x:f>
        <x:v>IT02</x:v>
      </x:c>
      <x:c r="N91" s="5" t="str">
        <x:f>'Sections'!E22</x:f>
        <x:v>T002</x:v>
      </x:c>
      <x:c r="O91" s="5" t="n">
        <x:f>IF(J91&gt;0,1,0)</x:f>
        <x:v>1</x:v>
      </x:c>
    </x:row>
    <x:row r="92" ht="21" customHeight="1">
      <x:c r="A92" s="3" t="str">
        <x:v>2201014</x:v>
      </x:c>
      <x:c r="B92" s="3" t="str">
        <x:v>CS201</x:v>
      </x:c>
      <x:c r="C92" s="3" t="str">
        <x:v>2024-2</x:v>
      </x:c>
      <x:c r="D92" s="3" t="n">
        <x:v>7.3</x:v>
      </x:c>
      <x:c r="E92" s="3" t="n">
        <x:v>7.6</x:v>
      </x:c>
      <x:c r="F92" s="3" t="n">
        <x:v>1</x:v>
      </x:c>
      <x:c r="G92" s="3" t="str"/>
      <x:c r="H92" s="3" t="n">
        <x:v>89</x:v>
      </x:c>
      <x:c r="I92" s="5" t="n">
        <x:f>ROUND(D92*Rules!$B$5+E92*Rules!$B$6,1)</x:f>
        <x:v>7.5</x:v>
      </x:c>
      <x:c r="J92" s="5" t="n">
        <x:f>IF(I92&gt;=Rules!$B$13,Rules!$C$13,IF(I92&gt;=Rules!$B$14,Rules!$C$14,IF(I92&gt;=Rules!$B$15,Rules!$C$15,IF(I92&gt;=Rules!$B$16,Rules!$C$16,Rules!$C$17))))</x:f>
        <x:v>3</x:v>
      </x:c>
      <x:c r="K92" s="5" t="n">
        <x:f>VLOOKUP(B92,Courses!$A$5:$D$14,3,FALSE)</x:f>
        <x:v>4</x:v>
      </x:c>
      <x:c r="L92" s="5" t="n">
        <x:f>J92*K92</x:f>
        <x:v>12</x:v>
      </x:c>
      <x:c r="M92" s="5" t="str">
        <x:f>VLOOKUP(A92,Students!$A$5:$H$45,5,FALSE)</x:f>
        <x:v>IT02</x:v>
      </x:c>
      <x:c r="N92" s="5" t="str">
        <x:f>'Sections'!E26</x:f>
        <x:v>T002</x:v>
      </x:c>
      <x:c r="O92" s="5" t="n">
        <x:f>IF(J92&gt;0,1,0)</x:f>
        <x:v>1</x:v>
      </x:c>
    </x:row>
    <x:row r="93" ht="21" customHeight="1">
      <x:c r="A93" s="3" t="str">
        <x:v>2201014</x:v>
      </x:c>
      <x:c r="B93" s="3" t="str">
        <x:v>CS202</x:v>
      </x:c>
      <x:c r="C93" s="3" t="str">
        <x:v>2025-1</x:v>
      </x:c>
      <x:c r="D93" s="3" t="n">
        <x:v>6.7</x:v>
      </x:c>
      <x:c r="E93" s="3" t="n">
        <x:v>7.2</x:v>
      </x:c>
      <x:c r="F93" s="3" t="n">
        <x:v>1</x:v>
      </x:c>
      <x:c r="G93" s="3" t="str"/>
      <x:c r="H93" s="3" t="n">
        <x:v>90</x:v>
      </x:c>
      <x:c r="I93" s="5" t="n">
        <x:f>ROUND(D93*Rules!$B$5+E93*Rules!$B$6,1)</x:f>
        <x:v>7</x:v>
      </x:c>
      <x:c r="J93" s="5" t="n">
        <x:f>IF(I93&gt;=Rules!$B$13,Rules!$C$13,IF(I93&gt;=Rules!$B$14,Rules!$C$14,IF(I93&gt;=Rules!$B$15,Rules!$C$15,IF(I93&gt;=Rules!$B$16,Rules!$C$16,Rules!$C$17))))</x:f>
        <x:v>3</x:v>
      </x:c>
      <x:c r="K93" s="5" t="n">
        <x:f>VLOOKUP(B93,Courses!$A$5:$D$14,3,FALSE)</x:f>
        <x:v>3</x:v>
      </x:c>
      <x:c r="L93" s="5" t="n">
        <x:f>J93*K93</x:f>
        <x:v>9</x:v>
      </x:c>
      <x:c r="M93" s="5" t="str">
        <x:f>VLOOKUP(A93,Students!$A$5:$H$45,5,FALSE)</x:f>
        <x:v>IT02</x:v>
      </x:c>
      <x:c r="N93" s="5" t="str">
        <x:f>'Sections'!E30</x:f>
        <x:v>T002</x:v>
      </x:c>
      <x:c r="O93" s="5" t="n">
        <x:f>IF(J93&gt;0,1,0)</x:f>
        <x:v>1</x:v>
      </x:c>
    </x:row>
    <x:row r="94" ht="21" customHeight="1">
      <x:c r="A94" s="3" t="str">
        <x:v>2201015</x:v>
      </x:c>
      <x:c r="B94" s="3" t="str">
        <x:v>GE101</x:v>
      </x:c>
      <x:c r="C94" s="3" t="str">
        <x:v>2024-1</x:v>
      </x:c>
      <x:c r="D94" s="3" t="n">
        <x:v>3.7</x:v>
      </x:c>
      <x:c r="E94" s="3" t="n">
        <x:v>4.3</x:v>
      </x:c>
      <x:c r="F94" s="3" t="n">
        <x:v>1</x:v>
      </x:c>
      <x:c r="G94" s="3" t="str"/>
      <x:c r="H94" s="3" t="n">
        <x:v>91</x:v>
      </x:c>
      <x:c r="I94" s="5" t="n">
        <x:f>ROUND(D94*Rules!$B$5+E94*Rules!$B$6,1)</x:f>
        <x:v>4.1</x:v>
      </x:c>
      <x:c r="J94" s="5" t="n">
        <x:f>IF(I94&gt;=Rules!$B$13,Rules!$C$13,IF(I94&gt;=Rules!$B$14,Rules!$C$14,IF(I94&gt;=Rules!$B$15,Rules!$C$15,IF(I94&gt;=Rules!$B$16,Rules!$C$16,Rules!$C$17))))</x:f>
        <x:v>1</x:v>
      </x:c>
      <x:c r="K94" s="5" t="n">
        <x:f>VLOOKUP(B94,Courses!$A$5:$D$14,3,FALSE)</x:f>
        <x:v>2</x:v>
      </x:c>
      <x:c r="L94" s="5" t="n">
        <x:f>J94*K94</x:f>
        <x:v>2</x:v>
      </x:c>
      <x:c r="M94" s="5" t="str">
        <x:f>VLOOKUP(A94,Students!$A$5:$H$45,5,FALSE)</x:f>
        <x:v>IT02</x:v>
      </x:c>
      <x:c r="N94" s="5" t="str">
        <x:f>'Sections'!E34</x:f>
        <x:v>T002</x:v>
      </x:c>
      <x:c r="O94" s="5" t="n">
        <x:f>IF(J94&gt;0,1,0)</x:f>
        <x:v>1</x:v>
      </x:c>
    </x:row>
    <x:row r="95" ht="21" customHeight="1">
      <x:c r="A95" s="3" t="str">
        <x:v>2201015</x:v>
      </x:c>
      <x:c r="B95" s="3" t="str">
        <x:v>GE102</x:v>
      </x:c>
      <x:c r="C95" s="3" t="str">
        <x:v>2024-1</x:v>
      </x:c>
      <x:c r="D95" s="3" t="n">
        <x:v>5.6</x:v>
      </x:c>
      <x:c r="E95" s="3" t="n">
        <x:v>3.8</x:v>
      </x:c>
      <x:c r="F95" s="3" t="n">
        <x:v>1</x:v>
      </x:c>
      <x:c r="G95" s="3" t="str"/>
      <x:c r="H95" s="3" t="n">
        <x:v>92</x:v>
      </x:c>
      <x:c r="I95" s="5" t="n">
        <x:f>ROUND(D95*Rules!$B$5+E95*Rules!$B$6,1)</x:f>
        <x:v>4.5</x:v>
      </x:c>
      <x:c r="J95" s="5" t="n">
        <x:f>IF(I95&gt;=Rules!$B$13,Rules!$C$13,IF(I95&gt;=Rules!$B$14,Rules!$C$14,IF(I95&gt;=Rules!$B$15,Rules!$C$15,IF(I95&gt;=Rules!$B$16,Rules!$C$16,Rules!$C$17))))</x:f>
        <x:v>1</x:v>
      </x:c>
      <x:c r="K95" s="5" t="n">
        <x:f>VLOOKUP(B95,Courses!$A$5:$D$14,3,FALSE)</x:f>
        <x:v>3</x:v>
      </x:c>
      <x:c r="L95" s="5" t="n">
        <x:f>J95*K95</x:f>
        <x:v>3</x:v>
      </x:c>
      <x:c r="M95" s="5" t="str">
        <x:f>VLOOKUP(A95,Students!$A$5:$H$45,5,FALSE)</x:f>
        <x:v>IT02</x:v>
      </x:c>
      <x:c r="N95" s="5" t="str">
        <x:f>'Sections'!E42</x:f>
        <x:v>T002</x:v>
      </x:c>
      <x:c r="O95" s="5" t="n">
        <x:f>IF(J95&gt;0,1,0)</x:f>
        <x:v>1</x:v>
      </x:c>
    </x:row>
    <x:row r="96" ht="21" customHeight="1">
      <x:c r="A96" s="3" t="str">
        <x:v>2201015</x:v>
      </x:c>
      <x:c r="B96" s="3" t="str">
        <x:v>CS101</x:v>
      </x:c>
      <x:c r="C96" s="3" t="str">
        <x:v>2024-1</x:v>
      </x:c>
      <x:c r="D96" s="3" t="n">
        <x:v>4.7</x:v>
      </x:c>
      <x:c r="E96" s="3" t="n">
        <x:v>3.8</x:v>
      </x:c>
      <x:c r="F96" s="3" t="n">
        <x:v>1</x:v>
      </x:c>
      <x:c r="G96" s="3" t="str"/>
      <x:c r="H96" s="3" t="n">
        <x:v>93</x:v>
      </x:c>
      <x:c r="I96" s="5" t="n">
        <x:f>ROUND(D96*Rules!$B$5+E96*Rules!$B$6,1)</x:f>
        <x:v>4.2</x:v>
      </x:c>
      <x:c r="J96" s="5" t="n">
        <x:f>IF(I96&gt;=Rules!$B$13,Rules!$C$13,IF(I96&gt;=Rules!$B$14,Rules!$C$14,IF(I96&gt;=Rules!$B$15,Rules!$C$15,IF(I96&gt;=Rules!$B$16,Rules!$C$16,Rules!$C$17))))</x:f>
        <x:v>1</x:v>
      </x:c>
      <x:c r="K96" s="5" t="n">
        <x:f>VLOOKUP(B96,Courses!$A$5:$D$14,3,FALSE)</x:f>
        <x:v>3</x:v>
      </x:c>
      <x:c r="L96" s="5" t="n">
        <x:f>J96*K96</x:f>
        <x:v>3</x:v>
      </x:c>
      <x:c r="M96" s="5" t="str">
        <x:f>VLOOKUP(A96,Students!$A$5:$H$45,5,FALSE)</x:f>
        <x:v>IT02</x:v>
      </x:c>
      <x:c r="N96" s="5" t="str">
        <x:f>'Sections'!E19</x:f>
        <x:v>T002</x:v>
      </x:c>
      <x:c r="O96" s="5" t="n">
        <x:f>IF(J96&gt;0,1,0)</x:f>
        <x:v>1</x:v>
      </x:c>
    </x:row>
    <x:row r="97" ht="21" customHeight="1">
      <x:c r="A97" s="3" t="str">
        <x:v>2201015</x:v>
      </x:c>
      <x:c r="B97" s="3" t="str">
        <x:v>CS102</x:v>
      </x:c>
      <x:c r="C97" s="3" t="str">
        <x:v>2024-2</x:v>
      </x:c>
      <x:c r="D97" s="3" t="n">
        <x:v>4.1</x:v>
      </x:c>
      <x:c r="E97" s="3" t="n">
        <x:v>2.9</x:v>
      </x:c>
      <x:c r="F97" s="3" t="n">
        <x:v>1</x:v>
      </x:c>
      <x:c r="G97" s="3" t="str"/>
      <x:c r="H97" s="3" t="n">
        <x:v>94</x:v>
      </x:c>
      <x:c r="I97" s="5" t="n">
        <x:f>ROUND(D97*Rules!$B$5+E97*Rules!$B$6,1)</x:f>
        <x:v>3.4</x:v>
      </x:c>
      <x:c r="J97" s="5" t="n">
        <x:f>IF(I97&gt;=Rules!$B$13,Rules!$C$13,IF(I97&gt;=Rules!$B$14,Rules!$C$14,IF(I97&gt;=Rules!$B$15,Rules!$C$15,IF(I97&gt;=Rules!$B$16,Rules!$C$16,Rules!$C$17))))</x:f>
        <x:v>0</x:v>
      </x:c>
      <x:c r="K97" s="5" t="n">
        <x:f>VLOOKUP(B97,Courses!$A$5:$D$14,3,FALSE)</x:f>
        <x:v>3</x:v>
      </x:c>
      <x:c r="L97" s="5" t="n">
        <x:f>J97*K97</x:f>
        <x:v>0</x:v>
      </x:c>
      <x:c r="M97" s="5" t="str">
        <x:f>VLOOKUP(A97,Students!$A$5:$H$45,5,FALSE)</x:f>
        <x:v>IT02</x:v>
      </x:c>
      <x:c r="N97" s="5" t="str">
        <x:f>'Sections'!E22</x:f>
        <x:v>T002</x:v>
      </x:c>
      <x:c r="O97" s="5" t="n">
        <x:f>IF(J97&gt;0,1,0)</x:f>
        <x:v>0</x:v>
      </x:c>
    </x:row>
    <x:row r="98" ht="21" customHeight="1">
      <x:c r="A98" s="3" t="str">
        <x:v>2201015</x:v>
      </x:c>
      <x:c r="B98" s="3" t="str">
        <x:v>CS201</x:v>
      </x:c>
      <x:c r="C98" s="3" t="str">
        <x:v>2024-2</x:v>
      </x:c>
      <x:c r="D98" s="3" t="n">
        <x:v>5.2</x:v>
      </x:c>
      <x:c r="E98" s="3" t="n">
        <x:v>5</x:v>
      </x:c>
      <x:c r="F98" s="3" t="n">
        <x:v>1</x:v>
      </x:c>
      <x:c r="G98" s="3" t="str"/>
      <x:c r="H98" s="3" t="n">
        <x:v>95</x:v>
      </x:c>
      <x:c r="I98" s="5" t="n">
        <x:f>ROUND(D98*Rules!$B$5+E98*Rules!$B$6,1)</x:f>
        <x:v>5.1</x:v>
      </x:c>
      <x:c r="J98" s="5" t="n">
        <x:f>IF(I98&gt;=Rules!$B$13,Rules!$C$13,IF(I98&gt;=Rules!$B$14,Rules!$C$14,IF(I98&gt;=Rules!$B$15,Rules!$C$15,IF(I98&gt;=Rules!$B$16,Rules!$C$16,Rules!$C$17))))</x:f>
        <x:v>1</x:v>
      </x:c>
      <x:c r="K98" s="5" t="n">
        <x:f>VLOOKUP(B98,Courses!$A$5:$D$14,3,FALSE)</x:f>
        <x:v>4</x:v>
      </x:c>
      <x:c r="L98" s="5" t="n">
        <x:f>J98*K98</x:f>
        <x:v>4</x:v>
      </x:c>
      <x:c r="M98" s="5" t="str">
        <x:f>VLOOKUP(A98,Students!$A$5:$H$45,5,FALSE)</x:f>
        <x:v>IT02</x:v>
      </x:c>
      <x:c r="N98" s="5" t="str">
        <x:f>'Sections'!E26</x:f>
        <x:v>T002</x:v>
      </x:c>
      <x:c r="O98" s="5" t="n">
        <x:f>IF(J98&gt;0,1,0)</x:f>
        <x:v>1</x:v>
      </x:c>
    </x:row>
    <x:row r="99" ht="21" customHeight="1">
      <x:c r="A99" s="3" t="str">
        <x:v>2201015</x:v>
      </x:c>
      <x:c r="B99" s="3" t="str">
        <x:v>CS202</x:v>
      </x:c>
      <x:c r="C99" s="3" t="str">
        <x:v>2025-1</x:v>
      </x:c>
      <x:c r="D99" s="3" t="n">
        <x:v>3.5</x:v>
      </x:c>
      <x:c r="E99" s="3" t="n">
        <x:v>5.5</x:v>
      </x:c>
      <x:c r="F99" s="3" t="n">
        <x:v>1</x:v>
      </x:c>
      <x:c r="G99" s="3" t="str"/>
      <x:c r="H99" s="3" t="n">
        <x:v>96</x:v>
      </x:c>
      <x:c r="I99" s="5" t="n">
        <x:f>ROUND(D99*Rules!$B$5+E99*Rules!$B$6,1)</x:f>
        <x:v>4.7</x:v>
      </x:c>
      <x:c r="J99" s="5" t="n">
        <x:f>IF(I99&gt;=Rules!$B$13,Rules!$C$13,IF(I99&gt;=Rules!$B$14,Rules!$C$14,IF(I99&gt;=Rules!$B$15,Rules!$C$15,IF(I99&gt;=Rules!$B$16,Rules!$C$16,Rules!$C$17))))</x:f>
        <x:v>1</x:v>
      </x:c>
      <x:c r="K99" s="5" t="n">
        <x:f>VLOOKUP(B99,Courses!$A$5:$D$14,3,FALSE)</x:f>
        <x:v>3</x:v>
      </x:c>
      <x:c r="L99" s="5" t="n">
        <x:f>J99*K99</x:f>
        <x:v>3</x:v>
      </x:c>
      <x:c r="M99" s="5" t="str">
        <x:f>VLOOKUP(A99,Students!$A$5:$H$45,5,FALSE)</x:f>
        <x:v>IT02</x:v>
      </x:c>
      <x:c r="N99" s="5" t="str">
        <x:f>'Sections'!E30</x:f>
        <x:v>T002</x:v>
      </x:c>
      <x:c r="O99" s="5" t="n">
        <x:f>IF(J99&gt;0,1,0)</x:f>
        <x:v>1</x:v>
      </x:c>
    </x:row>
    <x:row r="100" ht="21" customHeight="1">
      <x:c r="A100" s="3" t="str">
        <x:v>2201015</x:v>
      </x:c>
      <x:c r="B100" s="3" t="str">
        <x:v>CS102</x:v>
      </x:c>
      <x:c r="C100" s="3" t="str">
        <x:v>2025-1</x:v>
      </x:c>
      <x:c r="D100" s="3" t="n">
        <x:v>6.3</x:v>
      </x:c>
      <x:c r="E100" s="3" t="n">
        <x:v>6.3</x:v>
      </x:c>
      <x:c r="F100" s="3" t="n">
        <x:v>1</x:v>
      </x:c>
      <x:c r="G100" s="3" t="str"/>
      <x:c r="H100" s="3" t="n">
        <x:v>97</x:v>
      </x:c>
      <x:c r="I100" s="5" t="n">
        <x:f>ROUND(D100*Rules!$B$5+E100*Rules!$B$6,1)</x:f>
        <x:v>6.3</x:v>
      </x:c>
      <x:c r="J100" s="5" t="n">
        <x:f>IF(I100&gt;=Rules!$B$13,Rules!$C$13,IF(I100&gt;=Rules!$B$14,Rules!$C$14,IF(I100&gt;=Rules!$B$15,Rules!$C$15,IF(I100&gt;=Rules!$B$16,Rules!$C$16,Rules!$C$17))))</x:f>
        <x:v>2</x:v>
      </x:c>
      <x:c r="K100" s="5" t="n">
        <x:f>VLOOKUP(B100,Courses!$A$5:$D$14,3,FALSE)</x:f>
        <x:v>3</x:v>
      </x:c>
      <x:c r="L100" s="5" t="n">
        <x:f>J100*K100</x:f>
        <x:v>6</x:v>
      </x:c>
      <x:c r="M100" s="5" t="str">
        <x:f>VLOOKUP(A100,Students!$A$5:$H$45,5,FALSE)</x:f>
        <x:v>IT02</x:v>
      </x:c>
      <x:c r="N100" s="5" t="str">
        <x:f>'Sections'!E24</x:f>
        <x:v>T002</x:v>
      </x:c>
      <x:c r="O100" s="5" t="n">
        <x:f>IF(J100&gt;0,1,0)</x:f>
        <x:v>1</x:v>
      </x:c>
    </x:row>
    <x:row r="101" ht="21" customHeight="1">
      <x:c r="A101" s="3" t="str">
        <x:v>2201016</x:v>
      </x:c>
      <x:c r="B101" s="3" t="str">
        <x:v>GE101</x:v>
      </x:c>
      <x:c r="C101" s="3" t="str">
        <x:v>2024-1</x:v>
      </x:c>
      <x:c r="D101" s="3" t="n">
        <x:v>9</x:v>
      </x:c>
      <x:c r="E101" s="3" t="n">
        <x:v>9.6</x:v>
      </x:c>
      <x:c r="F101" s="3" t="n">
        <x:v>1</x:v>
      </x:c>
      <x:c r="G101" s="3" t="str"/>
      <x:c r="H101" s="3" t="n">
        <x:v>98</x:v>
      </x:c>
      <x:c r="I101" s="5" t="n">
        <x:f>ROUND(D101*Rules!$B$5+E101*Rules!$B$6,1)</x:f>
        <x:v>9.4</x:v>
      </x:c>
      <x:c r="J101" s="5" t="n">
        <x:f>IF(I101&gt;=Rules!$B$13,Rules!$C$13,IF(I101&gt;=Rules!$B$14,Rules!$C$14,IF(I101&gt;=Rules!$B$15,Rules!$C$15,IF(I101&gt;=Rules!$B$16,Rules!$C$16,Rules!$C$17))))</x:f>
        <x:v>4</x:v>
      </x:c>
      <x:c r="K101" s="5" t="n">
        <x:f>VLOOKUP(B101,Courses!$A$5:$D$14,3,FALSE)</x:f>
        <x:v>2</x:v>
      </x:c>
      <x:c r="L101" s="5" t="n">
        <x:f>J101*K101</x:f>
        <x:v>8</x:v>
      </x:c>
      <x:c r="M101" s="5" t="str">
        <x:f>VLOOKUP(A101,Students!$A$5:$H$45,5,FALSE)</x:f>
        <x:v>IT02</x:v>
      </x:c>
      <x:c r="N101" s="5" t="str">
        <x:f>'Sections'!E34</x:f>
        <x:v>T002</x:v>
      </x:c>
      <x:c r="O101" s="5" t="n">
        <x:f>IF(J101&gt;0,1,0)</x:f>
        <x:v>1</x:v>
      </x:c>
    </x:row>
    <x:row r="102" ht="21" customHeight="1">
      <x:c r="A102" s="3" t="str">
        <x:v>2201016</x:v>
      </x:c>
      <x:c r="B102" s="3" t="str">
        <x:v>GE102</x:v>
      </x:c>
      <x:c r="C102" s="3" t="str">
        <x:v>2024-1</x:v>
      </x:c>
      <x:c r="D102" s="3" t="n">
        <x:v>10</x:v>
      </x:c>
      <x:c r="E102" s="3" t="n">
        <x:v>8.9</x:v>
      </x:c>
      <x:c r="F102" s="3" t="n">
        <x:v>1</x:v>
      </x:c>
      <x:c r="G102" s="3" t="str"/>
      <x:c r="H102" s="3" t="n">
        <x:v>99</x:v>
      </x:c>
      <x:c r="I102" s="5" t="n">
        <x:f>ROUND(D102*Rules!$B$5+E102*Rules!$B$6,1)</x:f>
        <x:v>9.3</x:v>
      </x:c>
      <x:c r="J102" s="5" t="n">
        <x:f>IF(I102&gt;=Rules!$B$13,Rules!$C$13,IF(I102&gt;=Rules!$B$14,Rules!$C$14,IF(I102&gt;=Rules!$B$15,Rules!$C$15,IF(I102&gt;=Rules!$B$16,Rules!$C$16,Rules!$C$17))))</x:f>
        <x:v>4</x:v>
      </x:c>
      <x:c r="K102" s="5" t="n">
        <x:f>VLOOKUP(B102,Courses!$A$5:$D$14,3,FALSE)</x:f>
        <x:v>3</x:v>
      </x:c>
      <x:c r="L102" s="5" t="n">
        <x:f>J102*K102</x:f>
        <x:v>12</x:v>
      </x:c>
      <x:c r="M102" s="5" t="str">
        <x:f>VLOOKUP(A102,Students!$A$5:$H$45,5,FALSE)</x:f>
        <x:v>IT02</x:v>
      </x:c>
      <x:c r="N102" s="5" t="str">
        <x:f>'Sections'!E42</x:f>
        <x:v>T002</x:v>
      </x:c>
      <x:c r="O102" s="5" t="n">
        <x:f>IF(J102&gt;0,1,0)</x:f>
        <x:v>1</x:v>
      </x:c>
    </x:row>
    <x:row r="103" ht="21" customHeight="1">
      <x:c r="A103" s="3" t="str">
        <x:v>2201016</x:v>
      </x:c>
      <x:c r="B103" s="3" t="str">
        <x:v>CS101</x:v>
      </x:c>
      <x:c r="C103" s="3" t="str">
        <x:v>2024-1</x:v>
      </x:c>
      <x:c r="D103" s="3" t="n">
        <x:v>9.1</x:v>
      </x:c>
      <x:c r="E103" s="3" t="n">
        <x:v>10</x:v>
      </x:c>
      <x:c r="F103" s="3" t="n">
        <x:v>1</x:v>
      </x:c>
      <x:c r="G103" s="3" t="str"/>
      <x:c r="H103" s="3" t="n">
        <x:v>100</x:v>
      </x:c>
      <x:c r="I103" s="5" t="n">
        <x:f>ROUND(D103*Rules!$B$5+E103*Rules!$B$6,1)</x:f>
        <x:v>9.6</x:v>
      </x:c>
      <x:c r="J103" s="5" t="n">
        <x:f>IF(I103&gt;=Rules!$B$13,Rules!$C$13,IF(I103&gt;=Rules!$B$14,Rules!$C$14,IF(I103&gt;=Rules!$B$15,Rules!$C$15,IF(I103&gt;=Rules!$B$16,Rules!$C$16,Rules!$C$17))))</x:f>
        <x:v>4</x:v>
      </x:c>
      <x:c r="K103" s="5" t="n">
        <x:f>VLOOKUP(B103,Courses!$A$5:$D$14,3,FALSE)</x:f>
        <x:v>3</x:v>
      </x:c>
      <x:c r="L103" s="5" t="n">
        <x:f>J103*K103</x:f>
        <x:v>12</x:v>
      </x:c>
      <x:c r="M103" s="5" t="str">
        <x:f>VLOOKUP(A103,Students!$A$5:$H$45,5,FALSE)</x:f>
        <x:v>IT02</x:v>
      </x:c>
      <x:c r="N103" s="5" t="str">
        <x:f>'Sections'!E19</x:f>
        <x:v>T002</x:v>
      </x:c>
      <x:c r="O103" s="5" t="n">
        <x:f>IF(J103&gt;0,1,0)</x:f>
        <x:v>1</x:v>
      </x:c>
    </x:row>
    <x:row r="104" ht="21" customHeight="1">
      <x:c r="A104" s="3" t="str">
        <x:v>2201016</x:v>
      </x:c>
      <x:c r="B104" s="3" t="str">
        <x:v>CS102</x:v>
      </x:c>
      <x:c r="C104" s="3" t="str">
        <x:v>2024-2</x:v>
      </x:c>
      <x:c r="D104" s="3" t="n">
        <x:v>10</x:v>
      </x:c>
      <x:c r="E104" s="3" t="n">
        <x:v>9.3</x:v>
      </x:c>
      <x:c r="F104" s="3" t="n">
        <x:v>1</x:v>
      </x:c>
      <x:c r="G104" s="3" t="str"/>
      <x:c r="H104" s="3" t="n">
        <x:v>101</x:v>
      </x:c>
      <x:c r="I104" s="5" t="n">
        <x:f>ROUND(D104*Rules!$B$5+E104*Rules!$B$6,1)</x:f>
        <x:v>9.6</x:v>
      </x:c>
      <x:c r="J104" s="5" t="n">
        <x:f>IF(I104&gt;=Rules!$B$13,Rules!$C$13,IF(I104&gt;=Rules!$B$14,Rules!$C$14,IF(I104&gt;=Rules!$B$15,Rules!$C$15,IF(I104&gt;=Rules!$B$16,Rules!$C$16,Rules!$C$17))))</x:f>
        <x:v>4</x:v>
      </x:c>
      <x:c r="K104" s="5" t="n">
        <x:f>VLOOKUP(B104,Courses!$A$5:$D$14,3,FALSE)</x:f>
        <x:v>3</x:v>
      </x:c>
      <x:c r="L104" s="5" t="n">
        <x:f>J104*K104</x:f>
        <x:v>12</x:v>
      </x:c>
      <x:c r="M104" s="5" t="str">
        <x:f>VLOOKUP(A104,Students!$A$5:$H$45,5,FALSE)</x:f>
        <x:v>IT02</x:v>
      </x:c>
      <x:c r="N104" s="5" t="str">
        <x:f>'Sections'!E22</x:f>
        <x:v>T002</x:v>
      </x:c>
      <x:c r="O104" s="5" t="n">
        <x:f>IF(J104&gt;0,1,0)</x:f>
        <x:v>1</x:v>
      </x:c>
    </x:row>
    <x:row r="105" ht="21" customHeight="1">
      <x:c r="A105" s="3" t="str">
        <x:v>2201016</x:v>
      </x:c>
      <x:c r="B105" s="3" t="str">
        <x:v>CS201</x:v>
      </x:c>
      <x:c r="C105" s="3" t="str">
        <x:v>2024-2</x:v>
      </x:c>
      <x:c r="D105" s="3" t="n">
        <x:v>8.8</x:v>
      </x:c>
      <x:c r="E105" s="3" t="n">
        <x:v>8.1</x:v>
      </x:c>
      <x:c r="F105" s="3" t="n">
        <x:v>1</x:v>
      </x:c>
      <x:c r="G105" s="3" t="str"/>
      <x:c r="H105" s="3" t="n">
        <x:v>102</x:v>
      </x:c>
      <x:c r="I105" s="5" t="n">
        <x:f>ROUND(D105*Rules!$B$5+E105*Rules!$B$6,1)</x:f>
        <x:v>8.4</x:v>
      </x:c>
      <x:c r="J105" s="5" t="n">
        <x:f>IF(I105&gt;=Rules!$B$13,Rules!$C$13,IF(I105&gt;=Rules!$B$14,Rules!$C$14,IF(I105&gt;=Rules!$B$15,Rules!$C$15,IF(I105&gt;=Rules!$B$16,Rules!$C$16,Rules!$C$17))))</x:f>
        <x:v>3</x:v>
      </x:c>
      <x:c r="K105" s="5" t="n">
        <x:f>VLOOKUP(B105,Courses!$A$5:$D$14,3,FALSE)</x:f>
        <x:v>4</x:v>
      </x:c>
      <x:c r="L105" s="5" t="n">
        <x:f>J105*K105</x:f>
        <x:v>12</x:v>
      </x:c>
      <x:c r="M105" s="5" t="str">
        <x:f>VLOOKUP(A105,Students!$A$5:$H$45,5,FALSE)</x:f>
        <x:v>IT02</x:v>
      </x:c>
      <x:c r="N105" s="5" t="str">
        <x:f>'Sections'!E26</x:f>
        <x:v>T002</x:v>
      </x:c>
      <x:c r="O105" s="5" t="n">
        <x:f>IF(J105&gt;0,1,0)</x:f>
        <x:v>1</x:v>
      </x:c>
    </x:row>
    <x:row r="106" ht="21" customHeight="1">
      <x:c r="A106" s="3" t="str">
        <x:v>2201016</x:v>
      </x:c>
      <x:c r="B106" s="3" t="str">
        <x:v>CS202</x:v>
      </x:c>
      <x:c r="C106" s="3" t="str">
        <x:v>2025-1</x:v>
      </x:c>
      <x:c r="D106" s="3" t="n">
        <x:v>8.6</x:v>
      </x:c>
      <x:c r="E106" s="3" t="n">
        <x:v>9.3</x:v>
      </x:c>
      <x:c r="F106" s="3" t="n">
        <x:v>1</x:v>
      </x:c>
      <x:c r="G106" s="3" t="str"/>
      <x:c r="H106" s="3" t="n">
        <x:v>103</x:v>
      </x:c>
      <x:c r="I106" s="5" t="n">
        <x:f>ROUND(D106*Rules!$B$5+E106*Rules!$B$6,1)</x:f>
        <x:v>9</x:v>
      </x:c>
      <x:c r="J106" s="5" t="n">
        <x:f>IF(I106&gt;=Rules!$B$13,Rules!$C$13,IF(I106&gt;=Rules!$B$14,Rules!$C$14,IF(I106&gt;=Rules!$B$15,Rules!$C$15,IF(I106&gt;=Rules!$B$16,Rules!$C$16,Rules!$C$17))))</x:f>
        <x:v>4</x:v>
      </x:c>
      <x:c r="K106" s="5" t="n">
        <x:f>VLOOKUP(B106,Courses!$A$5:$D$14,3,FALSE)</x:f>
        <x:v>3</x:v>
      </x:c>
      <x:c r="L106" s="5" t="n">
        <x:f>J106*K106</x:f>
        <x:v>12</x:v>
      </x:c>
      <x:c r="M106" s="5" t="str">
        <x:f>VLOOKUP(A106,Students!$A$5:$H$45,5,FALSE)</x:f>
        <x:v>IT02</x:v>
      </x:c>
      <x:c r="N106" s="5" t="str">
        <x:f>'Sections'!E30</x:f>
        <x:v>T002</x:v>
      </x:c>
      <x:c r="O106" s="5" t="n">
        <x:f>IF(J106&gt;0,1,0)</x:f>
        <x:v>1</x:v>
      </x:c>
    </x:row>
    <x:row r="107" ht="21" customHeight="1">
      <x:c r="A107" s="3" t="str">
        <x:v>2201017</x:v>
      </x:c>
      <x:c r="B107" s="3" t="str">
        <x:v>GE101</x:v>
      </x:c>
      <x:c r="C107" s="3" t="str">
        <x:v>2024-1</x:v>
      </x:c>
      <x:c r="D107" s="3" t="n">
        <x:v>7.8</x:v>
      </x:c>
      <x:c r="E107" s="3" t="n">
        <x:v>8.9</x:v>
      </x:c>
      <x:c r="F107" s="3" t="n">
        <x:v>1</x:v>
      </x:c>
      <x:c r="G107" s="3" t="str"/>
      <x:c r="H107" s="3" t="n">
        <x:v>104</x:v>
      </x:c>
      <x:c r="I107" s="5" t="n">
        <x:f>ROUND(D107*Rules!$B$5+E107*Rules!$B$6,1)</x:f>
        <x:v>8.5</x:v>
      </x:c>
      <x:c r="J107" s="5" t="n">
        <x:f>IF(I107&gt;=Rules!$B$13,Rules!$C$13,IF(I107&gt;=Rules!$B$14,Rules!$C$14,IF(I107&gt;=Rules!$B$15,Rules!$C$15,IF(I107&gt;=Rules!$B$16,Rules!$C$16,Rules!$C$17))))</x:f>
        <x:v>4</x:v>
      </x:c>
      <x:c r="K107" s="5" t="n">
        <x:f>VLOOKUP(B107,Courses!$A$5:$D$14,3,FALSE)</x:f>
        <x:v>2</x:v>
      </x:c>
      <x:c r="L107" s="5" t="n">
        <x:f>J107*K107</x:f>
        <x:v>8</x:v>
      </x:c>
      <x:c r="M107" s="5" t="str">
        <x:f>VLOOKUP(A107,Students!$A$5:$H$45,5,FALSE)</x:f>
        <x:v>IT02</x:v>
      </x:c>
      <x:c r="N107" s="5" t="str">
        <x:f>'Sections'!E34</x:f>
        <x:v>T002</x:v>
      </x:c>
      <x:c r="O107" s="5" t="n">
        <x:f>IF(J107&gt;0,1,0)</x:f>
        <x:v>1</x:v>
      </x:c>
    </x:row>
    <x:row r="108" ht="21" customHeight="1">
      <x:c r="A108" s="3" t="str">
        <x:v>2201017</x:v>
      </x:c>
      <x:c r="B108" s="3" t="str">
        <x:v>GE102</x:v>
      </x:c>
      <x:c r="C108" s="3" t="str">
        <x:v>2024-1</x:v>
      </x:c>
      <x:c r="D108" s="3" t="n">
        <x:v>9.8</x:v>
      </x:c>
      <x:c r="E108" s="3" t="n">
        <x:v>9</x:v>
      </x:c>
      <x:c r="F108" s="3" t="n">
        <x:v>1</x:v>
      </x:c>
      <x:c r="G108" s="3" t="str"/>
      <x:c r="H108" s="3" t="n">
        <x:v>105</x:v>
      </x:c>
      <x:c r="I108" s="5" t="n">
        <x:f>ROUND(D108*Rules!$B$5+E108*Rules!$B$6,1)</x:f>
        <x:v>9.3</x:v>
      </x:c>
      <x:c r="J108" s="5" t="n">
        <x:f>IF(I108&gt;=Rules!$B$13,Rules!$C$13,IF(I108&gt;=Rules!$B$14,Rules!$C$14,IF(I108&gt;=Rules!$B$15,Rules!$C$15,IF(I108&gt;=Rules!$B$16,Rules!$C$16,Rules!$C$17))))</x:f>
        <x:v>4</x:v>
      </x:c>
      <x:c r="K108" s="5" t="n">
        <x:f>VLOOKUP(B108,Courses!$A$5:$D$14,3,FALSE)</x:f>
        <x:v>3</x:v>
      </x:c>
      <x:c r="L108" s="5" t="n">
        <x:f>J108*K108</x:f>
        <x:v>12</x:v>
      </x:c>
      <x:c r="M108" s="5" t="str">
        <x:f>VLOOKUP(A108,Students!$A$5:$H$45,5,FALSE)</x:f>
        <x:v>IT02</x:v>
      </x:c>
      <x:c r="N108" s="5" t="str">
        <x:f>'Sections'!E42</x:f>
        <x:v>T002</x:v>
      </x:c>
      <x:c r="O108" s="5" t="n">
        <x:f>IF(J108&gt;0,1,0)</x:f>
        <x:v>1</x:v>
      </x:c>
    </x:row>
    <x:row r="109" ht="21" customHeight="1">
      <x:c r="A109" s="3" t="str">
        <x:v>2201017</x:v>
      </x:c>
      <x:c r="B109" s="3" t="str">
        <x:v>CS101</x:v>
      </x:c>
      <x:c r="C109" s="3" t="str">
        <x:v>2024-1</x:v>
      </x:c>
      <x:c r="D109" s="3" t="n">
        <x:v>8.1</x:v>
      </x:c>
      <x:c r="E109" s="3" t="n">
        <x:v>6.9</x:v>
      </x:c>
      <x:c r="F109" s="3" t="n">
        <x:v>1</x:v>
      </x:c>
      <x:c r="G109" s="3" t="str"/>
      <x:c r="H109" s="3" t="n">
        <x:v>106</x:v>
      </x:c>
      <x:c r="I109" s="5" t="n">
        <x:f>ROUND(D109*Rules!$B$5+E109*Rules!$B$6,1)</x:f>
        <x:v>7.4</x:v>
      </x:c>
      <x:c r="J109" s="5" t="n">
        <x:f>IF(I109&gt;=Rules!$B$13,Rules!$C$13,IF(I109&gt;=Rules!$B$14,Rules!$C$14,IF(I109&gt;=Rules!$B$15,Rules!$C$15,IF(I109&gt;=Rules!$B$16,Rules!$C$16,Rules!$C$17))))</x:f>
        <x:v>3</x:v>
      </x:c>
      <x:c r="K109" s="5" t="n">
        <x:f>VLOOKUP(B109,Courses!$A$5:$D$14,3,FALSE)</x:f>
        <x:v>3</x:v>
      </x:c>
      <x:c r="L109" s="5" t="n">
        <x:f>J109*K109</x:f>
        <x:v>9</x:v>
      </x:c>
      <x:c r="M109" s="5" t="str">
        <x:f>VLOOKUP(A109,Students!$A$5:$H$45,5,FALSE)</x:f>
        <x:v>IT02</x:v>
      </x:c>
      <x:c r="N109" s="5" t="str">
        <x:f>'Sections'!E19</x:f>
        <x:v>T002</x:v>
      </x:c>
      <x:c r="O109" s="5" t="n">
        <x:f>IF(J109&gt;0,1,0)</x:f>
        <x:v>1</x:v>
      </x:c>
    </x:row>
    <x:row r="110" ht="21" customHeight="1">
      <x:c r="A110" s="3" t="str">
        <x:v>2201017</x:v>
      </x:c>
      <x:c r="B110" s="3" t="str">
        <x:v>CS102</x:v>
      </x:c>
      <x:c r="C110" s="3" t="str">
        <x:v>2024-2</x:v>
      </x:c>
      <x:c r="D110" s="3" t="n">
        <x:v>9.4</x:v>
      </x:c>
      <x:c r="E110" s="3" t="n">
        <x:v>7.8</x:v>
      </x:c>
      <x:c r="F110" s="3" t="n">
        <x:v>1</x:v>
      </x:c>
      <x:c r="G110" s="3" t="str"/>
      <x:c r="H110" s="3" t="n">
        <x:v>107</x:v>
      </x:c>
      <x:c r="I110" s="5" t="n">
        <x:f>ROUND(D110*Rules!$B$5+E110*Rules!$B$6,1)</x:f>
        <x:v>8.4</x:v>
      </x:c>
      <x:c r="J110" s="5" t="n">
        <x:f>IF(I110&gt;=Rules!$B$13,Rules!$C$13,IF(I110&gt;=Rules!$B$14,Rules!$C$14,IF(I110&gt;=Rules!$B$15,Rules!$C$15,IF(I110&gt;=Rules!$B$16,Rules!$C$16,Rules!$C$17))))</x:f>
        <x:v>3</x:v>
      </x:c>
      <x:c r="K110" s="5" t="n">
        <x:f>VLOOKUP(B110,Courses!$A$5:$D$14,3,FALSE)</x:f>
        <x:v>3</x:v>
      </x:c>
      <x:c r="L110" s="5" t="n">
        <x:f>J110*K110</x:f>
        <x:v>9</x:v>
      </x:c>
      <x:c r="M110" s="5" t="str">
        <x:f>VLOOKUP(A110,Students!$A$5:$H$45,5,FALSE)</x:f>
        <x:v>IT02</x:v>
      </x:c>
      <x:c r="N110" s="5" t="str">
        <x:f>'Sections'!E22</x:f>
        <x:v>T002</x:v>
      </x:c>
      <x:c r="O110" s="5" t="n">
        <x:f>IF(J110&gt;0,1,0)</x:f>
        <x:v>1</x:v>
      </x:c>
    </x:row>
    <x:row r="111" ht="21" customHeight="1">
      <x:c r="A111" s="3" t="str">
        <x:v>2201017</x:v>
      </x:c>
      <x:c r="B111" s="3" t="str">
        <x:v>CS201</x:v>
      </x:c>
      <x:c r="C111" s="3" t="str">
        <x:v>2024-2</x:v>
      </x:c>
      <x:c r="D111" s="3" t="n">
        <x:v>9.3</x:v>
      </x:c>
      <x:c r="E111" s="3" t="n">
        <x:v>9.1</x:v>
      </x:c>
      <x:c r="F111" s="3" t="n">
        <x:v>1</x:v>
      </x:c>
      <x:c r="G111" s="3" t="str"/>
      <x:c r="H111" s="3" t="n">
        <x:v>108</x:v>
      </x:c>
      <x:c r="I111" s="5" t="n">
        <x:f>ROUND(D111*Rules!$B$5+E111*Rules!$B$6,1)</x:f>
        <x:v>9.2</x:v>
      </x:c>
      <x:c r="J111" s="5" t="n">
        <x:f>IF(I111&gt;=Rules!$B$13,Rules!$C$13,IF(I111&gt;=Rules!$B$14,Rules!$C$14,IF(I111&gt;=Rules!$B$15,Rules!$C$15,IF(I111&gt;=Rules!$B$16,Rules!$C$16,Rules!$C$17))))</x:f>
        <x:v>4</x:v>
      </x:c>
      <x:c r="K111" s="5" t="n">
        <x:f>VLOOKUP(B111,Courses!$A$5:$D$14,3,FALSE)</x:f>
        <x:v>4</x:v>
      </x:c>
      <x:c r="L111" s="5" t="n">
        <x:f>J111*K111</x:f>
        <x:v>16</x:v>
      </x:c>
      <x:c r="M111" s="5" t="str">
        <x:f>VLOOKUP(A111,Students!$A$5:$H$45,5,FALSE)</x:f>
        <x:v>IT02</x:v>
      </x:c>
      <x:c r="N111" s="5" t="str">
        <x:f>'Sections'!E26</x:f>
        <x:v>T002</x:v>
      </x:c>
      <x:c r="O111" s="5" t="n">
        <x:f>IF(J111&gt;0,1,0)</x:f>
        <x:v>1</x:v>
      </x:c>
    </x:row>
    <x:row r="112" ht="21" customHeight="1">
      <x:c r="A112" s="3" t="str">
        <x:v>2201017</x:v>
      </x:c>
      <x:c r="B112" s="3" t="str">
        <x:v>CS202</x:v>
      </x:c>
      <x:c r="C112" s="3" t="str">
        <x:v>2025-1</x:v>
      </x:c>
      <x:c r="D112" s="3" t="n">
        <x:v>8.9</x:v>
      </x:c>
      <x:c r="E112" s="3" t="n">
        <x:v>6.9</x:v>
      </x:c>
      <x:c r="F112" s="3" t="n">
        <x:v>1</x:v>
      </x:c>
      <x:c r="G112" s="3" t="str"/>
      <x:c r="H112" s="3" t="n">
        <x:v>109</x:v>
      </x:c>
      <x:c r="I112" s="5" t="n">
        <x:f>ROUND(D112*Rules!$B$5+E112*Rules!$B$6,1)</x:f>
        <x:v>7.7</x:v>
      </x:c>
      <x:c r="J112" s="5" t="n">
        <x:f>IF(I112&gt;=Rules!$B$13,Rules!$C$13,IF(I112&gt;=Rules!$B$14,Rules!$C$14,IF(I112&gt;=Rules!$B$15,Rules!$C$15,IF(I112&gt;=Rules!$B$16,Rules!$C$16,Rules!$C$17))))</x:f>
        <x:v>3</x:v>
      </x:c>
      <x:c r="K112" s="5" t="n">
        <x:f>VLOOKUP(B112,Courses!$A$5:$D$14,3,FALSE)</x:f>
        <x:v>3</x:v>
      </x:c>
      <x:c r="L112" s="5" t="n">
        <x:f>J112*K112</x:f>
        <x:v>9</x:v>
      </x:c>
      <x:c r="M112" s="5" t="str">
        <x:f>VLOOKUP(A112,Students!$A$5:$H$45,5,FALSE)</x:f>
        <x:v>IT02</x:v>
      </x:c>
      <x:c r="N112" s="5" t="str">
        <x:f>'Sections'!E30</x:f>
        <x:v>T002</x:v>
      </x:c>
      <x:c r="O112" s="5" t="n">
        <x:f>IF(J112&gt;0,1,0)</x:f>
        <x:v>1</x:v>
      </x:c>
    </x:row>
    <x:row r="113" ht="21" customHeight="1">
      <x:c r="A113" s="3" t="str">
        <x:v>2201018</x:v>
      </x:c>
      <x:c r="B113" s="3" t="str">
        <x:v>GE101</x:v>
      </x:c>
      <x:c r="C113" s="3" t="str">
        <x:v>2024-1</x:v>
      </x:c>
      <x:c r="D113" s="3" t="n">
        <x:v>8.3</x:v>
      </x:c>
      <x:c r="E113" s="3" t="n">
        <x:v>7.4</x:v>
      </x:c>
      <x:c r="F113" s="3" t="n">
        <x:v>1</x:v>
      </x:c>
      <x:c r="G113" s="3" t="str"/>
      <x:c r="H113" s="3" t="n">
        <x:v>110</x:v>
      </x:c>
      <x:c r="I113" s="5" t="n">
        <x:f>ROUND(D113*Rules!$B$5+E113*Rules!$B$6,1)</x:f>
        <x:v>7.8</x:v>
      </x:c>
      <x:c r="J113" s="5" t="n">
        <x:f>IF(I113&gt;=Rules!$B$13,Rules!$C$13,IF(I113&gt;=Rules!$B$14,Rules!$C$14,IF(I113&gt;=Rules!$B$15,Rules!$C$15,IF(I113&gt;=Rules!$B$16,Rules!$C$16,Rules!$C$17))))</x:f>
        <x:v>3</x:v>
      </x:c>
      <x:c r="K113" s="5" t="n">
        <x:f>VLOOKUP(B113,Courses!$A$5:$D$14,3,FALSE)</x:f>
        <x:v>2</x:v>
      </x:c>
      <x:c r="L113" s="5" t="n">
        <x:f>J113*K113</x:f>
        <x:v>6</x:v>
      </x:c>
      <x:c r="M113" s="5" t="str">
        <x:f>VLOOKUP(A113,Students!$A$5:$H$45,5,FALSE)</x:f>
        <x:v>IT02</x:v>
      </x:c>
      <x:c r="N113" s="5" t="str">
        <x:f>'Sections'!E34</x:f>
        <x:v>T002</x:v>
      </x:c>
      <x:c r="O113" s="5" t="n">
        <x:f>IF(J113&gt;0,1,0)</x:f>
        <x:v>1</x:v>
      </x:c>
    </x:row>
    <x:row r="114" ht="21" customHeight="1">
      <x:c r="A114" s="3" t="str">
        <x:v>2201018</x:v>
      </x:c>
      <x:c r="B114" s="3" t="str">
        <x:v>GE102</x:v>
      </x:c>
      <x:c r="C114" s="3" t="str">
        <x:v>2024-1</x:v>
      </x:c>
      <x:c r="D114" s="3" t="n">
        <x:v>9.3</x:v>
      </x:c>
      <x:c r="E114" s="3" t="n">
        <x:v>8.5</x:v>
      </x:c>
      <x:c r="F114" s="3" t="n">
        <x:v>1</x:v>
      </x:c>
      <x:c r="G114" s="3" t="str"/>
      <x:c r="H114" s="3" t="n">
        <x:v>111</x:v>
      </x:c>
      <x:c r="I114" s="5" t="n">
        <x:f>ROUND(D114*Rules!$B$5+E114*Rules!$B$6,1)</x:f>
        <x:v>8.8</x:v>
      </x:c>
      <x:c r="J114" s="5" t="n">
        <x:f>IF(I114&gt;=Rules!$B$13,Rules!$C$13,IF(I114&gt;=Rules!$B$14,Rules!$C$14,IF(I114&gt;=Rules!$B$15,Rules!$C$15,IF(I114&gt;=Rules!$B$16,Rules!$C$16,Rules!$C$17))))</x:f>
        <x:v>4</x:v>
      </x:c>
      <x:c r="K114" s="5" t="n">
        <x:f>VLOOKUP(B114,Courses!$A$5:$D$14,3,FALSE)</x:f>
        <x:v>3</x:v>
      </x:c>
      <x:c r="L114" s="5" t="n">
        <x:f>J114*K114</x:f>
        <x:v>12</x:v>
      </x:c>
      <x:c r="M114" s="5" t="str">
        <x:f>VLOOKUP(A114,Students!$A$5:$H$45,5,FALSE)</x:f>
        <x:v>IT02</x:v>
      </x:c>
      <x:c r="N114" s="5" t="str">
        <x:f>'Sections'!E42</x:f>
        <x:v>T002</x:v>
      </x:c>
      <x:c r="O114" s="5" t="n">
        <x:f>IF(J114&gt;0,1,0)</x:f>
        <x:v>1</x:v>
      </x:c>
    </x:row>
    <x:row r="115" ht="21" customHeight="1">
      <x:c r="A115" s="3" t="str">
        <x:v>2201018</x:v>
      </x:c>
      <x:c r="B115" s="3" t="str">
        <x:v>CS101</x:v>
      </x:c>
      <x:c r="C115" s="3" t="str">
        <x:v>2024-1</x:v>
      </x:c>
      <x:c r="D115" s="3" t="n">
        <x:v>8.9</x:v>
      </x:c>
      <x:c r="E115" s="3" t="n">
        <x:v>7.5</x:v>
      </x:c>
      <x:c r="F115" s="3" t="n">
        <x:v>1</x:v>
      </x:c>
      <x:c r="G115" s="3" t="str"/>
      <x:c r="H115" s="3" t="n">
        <x:v>112</x:v>
      </x:c>
      <x:c r="I115" s="5" t="n">
        <x:f>ROUND(D115*Rules!$B$5+E115*Rules!$B$6,1)</x:f>
        <x:v>8.1</x:v>
      </x:c>
      <x:c r="J115" s="5" t="n">
        <x:f>IF(I115&gt;=Rules!$B$13,Rules!$C$13,IF(I115&gt;=Rules!$B$14,Rules!$C$14,IF(I115&gt;=Rules!$B$15,Rules!$C$15,IF(I115&gt;=Rules!$B$16,Rules!$C$16,Rules!$C$17))))</x:f>
        <x:v>3</x:v>
      </x:c>
      <x:c r="K115" s="5" t="n">
        <x:f>VLOOKUP(B115,Courses!$A$5:$D$14,3,FALSE)</x:f>
        <x:v>3</x:v>
      </x:c>
      <x:c r="L115" s="5" t="n">
        <x:f>J115*K115</x:f>
        <x:v>9</x:v>
      </x:c>
      <x:c r="M115" s="5" t="str">
        <x:f>VLOOKUP(A115,Students!$A$5:$H$45,5,FALSE)</x:f>
        <x:v>IT02</x:v>
      </x:c>
      <x:c r="N115" s="5" t="str">
        <x:f>'Sections'!E19</x:f>
        <x:v>T002</x:v>
      </x:c>
      <x:c r="O115" s="5" t="n">
        <x:f>IF(J115&gt;0,1,0)</x:f>
        <x:v>1</x:v>
      </x:c>
    </x:row>
    <x:row r="116" ht="21" customHeight="1">
      <x:c r="A116" s="3" t="str">
        <x:v>2201018</x:v>
      </x:c>
      <x:c r="B116" s="3" t="str">
        <x:v>CS102</x:v>
      </x:c>
      <x:c r="C116" s="3" t="str">
        <x:v>2024-2</x:v>
      </x:c>
      <x:c r="D116" s="3" t="n">
        <x:v>9.4</x:v>
      </x:c>
      <x:c r="E116" s="3" t="n">
        <x:v>8.4</x:v>
      </x:c>
      <x:c r="F116" s="3" t="n">
        <x:v>1</x:v>
      </x:c>
      <x:c r="G116" s="3" t="str"/>
      <x:c r="H116" s="3" t="n">
        <x:v>113</x:v>
      </x:c>
      <x:c r="I116" s="5" t="n">
        <x:f>ROUND(D116*Rules!$B$5+E116*Rules!$B$6,1)</x:f>
        <x:v>8.8</x:v>
      </x:c>
      <x:c r="J116" s="5" t="n">
        <x:f>IF(I116&gt;=Rules!$B$13,Rules!$C$13,IF(I116&gt;=Rules!$B$14,Rules!$C$14,IF(I116&gt;=Rules!$B$15,Rules!$C$15,IF(I116&gt;=Rules!$B$16,Rules!$C$16,Rules!$C$17))))</x:f>
        <x:v>4</x:v>
      </x:c>
      <x:c r="K116" s="5" t="n">
        <x:f>VLOOKUP(B116,Courses!$A$5:$D$14,3,FALSE)</x:f>
        <x:v>3</x:v>
      </x:c>
      <x:c r="L116" s="5" t="n">
        <x:f>J116*K116</x:f>
        <x:v>12</x:v>
      </x:c>
      <x:c r="M116" s="5" t="str">
        <x:f>VLOOKUP(A116,Students!$A$5:$H$45,5,FALSE)</x:f>
        <x:v>IT02</x:v>
      </x:c>
      <x:c r="N116" s="5" t="str">
        <x:f>'Sections'!E22</x:f>
        <x:v>T002</x:v>
      </x:c>
      <x:c r="O116" s="5" t="n">
        <x:f>IF(J116&gt;0,1,0)</x:f>
        <x:v>1</x:v>
      </x:c>
    </x:row>
    <x:row r="117" ht="21" customHeight="1">
      <x:c r="A117" s="3" t="str">
        <x:v>2201018</x:v>
      </x:c>
      <x:c r="B117" s="3" t="str">
        <x:v>CS201</x:v>
      </x:c>
      <x:c r="C117" s="3" t="str">
        <x:v>2024-2</x:v>
      </x:c>
      <x:c r="D117" s="3" t="n">
        <x:v>9</x:v>
      </x:c>
      <x:c r="E117" s="3" t="n">
        <x:v>9.4</x:v>
      </x:c>
      <x:c r="F117" s="3" t="n">
        <x:v>1</x:v>
      </x:c>
      <x:c r="G117" s="3" t="str"/>
      <x:c r="H117" s="3" t="n">
        <x:v>114</x:v>
      </x:c>
      <x:c r="I117" s="5" t="n">
        <x:f>ROUND(D117*Rules!$B$5+E117*Rules!$B$6,1)</x:f>
        <x:v>9.2</x:v>
      </x:c>
      <x:c r="J117" s="5" t="n">
        <x:f>IF(I117&gt;=Rules!$B$13,Rules!$C$13,IF(I117&gt;=Rules!$B$14,Rules!$C$14,IF(I117&gt;=Rules!$B$15,Rules!$C$15,IF(I117&gt;=Rules!$B$16,Rules!$C$16,Rules!$C$17))))</x:f>
        <x:v>4</x:v>
      </x:c>
      <x:c r="K117" s="5" t="n">
        <x:f>VLOOKUP(B117,Courses!$A$5:$D$14,3,FALSE)</x:f>
        <x:v>4</x:v>
      </x:c>
      <x:c r="L117" s="5" t="n">
        <x:f>J117*K117</x:f>
        <x:v>16</x:v>
      </x:c>
      <x:c r="M117" s="5" t="str">
        <x:f>VLOOKUP(A117,Students!$A$5:$H$45,5,FALSE)</x:f>
        <x:v>IT02</x:v>
      </x:c>
      <x:c r="N117" s="5" t="str">
        <x:f>'Sections'!E26</x:f>
        <x:v>T002</x:v>
      </x:c>
      <x:c r="O117" s="5" t="n">
        <x:f>IF(J117&gt;0,1,0)</x:f>
        <x:v>1</x:v>
      </x:c>
    </x:row>
    <x:row r="118" ht="21" customHeight="1">
      <x:c r="A118" s="3" t="str">
        <x:v>2201018</x:v>
      </x:c>
      <x:c r="B118" s="3" t="str">
        <x:v>CS202</x:v>
      </x:c>
      <x:c r="C118" s="3" t="str">
        <x:v>2025-1</x:v>
      </x:c>
      <x:c r="D118" s="3" t="n">
        <x:v>8.9</x:v>
      </x:c>
      <x:c r="E118" s="3" t="n">
        <x:v>8.4</x:v>
      </x:c>
      <x:c r="F118" s="3" t="n">
        <x:v>1</x:v>
      </x:c>
      <x:c r="G118" s="3" t="str"/>
      <x:c r="H118" s="3" t="n">
        <x:v>115</x:v>
      </x:c>
      <x:c r="I118" s="5" t="n">
        <x:f>ROUND(D118*Rules!$B$5+E118*Rules!$B$6,1)</x:f>
        <x:v>8.6</x:v>
      </x:c>
      <x:c r="J118" s="5" t="n">
        <x:f>IF(I118&gt;=Rules!$B$13,Rules!$C$13,IF(I118&gt;=Rules!$B$14,Rules!$C$14,IF(I118&gt;=Rules!$B$15,Rules!$C$15,IF(I118&gt;=Rules!$B$16,Rules!$C$16,Rules!$C$17))))</x:f>
        <x:v>4</x:v>
      </x:c>
      <x:c r="K118" s="5" t="n">
        <x:f>VLOOKUP(B118,Courses!$A$5:$D$14,3,FALSE)</x:f>
        <x:v>3</x:v>
      </x:c>
      <x:c r="L118" s="5" t="n">
        <x:f>J118*K118</x:f>
        <x:v>12</x:v>
      </x:c>
      <x:c r="M118" s="5" t="str">
        <x:f>VLOOKUP(A118,Students!$A$5:$H$45,5,FALSE)</x:f>
        <x:v>IT02</x:v>
      </x:c>
      <x:c r="N118" s="5" t="str">
        <x:f>'Sections'!E30</x:f>
        <x:v>T002</x:v>
      </x:c>
      <x:c r="O118" s="5" t="n">
        <x:f>IF(J118&gt;0,1,0)</x:f>
        <x:v>1</x:v>
      </x:c>
    </x:row>
    <x:row r="119" ht="21" customHeight="1">
      <x:c r="A119" s="3" t="str">
        <x:v>2201019</x:v>
      </x:c>
      <x:c r="B119" s="3" t="str">
        <x:v>GE101</x:v>
      </x:c>
      <x:c r="C119" s="3" t="str">
        <x:v>2024-1</x:v>
      </x:c>
      <x:c r="D119" s="3" t="n">
        <x:v>8.2</x:v>
      </x:c>
      <x:c r="E119" s="3" t="n">
        <x:v>8.8</x:v>
      </x:c>
      <x:c r="F119" s="3" t="n">
        <x:v>1</x:v>
      </x:c>
      <x:c r="G119" s="3" t="str"/>
      <x:c r="H119" s="3" t="n">
        <x:v>116</x:v>
      </x:c>
      <x:c r="I119" s="5" t="n">
        <x:f>ROUND(D119*Rules!$B$5+E119*Rules!$B$6,1)</x:f>
        <x:v>8.6</x:v>
      </x:c>
      <x:c r="J119" s="5" t="n">
        <x:f>IF(I119&gt;=Rules!$B$13,Rules!$C$13,IF(I119&gt;=Rules!$B$14,Rules!$C$14,IF(I119&gt;=Rules!$B$15,Rules!$C$15,IF(I119&gt;=Rules!$B$16,Rules!$C$16,Rules!$C$17))))</x:f>
        <x:v>4</x:v>
      </x:c>
      <x:c r="K119" s="5" t="n">
        <x:f>VLOOKUP(B119,Courses!$A$5:$D$14,3,FALSE)</x:f>
        <x:v>2</x:v>
      </x:c>
      <x:c r="L119" s="5" t="n">
        <x:f>J119*K119</x:f>
        <x:v>8</x:v>
      </x:c>
      <x:c r="M119" s="5" t="str">
        <x:f>VLOOKUP(A119,Students!$A$5:$H$45,5,FALSE)</x:f>
        <x:v>IT02</x:v>
      </x:c>
      <x:c r="N119" s="5" t="str">
        <x:f>'Sections'!E34</x:f>
        <x:v>T002</x:v>
      </x:c>
      <x:c r="O119" s="5" t="n">
        <x:f>IF(J119&gt;0,1,0)</x:f>
        <x:v>1</x:v>
      </x:c>
    </x:row>
    <x:row r="120" ht="21" customHeight="1">
      <x:c r="A120" s="3" t="str">
        <x:v>2201019</x:v>
      </x:c>
      <x:c r="B120" s="3" t="str">
        <x:v>GE102</x:v>
      </x:c>
      <x:c r="C120" s="3" t="str">
        <x:v>2024-1</x:v>
      </x:c>
      <x:c r="D120" s="3" t="n">
        <x:v>9.3</x:v>
      </x:c>
      <x:c r="E120" s="3" t="n">
        <x:v>8.9</x:v>
      </x:c>
      <x:c r="F120" s="3" t="n">
        <x:v>1</x:v>
      </x:c>
      <x:c r="G120" s="3" t="str"/>
      <x:c r="H120" s="3" t="n">
        <x:v>117</x:v>
      </x:c>
      <x:c r="I120" s="5" t="n">
        <x:f>ROUND(D120*Rules!$B$5+E120*Rules!$B$6,1)</x:f>
        <x:v>9.1</x:v>
      </x:c>
      <x:c r="J120" s="5" t="n">
        <x:f>IF(I120&gt;=Rules!$B$13,Rules!$C$13,IF(I120&gt;=Rules!$B$14,Rules!$C$14,IF(I120&gt;=Rules!$B$15,Rules!$C$15,IF(I120&gt;=Rules!$B$16,Rules!$C$16,Rules!$C$17))))</x:f>
        <x:v>4</x:v>
      </x:c>
      <x:c r="K120" s="5" t="n">
        <x:f>VLOOKUP(B120,Courses!$A$5:$D$14,3,FALSE)</x:f>
        <x:v>3</x:v>
      </x:c>
      <x:c r="L120" s="5" t="n">
        <x:f>J120*K120</x:f>
        <x:v>12</x:v>
      </x:c>
      <x:c r="M120" s="5" t="str">
        <x:f>VLOOKUP(A120,Students!$A$5:$H$45,5,FALSE)</x:f>
        <x:v>IT02</x:v>
      </x:c>
      <x:c r="N120" s="5" t="str">
        <x:f>'Sections'!E42</x:f>
        <x:v>T002</x:v>
      </x:c>
      <x:c r="O120" s="5" t="n">
        <x:f>IF(J120&gt;0,1,0)</x:f>
        <x:v>1</x:v>
      </x:c>
    </x:row>
    <x:row r="121" ht="21" customHeight="1">
      <x:c r="A121" s="3" t="str">
        <x:v>2201019</x:v>
      </x:c>
      <x:c r="B121" s="3" t="str">
        <x:v>CS101</x:v>
      </x:c>
      <x:c r="C121" s="3" t="str">
        <x:v>2024-1</x:v>
      </x:c>
      <x:c r="D121" s="3" t="n">
        <x:v>9.4</x:v>
      </x:c>
      <x:c r="E121" s="3" t="n">
        <x:v>8.7</x:v>
      </x:c>
      <x:c r="F121" s="3" t="n">
        <x:v>1</x:v>
      </x:c>
      <x:c r="G121" s="3" t="str"/>
      <x:c r="H121" s="3" t="n">
        <x:v>118</x:v>
      </x:c>
      <x:c r="I121" s="5" t="n">
        <x:f>ROUND(D121*Rules!$B$5+E121*Rules!$B$6,1)</x:f>
        <x:v>9</x:v>
      </x:c>
      <x:c r="J121" s="5" t="n">
        <x:f>IF(I121&gt;=Rules!$B$13,Rules!$C$13,IF(I121&gt;=Rules!$B$14,Rules!$C$14,IF(I121&gt;=Rules!$B$15,Rules!$C$15,IF(I121&gt;=Rules!$B$16,Rules!$C$16,Rules!$C$17))))</x:f>
        <x:v>4</x:v>
      </x:c>
      <x:c r="K121" s="5" t="n">
        <x:f>VLOOKUP(B121,Courses!$A$5:$D$14,3,FALSE)</x:f>
        <x:v>3</x:v>
      </x:c>
      <x:c r="L121" s="5" t="n">
        <x:f>J121*K121</x:f>
        <x:v>12</x:v>
      </x:c>
      <x:c r="M121" s="5" t="str">
        <x:f>VLOOKUP(A121,Students!$A$5:$H$45,5,FALSE)</x:f>
        <x:v>IT02</x:v>
      </x:c>
      <x:c r="N121" s="5" t="str">
        <x:f>'Sections'!E19</x:f>
        <x:v>T002</x:v>
      </x:c>
      <x:c r="O121" s="5" t="n">
        <x:f>IF(J121&gt;0,1,0)</x:f>
        <x:v>1</x:v>
      </x:c>
    </x:row>
    <x:row r="122" ht="21" customHeight="1">
      <x:c r="A122" s="3" t="str">
        <x:v>2201019</x:v>
      </x:c>
      <x:c r="B122" s="3" t="str">
        <x:v>CS102</x:v>
      </x:c>
      <x:c r="C122" s="3" t="str">
        <x:v>2024-2</x:v>
      </x:c>
      <x:c r="D122" s="3" t="n">
        <x:v>10</x:v>
      </x:c>
      <x:c r="E122" s="3" t="n">
        <x:v>9.2</x:v>
      </x:c>
      <x:c r="F122" s="3" t="n">
        <x:v>1</x:v>
      </x:c>
      <x:c r="G122" s="3" t="str"/>
      <x:c r="H122" s="3" t="n">
        <x:v>119</x:v>
      </x:c>
      <x:c r="I122" s="5" t="n">
        <x:f>ROUND(D122*Rules!$B$5+E122*Rules!$B$6,1)</x:f>
        <x:v>9.5</x:v>
      </x:c>
      <x:c r="J122" s="5" t="n">
        <x:f>IF(I122&gt;=Rules!$B$13,Rules!$C$13,IF(I122&gt;=Rules!$B$14,Rules!$C$14,IF(I122&gt;=Rules!$B$15,Rules!$C$15,IF(I122&gt;=Rules!$B$16,Rules!$C$16,Rules!$C$17))))</x:f>
        <x:v>4</x:v>
      </x:c>
      <x:c r="K122" s="5" t="n">
        <x:f>VLOOKUP(B122,Courses!$A$5:$D$14,3,FALSE)</x:f>
        <x:v>3</x:v>
      </x:c>
      <x:c r="L122" s="5" t="n">
        <x:f>J122*K122</x:f>
        <x:v>12</x:v>
      </x:c>
      <x:c r="M122" s="5" t="str">
        <x:f>VLOOKUP(A122,Students!$A$5:$H$45,5,FALSE)</x:f>
        <x:v>IT02</x:v>
      </x:c>
      <x:c r="N122" s="5" t="str">
        <x:f>'Sections'!E22</x:f>
        <x:v>T002</x:v>
      </x:c>
      <x:c r="O122" s="5" t="n">
        <x:f>IF(J122&gt;0,1,0)</x:f>
        <x:v>1</x:v>
      </x:c>
    </x:row>
    <x:row r="123" ht="21" customHeight="1">
      <x:c r="A123" s="3" t="str">
        <x:v>2201019</x:v>
      </x:c>
      <x:c r="B123" s="3" t="str">
        <x:v>CS201</x:v>
      </x:c>
      <x:c r="C123" s="3" t="str">
        <x:v>2024-2</x:v>
      </x:c>
      <x:c r="D123" s="3" t="n">
        <x:v>8.8</x:v>
      </x:c>
      <x:c r="E123" s="3" t="n">
        <x:v>10</x:v>
      </x:c>
      <x:c r="F123" s="3" t="n">
        <x:v>1</x:v>
      </x:c>
      <x:c r="G123" s="3" t="str"/>
      <x:c r="H123" s="3" t="n">
        <x:v>120</x:v>
      </x:c>
      <x:c r="I123" s="5" t="n">
        <x:f>ROUND(D123*Rules!$B$5+E123*Rules!$B$6,1)</x:f>
        <x:v>9.5</x:v>
      </x:c>
      <x:c r="J123" s="5" t="n">
        <x:f>IF(I123&gt;=Rules!$B$13,Rules!$C$13,IF(I123&gt;=Rules!$B$14,Rules!$C$14,IF(I123&gt;=Rules!$B$15,Rules!$C$15,IF(I123&gt;=Rules!$B$16,Rules!$C$16,Rules!$C$17))))</x:f>
        <x:v>4</x:v>
      </x:c>
      <x:c r="K123" s="5" t="n">
        <x:f>VLOOKUP(B123,Courses!$A$5:$D$14,3,FALSE)</x:f>
        <x:v>4</x:v>
      </x:c>
      <x:c r="L123" s="5" t="n">
        <x:f>J123*K123</x:f>
        <x:v>16</x:v>
      </x:c>
      <x:c r="M123" s="5" t="str">
        <x:f>VLOOKUP(A123,Students!$A$5:$H$45,5,FALSE)</x:f>
        <x:v>IT02</x:v>
      </x:c>
      <x:c r="N123" s="5" t="str">
        <x:f>'Sections'!E26</x:f>
        <x:v>T002</x:v>
      </x:c>
      <x:c r="O123" s="5" t="n">
        <x:f>IF(J123&gt;0,1,0)</x:f>
        <x:v>1</x:v>
      </x:c>
    </x:row>
    <x:row r="124" ht="21" customHeight="1">
      <x:c r="A124" s="3" t="str">
        <x:v>2201019</x:v>
      </x:c>
      <x:c r="B124" s="3" t="str">
        <x:v>CS202</x:v>
      </x:c>
      <x:c r="C124" s="3" t="str">
        <x:v>2025-1</x:v>
      </x:c>
      <x:c r="D124" s="3" t="n">
        <x:v>8.8</x:v>
      </x:c>
      <x:c r="E124" s="3" t="n">
        <x:v>8.7</x:v>
      </x:c>
      <x:c r="F124" s="3" t="n">
        <x:v>1</x:v>
      </x:c>
      <x:c r="G124" s="3" t="str"/>
      <x:c r="H124" s="3" t="n">
        <x:v>121</x:v>
      </x:c>
      <x:c r="I124" s="5" t="n">
        <x:f>ROUND(D124*Rules!$B$5+E124*Rules!$B$6,1)</x:f>
        <x:v>8.7</x:v>
      </x:c>
      <x:c r="J124" s="5" t="n">
        <x:f>IF(I124&gt;=Rules!$B$13,Rules!$C$13,IF(I124&gt;=Rules!$B$14,Rules!$C$14,IF(I124&gt;=Rules!$B$15,Rules!$C$15,IF(I124&gt;=Rules!$B$16,Rules!$C$16,Rules!$C$17))))</x:f>
        <x:v>4</x:v>
      </x:c>
      <x:c r="K124" s="5" t="n">
        <x:f>VLOOKUP(B124,Courses!$A$5:$D$14,3,FALSE)</x:f>
        <x:v>3</x:v>
      </x:c>
      <x:c r="L124" s="5" t="n">
        <x:f>J124*K124</x:f>
        <x:v>12</x:v>
      </x:c>
      <x:c r="M124" s="5" t="str">
        <x:f>VLOOKUP(A124,Students!$A$5:$H$45,5,FALSE)</x:f>
        <x:v>IT02</x:v>
      </x:c>
      <x:c r="N124" s="5" t="str">
        <x:f>'Sections'!E30</x:f>
        <x:v>T002</x:v>
      </x:c>
      <x:c r="O124" s="5" t="n">
        <x:f>IF(J124&gt;0,1,0)</x:f>
        <x:v>1</x:v>
      </x:c>
    </x:row>
    <x:row r="125" ht="21" customHeight="1">
      <x:c r="A125" s="3" t="str">
        <x:v>2201020</x:v>
      </x:c>
      <x:c r="B125" s="3" t="str">
        <x:v>GE101</x:v>
      </x:c>
      <x:c r="C125" s="3" t="str">
        <x:v>2024-1</x:v>
      </x:c>
      <x:c r="D125" s="3" t="n">
        <x:v>3.5</x:v>
      </x:c>
      <x:c r="E125" s="3" t="n">
        <x:v>2.9</x:v>
      </x:c>
      <x:c r="F125" s="3" t="n">
        <x:v>1</x:v>
      </x:c>
      <x:c r="G125" s="3" t="str"/>
      <x:c r="H125" s="3" t="n">
        <x:v>122</x:v>
      </x:c>
      <x:c r="I125" s="5" t="n">
        <x:f>ROUND(D125*Rules!$B$5+E125*Rules!$B$6,1)</x:f>
        <x:v>3.1</x:v>
      </x:c>
      <x:c r="J125" s="5" t="n">
        <x:f>IF(I125&gt;=Rules!$B$13,Rules!$C$13,IF(I125&gt;=Rules!$B$14,Rules!$C$14,IF(I125&gt;=Rules!$B$15,Rules!$C$15,IF(I125&gt;=Rules!$B$16,Rules!$C$16,Rules!$C$17))))</x:f>
        <x:v>0</x:v>
      </x:c>
      <x:c r="K125" s="5" t="n">
        <x:f>VLOOKUP(B125,Courses!$A$5:$D$14,3,FALSE)</x:f>
        <x:v>2</x:v>
      </x:c>
      <x:c r="L125" s="5" t="n">
        <x:f>J125*K125</x:f>
        <x:v>0</x:v>
      </x:c>
      <x:c r="M125" s="5" t="str">
        <x:f>VLOOKUP(A125,Students!$A$5:$H$45,5,FALSE)</x:f>
        <x:v>IT02</x:v>
      </x:c>
      <x:c r="N125" s="5" t="str">
        <x:f>'Sections'!E34</x:f>
        <x:v>T002</x:v>
      </x:c>
      <x:c r="O125" s="5" t="n">
        <x:f>IF(J125&gt;0,1,0)</x:f>
        <x:v>0</x:v>
      </x:c>
    </x:row>
    <x:row r="126" ht="21" customHeight="1">
      <x:c r="A126" s="3" t="str">
        <x:v>2201020</x:v>
      </x:c>
      <x:c r="B126" s="3" t="str">
        <x:v>GE102</x:v>
      </x:c>
      <x:c r="C126" s="3" t="str">
        <x:v>2024-1</x:v>
      </x:c>
      <x:c r="D126" s="3" t="n">
        <x:v>3.3</x:v>
      </x:c>
      <x:c r="E126" s="3" t="n">
        <x:v>4.4</x:v>
      </x:c>
      <x:c r="F126" s="3" t="n">
        <x:v>1</x:v>
      </x:c>
      <x:c r="G126" s="3" t="str"/>
      <x:c r="H126" s="3" t="n">
        <x:v>123</x:v>
      </x:c>
      <x:c r="I126" s="5" t="n">
        <x:f>ROUND(D126*Rules!$B$5+E126*Rules!$B$6,1)</x:f>
        <x:v>4</x:v>
      </x:c>
      <x:c r="J126" s="5" t="n">
        <x:f>IF(I126&gt;=Rules!$B$13,Rules!$C$13,IF(I126&gt;=Rules!$B$14,Rules!$C$14,IF(I126&gt;=Rules!$B$15,Rules!$C$15,IF(I126&gt;=Rules!$B$16,Rules!$C$16,Rules!$C$17))))</x:f>
        <x:v>1</x:v>
      </x:c>
      <x:c r="K126" s="5" t="n">
        <x:f>VLOOKUP(B126,Courses!$A$5:$D$14,3,FALSE)</x:f>
        <x:v>3</x:v>
      </x:c>
      <x:c r="L126" s="5" t="n">
        <x:f>J126*K126</x:f>
        <x:v>3</x:v>
      </x:c>
      <x:c r="M126" s="5" t="str">
        <x:f>VLOOKUP(A126,Students!$A$5:$H$45,5,FALSE)</x:f>
        <x:v>IT02</x:v>
      </x:c>
      <x:c r="N126" s="5" t="str">
        <x:f>'Sections'!E42</x:f>
        <x:v>T002</x:v>
      </x:c>
      <x:c r="O126" s="5" t="n">
        <x:f>IF(J126&gt;0,1,0)</x:f>
        <x:v>1</x:v>
      </x:c>
    </x:row>
    <x:row r="127" ht="21" customHeight="1">
      <x:c r="A127" s="3" t="str">
        <x:v>2201020</x:v>
      </x:c>
      <x:c r="B127" s="3" t="str">
        <x:v>CS101</x:v>
      </x:c>
      <x:c r="C127" s="3" t="str">
        <x:v>2024-1</x:v>
      </x:c>
      <x:c r="D127" s="3" t="n">
        <x:v>4.3</x:v>
      </x:c>
      <x:c r="E127" s="3" t="n">
        <x:v>4.4</x:v>
      </x:c>
      <x:c r="F127" s="3" t="n">
        <x:v>1</x:v>
      </x:c>
      <x:c r="G127" s="3" t="str"/>
      <x:c r="H127" s="3" t="n">
        <x:v>124</x:v>
      </x:c>
      <x:c r="I127" s="5" t="n">
        <x:f>ROUND(D127*Rules!$B$5+E127*Rules!$B$6,1)</x:f>
        <x:v>4.4</x:v>
      </x:c>
      <x:c r="J127" s="5" t="n">
        <x:f>IF(I127&gt;=Rules!$B$13,Rules!$C$13,IF(I127&gt;=Rules!$B$14,Rules!$C$14,IF(I127&gt;=Rules!$B$15,Rules!$C$15,IF(I127&gt;=Rules!$B$16,Rules!$C$16,Rules!$C$17))))</x:f>
        <x:v>1</x:v>
      </x:c>
      <x:c r="K127" s="5" t="n">
        <x:f>VLOOKUP(B127,Courses!$A$5:$D$14,3,FALSE)</x:f>
        <x:v>3</x:v>
      </x:c>
      <x:c r="L127" s="5" t="n">
        <x:f>J127*K127</x:f>
        <x:v>3</x:v>
      </x:c>
      <x:c r="M127" s="5" t="str">
        <x:f>VLOOKUP(A127,Students!$A$5:$H$45,5,FALSE)</x:f>
        <x:v>IT02</x:v>
      </x:c>
      <x:c r="N127" s="5" t="str">
        <x:f>'Sections'!E19</x:f>
        <x:v>T002</x:v>
      </x:c>
      <x:c r="O127" s="5" t="n">
        <x:f>IF(J127&gt;0,1,0)</x:f>
        <x:v>1</x:v>
      </x:c>
    </x:row>
    <x:row r="128" ht="21" customHeight="1">
      <x:c r="A128" s="3" t="str">
        <x:v>2201020</x:v>
      </x:c>
      <x:c r="B128" s="3" t="str">
        <x:v>CS102</x:v>
      </x:c>
      <x:c r="C128" s="3" t="str">
        <x:v>2024-2</x:v>
      </x:c>
      <x:c r="D128" s="3" t="n">
        <x:v>4.1</x:v>
      </x:c>
      <x:c r="E128" s="3" t="n">
        <x:v>4.2</x:v>
      </x:c>
      <x:c r="F128" s="3" t="n">
        <x:v>1</x:v>
      </x:c>
      <x:c r="G128" s="3" t="str"/>
      <x:c r="H128" s="3" t="n">
        <x:v>125</x:v>
      </x:c>
      <x:c r="I128" s="5" t="n">
        <x:f>ROUND(D128*Rules!$B$5+E128*Rules!$B$6,1)</x:f>
        <x:v>4.2</x:v>
      </x:c>
      <x:c r="J128" s="5" t="n">
        <x:f>IF(I128&gt;=Rules!$B$13,Rules!$C$13,IF(I128&gt;=Rules!$B$14,Rules!$C$14,IF(I128&gt;=Rules!$B$15,Rules!$C$15,IF(I128&gt;=Rules!$B$16,Rules!$C$16,Rules!$C$17))))</x:f>
        <x:v>1</x:v>
      </x:c>
      <x:c r="K128" s="5" t="n">
        <x:f>VLOOKUP(B128,Courses!$A$5:$D$14,3,FALSE)</x:f>
        <x:v>3</x:v>
      </x:c>
      <x:c r="L128" s="5" t="n">
        <x:f>J128*K128</x:f>
        <x:v>3</x:v>
      </x:c>
      <x:c r="M128" s="5" t="str">
        <x:f>VLOOKUP(A128,Students!$A$5:$H$45,5,FALSE)</x:f>
        <x:v>IT02</x:v>
      </x:c>
      <x:c r="N128" s="5" t="str">
        <x:f>'Sections'!E22</x:f>
        <x:v>T002</x:v>
      </x:c>
      <x:c r="O128" s="5" t="n">
        <x:f>IF(J128&gt;0,1,0)</x:f>
        <x:v>1</x:v>
      </x:c>
    </x:row>
    <x:row r="129" ht="21" customHeight="1">
      <x:c r="A129" s="3" t="str">
        <x:v>2201020</x:v>
      </x:c>
      <x:c r="B129" s="3" t="str">
        <x:v>CS201</x:v>
      </x:c>
      <x:c r="C129" s="3" t="str">
        <x:v>2024-2</x:v>
      </x:c>
      <x:c r="D129" s="3" t="n">
        <x:v>2.6</x:v>
      </x:c>
      <x:c r="E129" s="3" t="n">
        <x:v>3</x:v>
      </x:c>
      <x:c r="F129" s="3" t="n">
        <x:v>1</x:v>
      </x:c>
      <x:c r="G129" s="3" t="str"/>
      <x:c r="H129" s="3" t="n">
        <x:v>126</x:v>
      </x:c>
      <x:c r="I129" s="5" t="n">
        <x:f>ROUND(D129*Rules!$B$5+E129*Rules!$B$6,1)</x:f>
        <x:v>2.8</x:v>
      </x:c>
      <x:c r="J129" s="5" t="n">
        <x:f>IF(I129&gt;=Rules!$B$13,Rules!$C$13,IF(I129&gt;=Rules!$B$14,Rules!$C$14,IF(I129&gt;=Rules!$B$15,Rules!$C$15,IF(I129&gt;=Rules!$B$16,Rules!$C$16,Rules!$C$17))))</x:f>
        <x:v>0</x:v>
      </x:c>
      <x:c r="K129" s="5" t="n">
        <x:f>VLOOKUP(B129,Courses!$A$5:$D$14,3,FALSE)</x:f>
        <x:v>4</x:v>
      </x:c>
      <x:c r="L129" s="5" t="n">
        <x:f>J129*K129</x:f>
        <x:v>0</x:v>
      </x:c>
      <x:c r="M129" s="5" t="str">
        <x:f>VLOOKUP(A129,Students!$A$5:$H$45,5,FALSE)</x:f>
        <x:v>IT02</x:v>
      </x:c>
      <x:c r="N129" s="5" t="str">
        <x:f>'Sections'!E26</x:f>
        <x:v>T002</x:v>
      </x:c>
      <x:c r="O129" s="5" t="n">
        <x:f>IF(J129&gt;0,1,0)</x:f>
        <x:v>0</x:v>
      </x:c>
    </x:row>
    <x:row r="130" ht="21" customHeight="1">
      <x:c r="A130" s="3" t="str">
        <x:v>2201020</x:v>
      </x:c>
      <x:c r="B130" s="3" t="str">
        <x:v>CS202</x:v>
      </x:c>
      <x:c r="C130" s="3" t="str">
        <x:v>2025-1</x:v>
      </x:c>
      <x:c r="D130" s="3" t="n">
        <x:v>4</x:v>
      </x:c>
      <x:c r="E130" s="3" t="n">
        <x:v>4.5</x:v>
      </x:c>
      <x:c r="F130" s="3" t="n">
        <x:v>1</x:v>
      </x:c>
      <x:c r="G130" s="3" t="str"/>
      <x:c r="H130" s="3" t="n">
        <x:v>127</x:v>
      </x:c>
      <x:c r="I130" s="5" t="n">
        <x:f>ROUND(D130*Rules!$B$5+E130*Rules!$B$6,1)</x:f>
        <x:v>4.3</x:v>
      </x:c>
      <x:c r="J130" s="5" t="n">
        <x:f>IF(I130&gt;=Rules!$B$13,Rules!$C$13,IF(I130&gt;=Rules!$B$14,Rules!$C$14,IF(I130&gt;=Rules!$B$15,Rules!$C$15,IF(I130&gt;=Rules!$B$16,Rules!$C$16,Rules!$C$17))))</x:f>
        <x:v>1</x:v>
      </x:c>
      <x:c r="K130" s="5" t="n">
        <x:f>VLOOKUP(B130,Courses!$A$5:$D$14,3,FALSE)</x:f>
        <x:v>3</x:v>
      </x:c>
      <x:c r="L130" s="5" t="n">
        <x:f>J130*K130</x:f>
        <x:v>3</x:v>
      </x:c>
      <x:c r="M130" s="5" t="str">
        <x:f>VLOOKUP(A130,Students!$A$5:$H$45,5,FALSE)</x:f>
        <x:v>IT02</x:v>
      </x:c>
      <x:c r="N130" s="5" t="str">
        <x:f>'Sections'!E30</x:f>
        <x:v>T002</x:v>
      </x:c>
      <x:c r="O130" s="5" t="n">
        <x:f>IF(J130&gt;0,1,0)</x:f>
        <x:v>1</x:v>
      </x:c>
    </x:row>
    <x:row r="131" ht="21" customHeight="1">
      <x:c r="A131" s="3" t="str">
        <x:v>2201020</x:v>
      </x:c>
      <x:c r="B131" s="3" t="str">
        <x:v>GE101</x:v>
      </x:c>
      <x:c r="C131" s="3" t="str">
        <x:v>2025-1</x:v>
      </x:c>
      <x:c r="D131" s="3" t="n">
        <x:v>7.8</x:v>
      </x:c>
      <x:c r="E131" s="3" t="n">
        <x:v>6.5</x:v>
      </x:c>
      <x:c r="F131" s="3" t="n">
        <x:v>1</x:v>
      </x:c>
      <x:c r="G131" s="3" t="str"/>
      <x:c r="H131" s="3" t="n">
        <x:v>128</x:v>
      </x:c>
      <x:c r="I131" s="5" t="n">
        <x:f>ROUND(D131*Rules!$B$5+E131*Rules!$B$6,1)</x:f>
        <x:v>7</x:v>
      </x:c>
      <x:c r="J131" s="5" t="n">
        <x:f>IF(I131&gt;=Rules!$B$13,Rules!$C$13,IF(I131&gt;=Rules!$B$14,Rules!$C$14,IF(I131&gt;=Rules!$B$15,Rules!$C$15,IF(I131&gt;=Rules!$B$16,Rules!$C$16,Rules!$C$17))))</x:f>
        <x:v>3</x:v>
      </x:c>
      <x:c r="K131" s="5" t="n">
        <x:f>VLOOKUP(B131,Courses!$A$5:$D$14,3,FALSE)</x:f>
        <x:v>2</x:v>
      </x:c>
      <x:c r="L131" s="5" t="n">
        <x:f>J131*K131</x:f>
        <x:v>6</x:v>
      </x:c>
      <x:c r="M131" s="5" t="str">
        <x:f>VLOOKUP(A131,Students!$A$5:$H$45,5,FALSE)</x:f>
        <x:v>IT02</x:v>
      </x:c>
      <x:c r="N131" s="5" t="str">
        <x:f>'Sections'!E38</x:f>
        <x:v>T002</x:v>
      </x:c>
      <x:c r="O131" s="5" t="n">
        <x:f>IF(J131&gt;0,1,0)</x:f>
        <x:v>1</x:v>
      </x:c>
    </x:row>
    <x:row r="132" ht="21" customHeight="1">
      <x:c r="A132" s="3" t="str">
        <x:v>2201020</x:v>
      </x:c>
      <x:c r="B132" s="3" t="str">
        <x:v>CS201</x:v>
      </x:c>
      <x:c r="C132" s="3" t="str">
        <x:v>2025-1</x:v>
      </x:c>
      <x:c r="D132" s="3" t="n">
        <x:v>8.2</x:v>
      </x:c>
      <x:c r="E132" s="3" t="n">
        <x:v>6.7</x:v>
      </x:c>
      <x:c r="F132" s="3" t="n">
        <x:v>1</x:v>
      </x:c>
      <x:c r="G132" s="3" t="str"/>
      <x:c r="H132" s="3" t="n">
        <x:v>129</x:v>
      </x:c>
      <x:c r="I132" s="5" t="n">
        <x:f>ROUND(D132*Rules!$B$5+E132*Rules!$B$6,1)</x:f>
        <x:v>7.3</x:v>
      </x:c>
      <x:c r="J132" s="5" t="n">
        <x:f>IF(I132&gt;=Rules!$B$13,Rules!$C$13,IF(I132&gt;=Rules!$B$14,Rules!$C$14,IF(I132&gt;=Rules!$B$15,Rules!$C$15,IF(I132&gt;=Rules!$B$16,Rules!$C$16,Rules!$C$17))))</x:f>
        <x:v>3</x:v>
      </x:c>
      <x:c r="K132" s="5" t="n">
        <x:f>VLOOKUP(B132,Courses!$A$5:$D$14,3,FALSE)</x:f>
        <x:v>4</x:v>
      </x:c>
      <x:c r="L132" s="5" t="n">
        <x:f>J132*K132</x:f>
        <x:v>12</x:v>
      </x:c>
      <x:c r="M132" s="5" t="str">
        <x:f>VLOOKUP(A132,Students!$A$5:$H$45,5,FALSE)</x:f>
        <x:v>IT02</x:v>
      </x:c>
      <x:c r="N132" s="5" t="str">
        <x:f>'Sections'!E28</x:f>
        <x:v>T002</x:v>
      </x:c>
      <x:c r="O132" s="5" t="n">
        <x:f>IF(J132&gt;0,1,0)</x:f>
        <x:v>1</x:v>
      </x:c>
    </x:row>
    <x:row r="133" ht="21" customHeight="1">
      <x:c r="A133" s="3" t="str">
        <x:v>2202001</x:v>
      </x:c>
      <x:c r="B133" s="3" t="str">
        <x:v>GE101</x:v>
      </x:c>
      <x:c r="C133" s="3" t="str">
        <x:v>2024-1</x:v>
      </x:c>
      <x:c r="D133" s="3" t="n">
        <x:v>7.7</x:v>
      </x:c>
      <x:c r="E133" s="3" t="n">
        <x:v>6.8</x:v>
      </x:c>
      <x:c r="F133" s="3" t="n">
        <x:v>1</x:v>
      </x:c>
      <x:c r="G133" s="3" t="str"/>
      <x:c r="H133" s="3" t="n">
        <x:v>130</x:v>
      </x:c>
      <x:c r="I133" s="5" t="n">
        <x:f>ROUND(D133*Rules!$B$5+E133*Rules!$B$6,1)</x:f>
        <x:v>7.2</x:v>
      </x:c>
      <x:c r="J133" s="5" t="n">
        <x:f>IF(I133&gt;=Rules!$B$13,Rules!$C$13,IF(I133&gt;=Rules!$B$14,Rules!$C$14,IF(I133&gt;=Rules!$B$15,Rules!$C$15,IF(I133&gt;=Rules!$B$16,Rules!$C$16,Rules!$C$17))))</x:f>
        <x:v>3</x:v>
      </x:c>
      <x:c r="K133" s="5" t="n">
        <x:f>VLOOKUP(B133,Courses!$A$5:$D$14,3,FALSE)</x:f>
        <x:v>2</x:v>
      </x:c>
      <x:c r="L133" s="5" t="n">
        <x:f>J133*K133</x:f>
        <x:v>6</x:v>
      </x:c>
      <x:c r="M133" s="5" t="str">
        <x:f>VLOOKUP(A133,Students!$A$5:$H$45,5,FALSE)</x:f>
        <x:v>BA01</x:v>
      </x:c>
      <x:c r="N133" s="5" t="str">
        <x:f>'Sections'!E31</x:f>
        <x:v>T011</x:v>
      </x:c>
      <x:c r="O133" s="5" t="n">
        <x:f>IF(J133&gt;0,1,0)</x:f>
        <x:v>1</x:v>
      </x:c>
    </x:row>
    <x:row r="134" ht="21" customHeight="1">
      <x:c r="A134" s="3" t="str">
        <x:v>2202001</x:v>
      </x:c>
      <x:c r="B134" s="3" t="str">
        <x:v>GE102</x:v>
      </x:c>
      <x:c r="C134" s="3" t="str">
        <x:v>2024-1</x:v>
      </x:c>
      <x:c r="D134" s="3" t="n">
        <x:v>6.4</x:v>
      </x:c>
      <x:c r="E134" s="3" t="n">
        <x:v>7.4</x:v>
      </x:c>
      <x:c r="F134" s="3" t="n">
        <x:v>1</x:v>
      </x:c>
      <x:c r="G134" s="3" t="str"/>
      <x:c r="H134" s="3" t="n">
        <x:v>131</x:v>
      </x:c>
      <x:c r="I134" s="5" t="n">
        <x:f>ROUND(D134*Rules!$B$5+E134*Rules!$B$6,1)</x:f>
        <x:v>7</x:v>
      </x:c>
      <x:c r="J134" s="5" t="n">
        <x:f>IF(I134&gt;=Rules!$B$13,Rules!$C$13,IF(I134&gt;=Rules!$B$14,Rules!$C$14,IF(I134&gt;=Rules!$B$15,Rules!$C$15,IF(I134&gt;=Rules!$B$16,Rules!$C$16,Rules!$C$17))))</x:f>
        <x:v>3</x:v>
      </x:c>
      <x:c r="K134" s="5" t="n">
        <x:f>VLOOKUP(B134,Courses!$A$5:$D$14,3,FALSE)</x:f>
        <x:v>3</x:v>
      </x:c>
      <x:c r="L134" s="5" t="n">
        <x:f>J134*K134</x:f>
        <x:v>9</x:v>
      </x:c>
      <x:c r="M134" s="5" t="str">
        <x:f>VLOOKUP(A134,Students!$A$5:$H$45,5,FALSE)</x:f>
        <x:v>BA01</x:v>
      </x:c>
      <x:c r="N134" s="5" t="str">
        <x:f>'Sections'!E39</x:f>
        <x:v>T011</x:v>
      </x:c>
      <x:c r="O134" s="5" t="n">
        <x:f>IF(J134&gt;0,1,0)</x:f>
        <x:v>1</x:v>
      </x:c>
    </x:row>
    <x:row r="135" ht="21" customHeight="1">
      <x:c r="A135" s="3" t="str">
        <x:v>2202001</x:v>
      </x:c>
      <x:c r="B135" s="3" t="str">
        <x:v>BA101</x:v>
      </x:c>
      <x:c r="C135" s="3" t="str">
        <x:v>2024-1</x:v>
      </x:c>
      <x:c r="D135" s="3" t="n">
        <x:v>7.5</x:v>
      </x:c>
      <x:c r="E135" s="3" t="n">
        <x:v>5.4</x:v>
      </x:c>
      <x:c r="F135" s="3" t="n">
        <x:v>1</x:v>
      </x:c>
      <x:c r="G135" s="3" t="str"/>
      <x:c r="H135" s="3" t="n">
        <x:v>132</x:v>
      </x:c>
      <x:c r="I135" s="5" t="n">
        <x:f>ROUND(D135*Rules!$B$5+E135*Rules!$B$6,1)</x:f>
        <x:v>6.2</x:v>
      </x:c>
      <x:c r="J135" s="5" t="n">
        <x:f>IF(I135&gt;=Rules!$B$13,Rules!$C$13,IF(I135&gt;=Rules!$B$14,Rules!$C$14,IF(I135&gt;=Rules!$B$15,Rules!$C$15,IF(I135&gt;=Rules!$B$16,Rules!$C$16,Rules!$C$17))))</x:f>
        <x:v>2</x:v>
      </x:c>
      <x:c r="K135" s="5" t="n">
        <x:f>VLOOKUP(B135,Courses!$A$5:$D$14,3,FALSE)</x:f>
        <x:v>3</x:v>
      </x:c>
      <x:c r="L135" s="5" t="n">
        <x:f>J135*K135</x:f>
        <x:v>6</x:v>
      </x:c>
      <x:c r="M135" s="5" t="str">
        <x:f>VLOOKUP(A135,Students!$A$5:$H$45,5,FALSE)</x:f>
        <x:v>BA01</x:v>
      </x:c>
      <x:c r="N135" s="5" t="str">
        <x:f>'Sections'!E5</x:f>
        <x:v>T011</x:v>
      </x:c>
      <x:c r="O135" s="5" t="n">
        <x:f>IF(J135&gt;0,1,0)</x:f>
        <x:v>1</x:v>
      </x:c>
    </x:row>
    <x:row r="136" ht="21" customHeight="1">
      <x:c r="A136" s="3" t="str">
        <x:v>2202001</x:v>
      </x:c>
      <x:c r="B136" s="3" t="str">
        <x:v>BA102</x:v>
      </x:c>
      <x:c r="C136" s="3" t="str">
        <x:v>2024-2</x:v>
      </x:c>
      <x:c r="D136" s="3" t="n">
        <x:v>6.6</x:v>
      </x:c>
      <x:c r="E136" s="3" t="n">
        <x:v>6.9</x:v>
      </x:c>
      <x:c r="F136" s="3" t="n">
        <x:v>1</x:v>
      </x:c>
      <x:c r="G136" s="3" t="str"/>
      <x:c r="H136" s="3" t="n">
        <x:v>133</x:v>
      </x:c>
      <x:c r="I136" s="5" t="n">
        <x:f>ROUND(D136*Rules!$B$5+E136*Rules!$B$6,1)</x:f>
        <x:v>6.8</x:v>
      </x:c>
      <x:c r="J136" s="5" t="n">
        <x:f>IF(I136&gt;=Rules!$B$13,Rules!$C$13,IF(I136&gt;=Rules!$B$14,Rules!$C$14,IF(I136&gt;=Rules!$B$15,Rules!$C$15,IF(I136&gt;=Rules!$B$16,Rules!$C$16,Rules!$C$17))))</x:f>
        <x:v>2</x:v>
      </x:c>
      <x:c r="K136" s="5" t="n">
        <x:f>VLOOKUP(B136,Courses!$A$5:$D$14,3,FALSE)</x:f>
        <x:v>3</x:v>
      </x:c>
      <x:c r="L136" s="5" t="n">
        <x:f>J136*K136</x:f>
        <x:v>6</x:v>
      </x:c>
      <x:c r="M136" s="5" t="str">
        <x:f>VLOOKUP(A136,Students!$A$5:$H$45,5,FALSE)</x:f>
        <x:v>BA01</x:v>
      </x:c>
      <x:c r="N136" s="5" t="str">
        <x:f>'Sections'!E9</x:f>
        <x:v>T011</x:v>
      </x:c>
      <x:c r="O136" s="5" t="n">
        <x:f>IF(J136&gt;0,1,0)</x:f>
        <x:v>1</x:v>
      </x:c>
    </x:row>
    <x:row r="137" ht="21" customHeight="1">
      <x:c r="A137" s="3" t="str">
        <x:v>2202001</x:v>
      </x:c>
      <x:c r="B137" s="3" t="str">
        <x:v>BA201</x:v>
      </x:c>
      <x:c r="C137" s="3" t="str">
        <x:v>2024-2</x:v>
      </x:c>
      <x:c r="D137" s="3" t="n">
        <x:v>6</x:v>
      </x:c>
      <x:c r="E137" s="3" t="n">
        <x:v>6.5</x:v>
      </x:c>
      <x:c r="F137" s="3" t="n">
        <x:v>1</x:v>
      </x:c>
      <x:c r="G137" s="3" t="str"/>
      <x:c r="H137" s="3" t="n">
        <x:v>134</x:v>
      </x:c>
      <x:c r="I137" s="5" t="n">
        <x:f>ROUND(D137*Rules!$B$5+E137*Rules!$B$6,1)</x:f>
        <x:v>6.3</x:v>
      </x:c>
      <x:c r="J137" s="5" t="n">
        <x:f>IF(I137&gt;=Rules!$B$13,Rules!$C$13,IF(I137&gt;=Rules!$B$14,Rules!$C$14,IF(I137&gt;=Rules!$B$15,Rules!$C$15,IF(I137&gt;=Rules!$B$16,Rules!$C$16,Rules!$C$17))))</x:f>
        <x:v>2</x:v>
      </x:c>
      <x:c r="K137" s="5" t="n">
        <x:f>VLOOKUP(B137,Courses!$A$5:$D$14,3,FALSE)</x:f>
        <x:v>4</x:v>
      </x:c>
      <x:c r="L137" s="5" t="n">
        <x:f>J137*K137</x:f>
        <x:v>8</x:v>
      </x:c>
      <x:c r="M137" s="5" t="str">
        <x:f>VLOOKUP(A137,Students!$A$5:$H$45,5,FALSE)</x:f>
        <x:v>BA01</x:v>
      </x:c>
      <x:c r="N137" s="5" t="str">
        <x:f>'Sections'!E13</x:f>
        <x:v>T011</x:v>
      </x:c>
      <x:c r="O137" s="5" t="n">
        <x:f>IF(J137&gt;0,1,0)</x:f>
        <x:v>1</x:v>
      </x:c>
    </x:row>
    <x:row r="138" ht="21" customHeight="1">
      <x:c r="A138" s="3" t="str">
        <x:v>2202001</x:v>
      </x:c>
      <x:c r="B138" s="3" t="str">
        <x:v>BA202</x:v>
      </x:c>
      <x:c r="C138" s="3" t="str">
        <x:v>2025-1</x:v>
      </x:c>
      <x:c r="D138" s="3" t="n">
        <x:v>6.7</x:v>
      </x:c>
      <x:c r="E138" s="3" t="n">
        <x:v>7.9</x:v>
      </x:c>
      <x:c r="F138" s="3" t="n">
        <x:v>1</x:v>
      </x:c>
      <x:c r="G138" s="3" t="str"/>
      <x:c r="H138" s="3" t="n">
        <x:v>135</x:v>
      </x:c>
      <x:c r="I138" s="5" t="n">
        <x:f>ROUND(D138*Rules!$B$5+E138*Rules!$B$6,1)</x:f>
        <x:v>7.4</x:v>
      </x:c>
      <x:c r="J138" s="5" t="n">
        <x:f>IF(I138&gt;=Rules!$B$13,Rules!$C$13,IF(I138&gt;=Rules!$B$14,Rules!$C$14,IF(I138&gt;=Rules!$B$15,Rules!$C$15,IF(I138&gt;=Rules!$B$16,Rules!$C$16,Rules!$C$17))))</x:f>
        <x:v>3</x:v>
      </x:c>
      <x:c r="K138" s="5" t="n">
        <x:f>VLOOKUP(B138,Courses!$A$5:$D$14,3,FALSE)</x:f>
        <x:v>3</x:v>
      </x:c>
      <x:c r="L138" s="5" t="n">
        <x:f>J138*K138</x:f>
        <x:v>9</x:v>
      </x:c>
      <x:c r="M138" s="5" t="str">
        <x:f>VLOOKUP(A138,Students!$A$5:$H$45,5,FALSE)</x:f>
        <x:v>BA01</x:v>
      </x:c>
      <x:c r="N138" s="5" t="str">
        <x:f>'Sections'!E16</x:f>
        <x:v>T012</x:v>
      </x:c>
      <x:c r="O138" s="5" t="n">
        <x:f>IF(J138&gt;0,1,0)</x:f>
        <x:v>1</x:v>
      </x:c>
    </x:row>
    <x:row r="139" ht="21" customHeight="1">
      <x:c r="A139" s="3" t="str">
        <x:v>2202002</x:v>
      </x:c>
      <x:c r="B139" s="3" t="str">
        <x:v>GE101</x:v>
      </x:c>
      <x:c r="C139" s="3" t="str">
        <x:v>2024-1</x:v>
      </x:c>
      <x:c r="D139" s="3" t="n">
        <x:v>9.4</x:v>
      </x:c>
      <x:c r="E139" s="3" t="n">
        <x:v>8.7</x:v>
      </x:c>
      <x:c r="F139" s="3" t="n">
        <x:v>1</x:v>
      </x:c>
      <x:c r="G139" s="3" t="str"/>
      <x:c r="H139" s="3" t="n">
        <x:v>136</x:v>
      </x:c>
      <x:c r="I139" s="5" t="n">
        <x:f>ROUND(D139*Rules!$B$5+E139*Rules!$B$6,1)</x:f>
        <x:v>9</x:v>
      </x:c>
      <x:c r="J139" s="5" t="n">
        <x:f>IF(I139&gt;=Rules!$B$13,Rules!$C$13,IF(I139&gt;=Rules!$B$14,Rules!$C$14,IF(I139&gt;=Rules!$B$15,Rules!$C$15,IF(I139&gt;=Rules!$B$16,Rules!$C$16,Rules!$C$17))))</x:f>
        <x:v>4</x:v>
      </x:c>
      <x:c r="K139" s="5" t="n">
        <x:f>VLOOKUP(B139,Courses!$A$5:$D$14,3,FALSE)</x:f>
        <x:v>2</x:v>
      </x:c>
      <x:c r="L139" s="5" t="n">
        <x:f>J139*K139</x:f>
        <x:v>8</x:v>
      </x:c>
      <x:c r="M139" s="5" t="str">
        <x:f>VLOOKUP(A139,Students!$A$5:$H$45,5,FALSE)</x:f>
        <x:v>BA01</x:v>
      </x:c>
      <x:c r="N139" s="5" t="str">
        <x:f>'Sections'!E31</x:f>
        <x:v>T011</x:v>
      </x:c>
      <x:c r="O139" s="5" t="n">
        <x:f>IF(J139&gt;0,1,0)</x:f>
        <x:v>1</x:v>
      </x:c>
    </x:row>
    <x:row r="140" ht="21" customHeight="1">
      <x:c r="A140" s="3" t="str">
        <x:v>2202002</x:v>
      </x:c>
      <x:c r="B140" s="3" t="str">
        <x:v>GE102</x:v>
      </x:c>
      <x:c r="C140" s="3" t="str">
        <x:v>2024-1</x:v>
      </x:c>
      <x:c r="D140" s="3" t="n">
        <x:v>9.8</x:v>
      </x:c>
      <x:c r="E140" s="3" t="n">
        <x:v>8</x:v>
      </x:c>
      <x:c r="F140" s="3" t="n">
        <x:v>1</x:v>
      </x:c>
      <x:c r="G140" s="3" t="str"/>
      <x:c r="H140" s="3" t="n">
        <x:v>137</x:v>
      </x:c>
      <x:c r="I140" s="5" t="n">
        <x:f>ROUND(D140*Rules!$B$5+E140*Rules!$B$6,1)</x:f>
        <x:v>8.7</x:v>
      </x:c>
      <x:c r="J140" s="5" t="n">
        <x:f>IF(I140&gt;=Rules!$B$13,Rules!$C$13,IF(I140&gt;=Rules!$B$14,Rules!$C$14,IF(I140&gt;=Rules!$B$15,Rules!$C$15,IF(I140&gt;=Rules!$B$16,Rules!$C$16,Rules!$C$17))))</x:f>
        <x:v>4</x:v>
      </x:c>
      <x:c r="K140" s="5" t="n">
        <x:f>VLOOKUP(B140,Courses!$A$5:$D$14,3,FALSE)</x:f>
        <x:v>3</x:v>
      </x:c>
      <x:c r="L140" s="5" t="n">
        <x:f>J140*K140</x:f>
        <x:v>12</x:v>
      </x:c>
      <x:c r="M140" s="5" t="str">
        <x:f>VLOOKUP(A140,Students!$A$5:$H$45,5,FALSE)</x:f>
        <x:v>BA01</x:v>
      </x:c>
      <x:c r="N140" s="5" t="str">
        <x:f>'Sections'!E39</x:f>
        <x:v>T011</x:v>
      </x:c>
      <x:c r="O140" s="5" t="n">
        <x:f>IF(J140&gt;0,1,0)</x:f>
        <x:v>1</x:v>
      </x:c>
    </x:row>
    <x:row r="141" ht="21" customHeight="1">
      <x:c r="A141" s="3" t="str">
        <x:v>2202002</x:v>
      </x:c>
      <x:c r="B141" s="3" t="str">
        <x:v>BA101</x:v>
      </x:c>
      <x:c r="C141" s="3" t="str">
        <x:v>2024-1</x:v>
      </x:c>
      <x:c r="D141" s="3" t="n">
        <x:v>9</x:v>
      </x:c>
      <x:c r="E141" s="3" t="n">
        <x:v>8.5</x:v>
      </x:c>
      <x:c r="F141" s="3" t="n">
        <x:v>1</x:v>
      </x:c>
      <x:c r="G141" s="3" t="str"/>
      <x:c r="H141" s="3" t="n">
        <x:v>138</x:v>
      </x:c>
      <x:c r="I141" s="5" t="n">
        <x:f>ROUND(D141*Rules!$B$5+E141*Rules!$B$6,1)</x:f>
        <x:v>8.7</x:v>
      </x:c>
      <x:c r="J141" s="5" t="n">
        <x:f>IF(I141&gt;=Rules!$B$13,Rules!$C$13,IF(I141&gt;=Rules!$B$14,Rules!$C$14,IF(I141&gt;=Rules!$B$15,Rules!$C$15,IF(I141&gt;=Rules!$B$16,Rules!$C$16,Rules!$C$17))))</x:f>
        <x:v>4</x:v>
      </x:c>
      <x:c r="K141" s="5" t="n">
        <x:f>VLOOKUP(B141,Courses!$A$5:$D$14,3,FALSE)</x:f>
        <x:v>3</x:v>
      </x:c>
      <x:c r="L141" s="5" t="n">
        <x:f>J141*K141</x:f>
        <x:v>12</x:v>
      </x:c>
      <x:c r="M141" s="5" t="str">
        <x:f>VLOOKUP(A141,Students!$A$5:$H$45,5,FALSE)</x:f>
        <x:v>BA01</x:v>
      </x:c>
      <x:c r="N141" s="5" t="str">
        <x:f>'Sections'!E5</x:f>
        <x:v>T011</x:v>
      </x:c>
      <x:c r="O141" s="5" t="n">
        <x:f>IF(J141&gt;0,1,0)</x:f>
        <x:v>1</x:v>
      </x:c>
    </x:row>
    <x:row r="142" ht="21" customHeight="1">
      <x:c r="A142" s="3" t="str">
        <x:v>2202002</x:v>
      </x:c>
      <x:c r="B142" s="3" t="str">
        <x:v>BA102</x:v>
      </x:c>
      <x:c r="C142" s="3" t="str">
        <x:v>2024-2</x:v>
      </x:c>
      <x:c r="D142" s="3" t="n">
        <x:v>9.9</x:v>
      </x:c>
      <x:c r="E142" s="3" t="n">
        <x:v>9.9</x:v>
      </x:c>
      <x:c r="F142" s="3" t="n">
        <x:v>1</x:v>
      </x:c>
      <x:c r="G142" s="3" t="str"/>
      <x:c r="H142" s="3" t="n">
        <x:v>139</x:v>
      </x:c>
      <x:c r="I142" s="5" t="n">
        <x:f>ROUND(D142*Rules!$B$5+E142*Rules!$B$6,1)</x:f>
        <x:v>9.9</x:v>
      </x:c>
      <x:c r="J142" s="5" t="n">
        <x:f>IF(I142&gt;=Rules!$B$13,Rules!$C$13,IF(I142&gt;=Rules!$B$14,Rules!$C$14,IF(I142&gt;=Rules!$B$15,Rules!$C$15,IF(I142&gt;=Rules!$B$16,Rules!$C$16,Rules!$C$17))))</x:f>
        <x:v>4</x:v>
      </x:c>
      <x:c r="K142" s="5" t="n">
        <x:f>VLOOKUP(B142,Courses!$A$5:$D$14,3,FALSE)</x:f>
        <x:v>3</x:v>
      </x:c>
      <x:c r="L142" s="5" t="n">
        <x:f>J142*K142</x:f>
        <x:v>12</x:v>
      </x:c>
      <x:c r="M142" s="5" t="str">
        <x:f>VLOOKUP(A142,Students!$A$5:$H$45,5,FALSE)</x:f>
        <x:v>BA01</x:v>
      </x:c>
      <x:c r="N142" s="5" t="str">
        <x:f>'Sections'!E9</x:f>
        <x:v>T011</x:v>
      </x:c>
      <x:c r="O142" s="5" t="n">
        <x:f>IF(J142&gt;0,1,0)</x:f>
        <x:v>1</x:v>
      </x:c>
    </x:row>
    <x:row r="143" ht="21" customHeight="1">
      <x:c r="A143" s="3" t="str">
        <x:v>2202002</x:v>
      </x:c>
      <x:c r="B143" s="3" t="str">
        <x:v>BA201</x:v>
      </x:c>
      <x:c r="C143" s="3" t="str">
        <x:v>2024-2</x:v>
      </x:c>
      <x:c r="D143" s="3" t="n">
        <x:v>10</x:v>
      </x:c>
      <x:c r="E143" s="3" t="n">
        <x:v>10</x:v>
      </x:c>
      <x:c r="F143" s="3" t="n">
        <x:v>1</x:v>
      </x:c>
      <x:c r="G143" s="3" t="str"/>
      <x:c r="H143" s="3" t="n">
        <x:v>140</x:v>
      </x:c>
      <x:c r="I143" s="5" t="n">
        <x:f>ROUND(D143*Rules!$B$5+E143*Rules!$B$6,1)</x:f>
        <x:v>10</x:v>
      </x:c>
      <x:c r="J143" s="5" t="n">
        <x:f>IF(I143&gt;=Rules!$B$13,Rules!$C$13,IF(I143&gt;=Rules!$B$14,Rules!$C$14,IF(I143&gt;=Rules!$B$15,Rules!$C$15,IF(I143&gt;=Rules!$B$16,Rules!$C$16,Rules!$C$17))))</x:f>
        <x:v>4</x:v>
      </x:c>
      <x:c r="K143" s="5" t="n">
        <x:f>VLOOKUP(B143,Courses!$A$5:$D$14,3,FALSE)</x:f>
        <x:v>4</x:v>
      </x:c>
      <x:c r="L143" s="5" t="n">
        <x:f>J143*K143</x:f>
        <x:v>16</x:v>
      </x:c>
      <x:c r="M143" s="5" t="str">
        <x:f>VLOOKUP(A143,Students!$A$5:$H$45,5,FALSE)</x:f>
        <x:v>BA01</x:v>
      </x:c>
      <x:c r="N143" s="5" t="str">
        <x:f>'Sections'!E13</x:f>
        <x:v>T011</x:v>
      </x:c>
      <x:c r="O143" s="5" t="n">
        <x:f>IF(J143&gt;0,1,0)</x:f>
        <x:v>1</x:v>
      </x:c>
    </x:row>
    <x:row r="144" ht="21" customHeight="1">
      <x:c r="A144" s="3" t="str">
        <x:v>2202002</x:v>
      </x:c>
      <x:c r="B144" s="3" t="str">
        <x:v>BA202</x:v>
      </x:c>
      <x:c r="C144" s="3" t="str">
        <x:v>2025-1</x:v>
      </x:c>
      <x:c r="D144" s="3" t="n">
        <x:v>9.7</x:v>
      </x:c>
      <x:c r="E144" s="3" t="n">
        <x:v>10</x:v>
      </x:c>
      <x:c r="F144" s="3" t="n">
        <x:v>1</x:v>
      </x:c>
      <x:c r="G144" s="3" t="str"/>
      <x:c r="H144" s="3" t="n">
        <x:v>141</x:v>
      </x:c>
      <x:c r="I144" s="5" t="n">
        <x:f>ROUND(D144*Rules!$B$5+E144*Rules!$B$6,1)</x:f>
        <x:v>9.9</x:v>
      </x:c>
      <x:c r="J144" s="5" t="n">
        <x:f>IF(I144&gt;=Rules!$B$13,Rules!$C$13,IF(I144&gt;=Rules!$B$14,Rules!$C$14,IF(I144&gt;=Rules!$B$15,Rules!$C$15,IF(I144&gt;=Rules!$B$16,Rules!$C$16,Rules!$C$17))))</x:f>
        <x:v>4</x:v>
      </x:c>
      <x:c r="K144" s="5" t="n">
        <x:f>VLOOKUP(B144,Courses!$A$5:$D$14,3,FALSE)</x:f>
        <x:v>3</x:v>
      </x:c>
      <x:c r="L144" s="5" t="n">
        <x:f>J144*K144</x:f>
        <x:v>12</x:v>
      </x:c>
      <x:c r="M144" s="5" t="str">
        <x:f>VLOOKUP(A144,Students!$A$5:$H$45,5,FALSE)</x:f>
        <x:v>BA01</x:v>
      </x:c>
      <x:c r="N144" s="5" t="str">
        <x:f>'Sections'!E16</x:f>
        <x:v>T012</x:v>
      </x:c>
      <x:c r="O144" s="5" t="n">
        <x:f>IF(J144&gt;0,1,0)</x:f>
        <x:v>1</x:v>
      </x:c>
    </x:row>
    <x:row r="145" ht="21" customHeight="1">
      <x:c r="A145" s="3" t="str">
        <x:v>2202003</x:v>
      </x:c>
      <x:c r="B145" s="3" t="str">
        <x:v>GE101</x:v>
      </x:c>
      <x:c r="C145" s="3" t="str">
        <x:v>2024-1</x:v>
      </x:c>
      <x:c r="D145" s="3" t="n">
        <x:v>8.2</x:v>
      </x:c>
      <x:c r="E145" s="3" t="n">
        <x:v>8.1</x:v>
      </x:c>
      <x:c r="F145" s="3" t="n">
        <x:v>1</x:v>
      </x:c>
      <x:c r="G145" s="3" t="str"/>
      <x:c r="H145" s="3" t="n">
        <x:v>142</x:v>
      </x:c>
      <x:c r="I145" s="5" t="n">
        <x:f>ROUND(D145*Rules!$B$5+E145*Rules!$B$6,1)</x:f>
        <x:v>8.1</x:v>
      </x:c>
      <x:c r="J145" s="5" t="n">
        <x:f>IF(I145&gt;=Rules!$B$13,Rules!$C$13,IF(I145&gt;=Rules!$B$14,Rules!$C$14,IF(I145&gt;=Rules!$B$15,Rules!$C$15,IF(I145&gt;=Rules!$B$16,Rules!$C$16,Rules!$C$17))))</x:f>
        <x:v>3</x:v>
      </x:c>
      <x:c r="K145" s="5" t="n">
        <x:f>VLOOKUP(B145,Courses!$A$5:$D$14,3,FALSE)</x:f>
        <x:v>2</x:v>
      </x:c>
      <x:c r="L145" s="5" t="n">
        <x:f>J145*K145</x:f>
        <x:v>6</x:v>
      </x:c>
      <x:c r="M145" s="5" t="str">
        <x:f>VLOOKUP(A145,Students!$A$5:$H$45,5,FALSE)</x:f>
        <x:v>BA01</x:v>
      </x:c>
      <x:c r="N145" s="5" t="str">
        <x:f>'Sections'!E31</x:f>
        <x:v>T011</x:v>
      </x:c>
      <x:c r="O145" s="5" t="n">
        <x:f>IF(J145&gt;0,1,0)</x:f>
        <x:v>1</x:v>
      </x:c>
    </x:row>
    <x:row r="146" ht="21" customHeight="1">
      <x:c r="A146" s="3" t="str">
        <x:v>2202003</x:v>
      </x:c>
      <x:c r="B146" s="3" t="str">
        <x:v>GE102</x:v>
      </x:c>
      <x:c r="C146" s="3" t="str">
        <x:v>2024-1</x:v>
      </x:c>
      <x:c r="D146" s="3" t="n">
        <x:v>7.1</x:v>
      </x:c>
      <x:c r="E146" s="3" t="n">
        <x:v>6.6</x:v>
      </x:c>
      <x:c r="F146" s="3" t="n">
        <x:v>1</x:v>
      </x:c>
      <x:c r="G146" s="3" t="str"/>
      <x:c r="H146" s="3" t="n">
        <x:v>143</x:v>
      </x:c>
      <x:c r="I146" s="5" t="n">
        <x:f>ROUND(D146*Rules!$B$5+E146*Rules!$B$6,1)</x:f>
        <x:v>6.8</x:v>
      </x:c>
      <x:c r="J146" s="5" t="n">
        <x:f>IF(I146&gt;=Rules!$B$13,Rules!$C$13,IF(I146&gt;=Rules!$B$14,Rules!$C$14,IF(I146&gt;=Rules!$B$15,Rules!$C$15,IF(I146&gt;=Rules!$B$16,Rules!$C$16,Rules!$C$17))))</x:f>
        <x:v>2</x:v>
      </x:c>
      <x:c r="K146" s="5" t="n">
        <x:f>VLOOKUP(B146,Courses!$A$5:$D$14,3,FALSE)</x:f>
        <x:v>3</x:v>
      </x:c>
      <x:c r="L146" s="5" t="n">
        <x:f>J146*K146</x:f>
        <x:v>6</x:v>
      </x:c>
      <x:c r="M146" s="5" t="str">
        <x:f>VLOOKUP(A146,Students!$A$5:$H$45,5,FALSE)</x:f>
        <x:v>BA01</x:v>
      </x:c>
      <x:c r="N146" s="5" t="str">
        <x:f>'Sections'!E39</x:f>
        <x:v>T011</x:v>
      </x:c>
      <x:c r="O146" s="5" t="n">
        <x:f>IF(J146&gt;0,1,0)</x:f>
        <x:v>1</x:v>
      </x:c>
    </x:row>
    <x:row r="147" ht="21" customHeight="1">
      <x:c r="A147" s="3" t="str">
        <x:v>2202003</x:v>
      </x:c>
      <x:c r="B147" s="3" t="str">
        <x:v>BA101</x:v>
      </x:c>
      <x:c r="C147" s="3" t="str">
        <x:v>2024-1</x:v>
      </x:c>
      <x:c r="D147" s="3" t="n">
        <x:v>8.7</x:v>
      </x:c>
      <x:c r="E147" s="3" t="n">
        <x:v>7.5</x:v>
      </x:c>
      <x:c r="F147" s="3" t="n">
        <x:v>1</x:v>
      </x:c>
      <x:c r="G147" s="3" t="str"/>
      <x:c r="H147" s="3" t="n">
        <x:v>144</x:v>
      </x:c>
      <x:c r="I147" s="5" t="n">
        <x:f>ROUND(D147*Rules!$B$5+E147*Rules!$B$6,1)</x:f>
        <x:v>8</x:v>
      </x:c>
      <x:c r="J147" s="5" t="n">
        <x:f>IF(I147&gt;=Rules!$B$13,Rules!$C$13,IF(I147&gt;=Rules!$B$14,Rules!$C$14,IF(I147&gt;=Rules!$B$15,Rules!$C$15,IF(I147&gt;=Rules!$B$16,Rules!$C$16,Rules!$C$17))))</x:f>
        <x:v>3</x:v>
      </x:c>
      <x:c r="K147" s="5" t="n">
        <x:f>VLOOKUP(B147,Courses!$A$5:$D$14,3,FALSE)</x:f>
        <x:v>3</x:v>
      </x:c>
      <x:c r="L147" s="5" t="n">
        <x:f>J147*K147</x:f>
        <x:v>9</x:v>
      </x:c>
      <x:c r="M147" s="5" t="str">
        <x:f>VLOOKUP(A147,Students!$A$5:$H$45,5,FALSE)</x:f>
        <x:v>BA01</x:v>
      </x:c>
      <x:c r="N147" s="5" t="str">
        <x:f>'Sections'!E5</x:f>
        <x:v>T011</x:v>
      </x:c>
      <x:c r="O147" s="5" t="n">
        <x:f>IF(J147&gt;0,1,0)</x:f>
        <x:v>1</x:v>
      </x:c>
    </x:row>
    <x:row r="148" ht="21" customHeight="1">
      <x:c r="A148" s="3" t="str">
        <x:v>2202003</x:v>
      </x:c>
      <x:c r="B148" s="3" t="str">
        <x:v>BA102</x:v>
      </x:c>
      <x:c r="C148" s="3" t="str">
        <x:v>2024-2</x:v>
      </x:c>
      <x:c r="D148" s="3" t="n">
        <x:v>7.7</x:v>
      </x:c>
      <x:c r="E148" s="3" t="n">
        <x:v>8</x:v>
      </x:c>
      <x:c r="F148" s="3" t="n">
        <x:v>1</x:v>
      </x:c>
      <x:c r="G148" s="3" t="str"/>
      <x:c r="H148" s="3" t="n">
        <x:v>145</x:v>
      </x:c>
      <x:c r="I148" s="5" t="n">
        <x:f>ROUND(D148*Rules!$B$5+E148*Rules!$B$6,1)</x:f>
        <x:v>7.9</x:v>
      </x:c>
      <x:c r="J148" s="5" t="n">
        <x:f>IF(I148&gt;=Rules!$B$13,Rules!$C$13,IF(I148&gt;=Rules!$B$14,Rules!$C$14,IF(I148&gt;=Rules!$B$15,Rules!$C$15,IF(I148&gt;=Rules!$B$16,Rules!$C$16,Rules!$C$17))))</x:f>
        <x:v>3</x:v>
      </x:c>
      <x:c r="K148" s="5" t="n">
        <x:f>VLOOKUP(B148,Courses!$A$5:$D$14,3,FALSE)</x:f>
        <x:v>3</x:v>
      </x:c>
      <x:c r="L148" s="5" t="n">
        <x:f>J148*K148</x:f>
        <x:v>9</x:v>
      </x:c>
      <x:c r="M148" s="5" t="str">
        <x:f>VLOOKUP(A148,Students!$A$5:$H$45,5,FALSE)</x:f>
        <x:v>BA01</x:v>
      </x:c>
      <x:c r="N148" s="5" t="str">
        <x:f>'Sections'!E9</x:f>
        <x:v>T011</x:v>
      </x:c>
      <x:c r="O148" s="5" t="n">
        <x:f>IF(J148&gt;0,1,0)</x:f>
        <x:v>1</x:v>
      </x:c>
    </x:row>
    <x:row r="149" ht="21" customHeight="1">
      <x:c r="A149" s="3" t="str">
        <x:v>2202003</x:v>
      </x:c>
      <x:c r="B149" s="3" t="str">
        <x:v>BA201</x:v>
      </x:c>
      <x:c r="C149" s="3" t="str">
        <x:v>2024-2</x:v>
      </x:c>
      <x:c r="D149" s="3" t="n">
        <x:v>8.5</x:v>
      </x:c>
      <x:c r="E149" s="3" t="n">
        <x:v>7.5</x:v>
      </x:c>
      <x:c r="F149" s="3" t="n">
        <x:v>1</x:v>
      </x:c>
      <x:c r="G149" s="3" t="str"/>
      <x:c r="H149" s="3" t="n">
        <x:v>146</x:v>
      </x:c>
      <x:c r="I149" s="5" t="n">
        <x:f>ROUND(D149*Rules!$B$5+E149*Rules!$B$6,1)</x:f>
        <x:v>7.9</x:v>
      </x:c>
      <x:c r="J149" s="5" t="n">
        <x:f>IF(I149&gt;=Rules!$B$13,Rules!$C$13,IF(I149&gt;=Rules!$B$14,Rules!$C$14,IF(I149&gt;=Rules!$B$15,Rules!$C$15,IF(I149&gt;=Rules!$B$16,Rules!$C$16,Rules!$C$17))))</x:f>
        <x:v>3</x:v>
      </x:c>
      <x:c r="K149" s="5" t="n">
        <x:f>VLOOKUP(B149,Courses!$A$5:$D$14,3,FALSE)</x:f>
        <x:v>4</x:v>
      </x:c>
      <x:c r="L149" s="5" t="n">
        <x:f>J149*K149</x:f>
        <x:v>12</x:v>
      </x:c>
      <x:c r="M149" s="5" t="str">
        <x:f>VLOOKUP(A149,Students!$A$5:$H$45,5,FALSE)</x:f>
        <x:v>BA01</x:v>
      </x:c>
      <x:c r="N149" s="5" t="str">
        <x:f>'Sections'!E13</x:f>
        <x:v>T011</x:v>
      </x:c>
      <x:c r="O149" s="5" t="n">
        <x:f>IF(J149&gt;0,1,0)</x:f>
        <x:v>1</x:v>
      </x:c>
    </x:row>
    <x:row r="150" ht="21" customHeight="1">
      <x:c r="A150" s="3" t="str">
        <x:v>2202003</x:v>
      </x:c>
      <x:c r="B150" s="3" t="str">
        <x:v>BA202</x:v>
      </x:c>
      <x:c r="C150" s="3" t="str">
        <x:v>2025-1</x:v>
      </x:c>
      <x:c r="D150" s="3" t="n">
        <x:v>8.3</x:v>
      </x:c>
      <x:c r="E150" s="3" t="n">
        <x:v>8.8</x:v>
      </x:c>
      <x:c r="F150" s="3" t="n">
        <x:v>1</x:v>
      </x:c>
      <x:c r="G150" s="3" t="str"/>
      <x:c r="H150" s="3" t="n">
        <x:v>147</x:v>
      </x:c>
      <x:c r="I150" s="5" t="n">
        <x:f>ROUND(D150*Rules!$B$5+E150*Rules!$B$6,1)</x:f>
        <x:v>8.6</x:v>
      </x:c>
      <x:c r="J150" s="5" t="n">
        <x:f>IF(I150&gt;=Rules!$B$13,Rules!$C$13,IF(I150&gt;=Rules!$B$14,Rules!$C$14,IF(I150&gt;=Rules!$B$15,Rules!$C$15,IF(I150&gt;=Rules!$B$16,Rules!$C$16,Rules!$C$17))))</x:f>
        <x:v>4</x:v>
      </x:c>
      <x:c r="K150" s="5" t="n">
        <x:f>VLOOKUP(B150,Courses!$A$5:$D$14,3,FALSE)</x:f>
        <x:v>3</x:v>
      </x:c>
      <x:c r="L150" s="5" t="n">
        <x:f>J150*K150</x:f>
        <x:v>12</x:v>
      </x:c>
      <x:c r="M150" s="5" t="str">
        <x:f>VLOOKUP(A150,Students!$A$5:$H$45,5,FALSE)</x:f>
        <x:v>BA01</x:v>
      </x:c>
      <x:c r="N150" s="5" t="str">
        <x:f>'Sections'!E16</x:f>
        <x:v>T012</x:v>
      </x:c>
      <x:c r="O150" s="5" t="n">
        <x:f>IF(J150&gt;0,1,0)</x:f>
        <x:v>1</x:v>
      </x:c>
    </x:row>
    <x:row r="151" ht="21" customHeight="1">
      <x:c r="A151" s="3" t="str">
        <x:v>2202004</x:v>
      </x:c>
      <x:c r="B151" s="3" t="str">
        <x:v>GE101</x:v>
      </x:c>
      <x:c r="C151" s="3" t="str">
        <x:v>2024-1</x:v>
      </x:c>
      <x:c r="D151" s="3" t="n">
        <x:v>6.6</x:v>
      </x:c>
      <x:c r="E151" s="3" t="n">
        <x:v>5.6</x:v>
      </x:c>
      <x:c r="F151" s="3" t="n">
        <x:v>1</x:v>
      </x:c>
      <x:c r="G151" s="3" t="str"/>
      <x:c r="H151" s="3" t="n">
        <x:v>148</x:v>
      </x:c>
      <x:c r="I151" s="5" t="n">
        <x:f>ROUND(D151*Rules!$B$5+E151*Rules!$B$6,1)</x:f>
        <x:v>6</x:v>
      </x:c>
      <x:c r="J151" s="5" t="n">
        <x:f>IF(I151&gt;=Rules!$B$13,Rules!$C$13,IF(I151&gt;=Rules!$B$14,Rules!$C$14,IF(I151&gt;=Rules!$B$15,Rules!$C$15,IF(I151&gt;=Rules!$B$16,Rules!$C$16,Rules!$C$17))))</x:f>
        <x:v>2</x:v>
      </x:c>
      <x:c r="K151" s="5" t="n">
        <x:f>VLOOKUP(B151,Courses!$A$5:$D$14,3,FALSE)</x:f>
        <x:v>2</x:v>
      </x:c>
      <x:c r="L151" s="5" t="n">
        <x:f>J151*K151</x:f>
        <x:v>4</x:v>
      </x:c>
      <x:c r="M151" s="5" t="str">
        <x:f>VLOOKUP(A151,Students!$A$5:$H$45,5,FALSE)</x:f>
        <x:v>BA01</x:v>
      </x:c>
      <x:c r="N151" s="5" t="str">
        <x:f>'Sections'!E31</x:f>
        <x:v>T011</x:v>
      </x:c>
      <x:c r="O151" s="5" t="n">
        <x:f>IF(J151&gt;0,1,0)</x:f>
        <x:v>1</x:v>
      </x:c>
    </x:row>
    <x:row r="152" ht="21" customHeight="1">
      <x:c r="A152" s="3" t="str">
        <x:v>2202004</x:v>
      </x:c>
      <x:c r="B152" s="3" t="str">
        <x:v>GE102</x:v>
      </x:c>
      <x:c r="C152" s="3" t="str">
        <x:v>2024-1</x:v>
      </x:c>
      <x:c r="D152" s="3" t="n">
        <x:v>6</x:v>
      </x:c>
      <x:c r="E152" s="3" t="n">
        <x:v>5.6</x:v>
      </x:c>
      <x:c r="F152" s="3" t="n">
        <x:v>1</x:v>
      </x:c>
      <x:c r="G152" s="3" t="str"/>
      <x:c r="H152" s="3" t="n">
        <x:v>149</x:v>
      </x:c>
      <x:c r="I152" s="5" t="n">
        <x:f>ROUND(D152*Rules!$B$5+E152*Rules!$B$6,1)</x:f>
        <x:v>5.8</x:v>
      </x:c>
      <x:c r="J152" s="5" t="n">
        <x:f>IF(I152&gt;=Rules!$B$13,Rules!$C$13,IF(I152&gt;=Rules!$B$14,Rules!$C$14,IF(I152&gt;=Rules!$B$15,Rules!$C$15,IF(I152&gt;=Rules!$B$16,Rules!$C$16,Rules!$C$17))))</x:f>
        <x:v>2</x:v>
      </x:c>
      <x:c r="K152" s="5" t="n">
        <x:f>VLOOKUP(B152,Courses!$A$5:$D$14,3,FALSE)</x:f>
        <x:v>3</x:v>
      </x:c>
      <x:c r="L152" s="5" t="n">
        <x:f>J152*K152</x:f>
        <x:v>6</x:v>
      </x:c>
      <x:c r="M152" s="5" t="str">
        <x:f>VLOOKUP(A152,Students!$A$5:$H$45,5,FALSE)</x:f>
        <x:v>BA01</x:v>
      </x:c>
      <x:c r="N152" s="5" t="str">
        <x:f>'Sections'!E39</x:f>
        <x:v>T011</x:v>
      </x:c>
      <x:c r="O152" s="5" t="n">
        <x:f>IF(J152&gt;0,1,0)</x:f>
        <x:v>1</x:v>
      </x:c>
    </x:row>
    <x:row r="153" ht="21" customHeight="1">
      <x:c r="A153" s="3" t="str">
        <x:v>2202004</x:v>
      </x:c>
      <x:c r="B153" s="3" t="str">
        <x:v>BA101</x:v>
      </x:c>
      <x:c r="C153" s="3" t="str">
        <x:v>2024-1</x:v>
      </x:c>
      <x:c r="D153" s="3" t="n">
        <x:v>7.5</x:v>
      </x:c>
      <x:c r="E153" s="3" t="n">
        <x:v>5.8</x:v>
      </x:c>
      <x:c r="F153" s="3" t="n">
        <x:v>1</x:v>
      </x:c>
      <x:c r="G153" s="3" t="str"/>
      <x:c r="H153" s="3" t="n">
        <x:v>150</x:v>
      </x:c>
      <x:c r="I153" s="5" t="n">
        <x:f>ROUND(D153*Rules!$B$5+E153*Rules!$B$6,1)</x:f>
        <x:v>6.5</x:v>
      </x:c>
      <x:c r="J153" s="5" t="n">
        <x:f>IF(I153&gt;=Rules!$B$13,Rules!$C$13,IF(I153&gt;=Rules!$B$14,Rules!$C$14,IF(I153&gt;=Rules!$B$15,Rules!$C$15,IF(I153&gt;=Rules!$B$16,Rules!$C$16,Rules!$C$17))))</x:f>
        <x:v>2</x:v>
      </x:c>
      <x:c r="K153" s="5" t="n">
        <x:f>VLOOKUP(B153,Courses!$A$5:$D$14,3,FALSE)</x:f>
        <x:v>3</x:v>
      </x:c>
      <x:c r="L153" s="5" t="n">
        <x:f>J153*K153</x:f>
        <x:v>6</x:v>
      </x:c>
      <x:c r="M153" s="5" t="str">
        <x:f>VLOOKUP(A153,Students!$A$5:$H$45,5,FALSE)</x:f>
        <x:v>BA01</x:v>
      </x:c>
      <x:c r="N153" s="5" t="str">
        <x:f>'Sections'!E5</x:f>
        <x:v>T011</x:v>
      </x:c>
      <x:c r="O153" s="5" t="n">
        <x:f>IF(J153&gt;0,1,0)</x:f>
        <x:v>1</x:v>
      </x:c>
    </x:row>
    <x:row r="154" ht="21" customHeight="1">
      <x:c r="A154" s="3" t="str">
        <x:v>2202004</x:v>
      </x:c>
      <x:c r="B154" s="3" t="str">
        <x:v>BA102</x:v>
      </x:c>
      <x:c r="C154" s="3" t="str">
        <x:v>2024-2</x:v>
      </x:c>
      <x:c r="D154" s="3" t="n">
        <x:v>7.9</x:v>
      </x:c>
      <x:c r="E154" s="3" t="n">
        <x:v>6.1</x:v>
      </x:c>
      <x:c r="F154" s="3" t="n">
        <x:v>1</x:v>
      </x:c>
      <x:c r="G154" s="3" t="str"/>
      <x:c r="H154" s="3" t="n">
        <x:v>151</x:v>
      </x:c>
      <x:c r="I154" s="5" t="n">
        <x:f>ROUND(D154*Rules!$B$5+E154*Rules!$B$6,1)</x:f>
        <x:v>6.8</x:v>
      </x:c>
      <x:c r="J154" s="5" t="n">
        <x:f>IF(I154&gt;=Rules!$B$13,Rules!$C$13,IF(I154&gt;=Rules!$B$14,Rules!$C$14,IF(I154&gt;=Rules!$B$15,Rules!$C$15,IF(I154&gt;=Rules!$B$16,Rules!$C$16,Rules!$C$17))))</x:f>
        <x:v>2</x:v>
      </x:c>
      <x:c r="K154" s="5" t="n">
        <x:f>VLOOKUP(B154,Courses!$A$5:$D$14,3,FALSE)</x:f>
        <x:v>3</x:v>
      </x:c>
      <x:c r="L154" s="5" t="n">
        <x:f>J154*K154</x:f>
        <x:v>6</x:v>
      </x:c>
      <x:c r="M154" s="5" t="str">
        <x:f>VLOOKUP(A154,Students!$A$5:$H$45,5,FALSE)</x:f>
        <x:v>BA01</x:v>
      </x:c>
      <x:c r="N154" s="5" t="str">
        <x:f>'Sections'!E9</x:f>
        <x:v>T011</x:v>
      </x:c>
      <x:c r="O154" s="5" t="n">
        <x:f>IF(J154&gt;0,1,0)</x:f>
        <x:v>1</x:v>
      </x:c>
    </x:row>
    <x:row r="155" ht="21" customHeight="1">
      <x:c r="A155" s="3" t="str">
        <x:v>2202004</x:v>
      </x:c>
      <x:c r="B155" s="3" t="str">
        <x:v>BA201</x:v>
      </x:c>
      <x:c r="C155" s="3" t="str">
        <x:v>2024-2</x:v>
      </x:c>
      <x:c r="D155" s="3" t="n">
        <x:v>6.2</x:v>
      </x:c>
      <x:c r="E155" s="3" t="n">
        <x:v>5.5</x:v>
      </x:c>
      <x:c r="F155" s="3" t="n">
        <x:v>1</x:v>
      </x:c>
      <x:c r="G155" s="3" t="str"/>
      <x:c r="H155" s="3" t="n">
        <x:v>152</x:v>
      </x:c>
      <x:c r="I155" s="5" t="n">
        <x:f>ROUND(D155*Rules!$B$5+E155*Rules!$B$6,1)</x:f>
        <x:v>5.8</x:v>
      </x:c>
      <x:c r="J155" s="5" t="n">
        <x:f>IF(I155&gt;=Rules!$B$13,Rules!$C$13,IF(I155&gt;=Rules!$B$14,Rules!$C$14,IF(I155&gt;=Rules!$B$15,Rules!$C$15,IF(I155&gt;=Rules!$B$16,Rules!$C$16,Rules!$C$17))))</x:f>
        <x:v>2</x:v>
      </x:c>
      <x:c r="K155" s="5" t="n">
        <x:f>VLOOKUP(B155,Courses!$A$5:$D$14,3,FALSE)</x:f>
        <x:v>4</x:v>
      </x:c>
      <x:c r="L155" s="5" t="n">
        <x:f>J155*K155</x:f>
        <x:v>8</x:v>
      </x:c>
      <x:c r="M155" s="5" t="str">
        <x:f>VLOOKUP(A155,Students!$A$5:$H$45,5,FALSE)</x:f>
        <x:v>BA01</x:v>
      </x:c>
      <x:c r="N155" s="5" t="str">
        <x:f>'Sections'!E13</x:f>
        <x:v>T011</x:v>
      </x:c>
      <x:c r="O155" s="5" t="n">
        <x:f>IF(J155&gt;0,1,0)</x:f>
        <x:v>1</x:v>
      </x:c>
    </x:row>
    <x:row r="156" ht="21" customHeight="1">
      <x:c r="A156" s="3" t="str">
        <x:v>2202004</x:v>
      </x:c>
      <x:c r="B156" s="3" t="str">
        <x:v>BA202</x:v>
      </x:c>
      <x:c r="C156" s="3" t="str">
        <x:v>2025-1</x:v>
      </x:c>
      <x:c r="D156" s="3" t="n">
        <x:v>7.5</x:v>
      </x:c>
      <x:c r="E156" s="3" t="n">
        <x:v>7</x:v>
      </x:c>
      <x:c r="F156" s="3" t="n">
        <x:v>1</x:v>
      </x:c>
      <x:c r="G156" s="3" t="str"/>
      <x:c r="H156" s="3" t="n">
        <x:v>153</x:v>
      </x:c>
      <x:c r="I156" s="5" t="n">
        <x:f>ROUND(D156*Rules!$B$5+E156*Rules!$B$6,1)</x:f>
        <x:v>7.2</x:v>
      </x:c>
      <x:c r="J156" s="5" t="n">
        <x:f>IF(I156&gt;=Rules!$B$13,Rules!$C$13,IF(I156&gt;=Rules!$B$14,Rules!$C$14,IF(I156&gt;=Rules!$B$15,Rules!$C$15,IF(I156&gt;=Rules!$B$16,Rules!$C$16,Rules!$C$17))))</x:f>
        <x:v>3</x:v>
      </x:c>
      <x:c r="K156" s="5" t="n">
        <x:f>VLOOKUP(B156,Courses!$A$5:$D$14,3,FALSE)</x:f>
        <x:v>3</x:v>
      </x:c>
      <x:c r="L156" s="5" t="n">
        <x:f>J156*K156</x:f>
        <x:v>9</x:v>
      </x:c>
      <x:c r="M156" s="5" t="str">
        <x:f>VLOOKUP(A156,Students!$A$5:$H$45,5,FALSE)</x:f>
        <x:v>BA01</x:v>
      </x:c>
      <x:c r="N156" s="5" t="str">
        <x:f>'Sections'!E16</x:f>
        <x:v>T012</x:v>
      </x:c>
      <x:c r="O156" s="5" t="n">
        <x:f>IF(J156&gt;0,1,0)</x:f>
        <x:v>1</x:v>
      </x:c>
    </x:row>
    <x:row r="157" ht="21" customHeight="1">
      <x:c r="A157" s="3" t="str">
        <x:v>2202005</x:v>
      </x:c>
      <x:c r="B157" s="3" t="str">
        <x:v>GE101</x:v>
      </x:c>
      <x:c r="C157" s="3" t="str">
        <x:v>2024-1</x:v>
      </x:c>
      <x:c r="D157" s="3" t="n">
        <x:v>4.3</x:v>
      </x:c>
      <x:c r="E157" s="3" t="n">
        <x:v>5</x:v>
      </x:c>
      <x:c r="F157" s="3" t="n">
        <x:v>1</x:v>
      </x:c>
      <x:c r="G157" s="3" t="str"/>
      <x:c r="H157" s="3" t="n">
        <x:v>154</x:v>
      </x:c>
      <x:c r="I157" s="5" t="n">
        <x:f>ROUND(D157*Rules!$B$5+E157*Rules!$B$6,1)</x:f>
        <x:v>4.7</x:v>
      </x:c>
      <x:c r="J157" s="5" t="n">
        <x:f>IF(I157&gt;=Rules!$B$13,Rules!$C$13,IF(I157&gt;=Rules!$B$14,Rules!$C$14,IF(I157&gt;=Rules!$B$15,Rules!$C$15,IF(I157&gt;=Rules!$B$16,Rules!$C$16,Rules!$C$17))))</x:f>
        <x:v>1</x:v>
      </x:c>
      <x:c r="K157" s="5" t="n">
        <x:f>VLOOKUP(B157,Courses!$A$5:$D$14,3,FALSE)</x:f>
        <x:v>2</x:v>
      </x:c>
      <x:c r="L157" s="5" t="n">
        <x:f>J157*K157</x:f>
        <x:v>2</x:v>
      </x:c>
      <x:c r="M157" s="5" t="str">
        <x:f>VLOOKUP(A157,Students!$A$5:$H$45,5,FALSE)</x:f>
        <x:v>BA01</x:v>
      </x:c>
      <x:c r="N157" s="5" t="str">
        <x:f>'Sections'!E31</x:f>
        <x:v>T011</x:v>
      </x:c>
      <x:c r="O157" s="5" t="n">
        <x:f>IF(J157&gt;0,1,0)</x:f>
        <x:v>1</x:v>
      </x:c>
    </x:row>
    <x:row r="158" ht="21" customHeight="1">
      <x:c r="A158" s="3" t="str">
        <x:v>2202005</x:v>
      </x:c>
      <x:c r="B158" s="3" t="str">
        <x:v>GE102</x:v>
      </x:c>
      <x:c r="C158" s="3" t="str">
        <x:v>2024-1</x:v>
      </x:c>
      <x:c r="D158" s="3" t="n">
        <x:v>4.3</x:v>
      </x:c>
      <x:c r="E158" s="3" t="n">
        <x:v>4</x:v>
      </x:c>
      <x:c r="F158" s="3" t="n">
        <x:v>1</x:v>
      </x:c>
      <x:c r="G158" s="3" t="str"/>
      <x:c r="H158" s="3" t="n">
        <x:v>155</x:v>
      </x:c>
      <x:c r="I158" s="5" t="n">
        <x:f>ROUND(D158*Rules!$B$5+E158*Rules!$B$6,1)</x:f>
        <x:v>4.1</x:v>
      </x:c>
      <x:c r="J158" s="5" t="n">
        <x:f>IF(I158&gt;=Rules!$B$13,Rules!$C$13,IF(I158&gt;=Rules!$B$14,Rules!$C$14,IF(I158&gt;=Rules!$B$15,Rules!$C$15,IF(I158&gt;=Rules!$B$16,Rules!$C$16,Rules!$C$17))))</x:f>
        <x:v>1</x:v>
      </x:c>
      <x:c r="K158" s="5" t="n">
        <x:f>VLOOKUP(B158,Courses!$A$5:$D$14,3,FALSE)</x:f>
        <x:v>3</x:v>
      </x:c>
      <x:c r="L158" s="5" t="n">
        <x:f>J158*K158</x:f>
        <x:v>3</x:v>
      </x:c>
      <x:c r="M158" s="5" t="str">
        <x:f>VLOOKUP(A158,Students!$A$5:$H$45,5,FALSE)</x:f>
        <x:v>BA01</x:v>
      </x:c>
      <x:c r="N158" s="5" t="str">
        <x:f>'Sections'!E39</x:f>
        <x:v>T011</x:v>
      </x:c>
      <x:c r="O158" s="5" t="n">
        <x:f>IF(J158&gt;0,1,0)</x:f>
        <x:v>1</x:v>
      </x:c>
    </x:row>
    <x:row r="159" ht="21" customHeight="1">
      <x:c r="A159" s="3" t="str">
        <x:v>2202005</x:v>
      </x:c>
      <x:c r="B159" s="3" t="str">
        <x:v>BA101</x:v>
      </x:c>
      <x:c r="C159" s="3" t="str">
        <x:v>2024-1</x:v>
      </x:c>
      <x:c r="D159" s="3" t="n">
        <x:v>2.8</x:v>
      </x:c>
      <x:c r="E159" s="3" t="n">
        <x:v>2.6</x:v>
      </x:c>
      <x:c r="F159" s="3" t="n">
        <x:v>1</x:v>
      </x:c>
      <x:c r="G159" s="3" t="str"/>
      <x:c r="H159" s="3" t="n">
        <x:v>156</x:v>
      </x:c>
      <x:c r="I159" s="5" t="n">
        <x:f>ROUND(D159*Rules!$B$5+E159*Rules!$B$6,1)</x:f>
        <x:v>2.7</x:v>
      </x:c>
      <x:c r="J159" s="5" t="n">
        <x:f>IF(I159&gt;=Rules!$B$13,Rules!$C$13,IF(I159&gt;=Rules!$B$14,Rules!$C$14,IF(I159&gt;=Rules!$B$15,Rules!$C$15,IF(I159&gt;=Rules!$B$16,Rules!$C$16,Rules!$C$17))))</x:f>
        <x:v>0</x:v>
      </x:c>
      <x:c r="K159" s="5" t="n">
        <x:f>VLOOKUP(B159,Courses!$A$5:$D$14,3,FALSE)</x:f>
        <x:v>3</x:v>
      </x:c>
      <x:c r="L159" s="5" t="n">
        <x:f>J159*K159</x:f>
        <x:v>0</x:v>
      </x:c>
      <x:c r="M159" s="5" t="str">
        <x:f>VLOOKUP(A159,Students!$A$5:$H$45,5,FALSE)</x:f>
        <x:v>BA01</x:v>
      </x:c>
      <x:c r="N159" s="5" t="str">
        <x:f>'Sections'!E5</x:f>
        <x:v>T011</x:v>
      </x:c>
      <x:c r="O159" s="5" t="n">
        <x:f>IF(J159&gt;0,1,0)</x:f>
        <x:v>0</x:v>
      </x:c>
    </x:row>
    <x:row r="160" ht="21" customHeight="1">
      <x:c r="A160" s="3" t="str">
        <x:v>2202005</x:v>
      </x:c>
      <x:c r="B160" s="3" t="str">
        <x:v>BA102</x:v>
      </x:c>
      <x:c r="C160" s="3" t="str">
        <x:v>2024-2</x:v>
      </x:c>
      <x:c r="D160" s="3" t="n">
        <x:v>3</x:v>
      </x:c>
      <x:c r="E160" s="3" t="n">
        <x:v>4</x:v>
      </x:c>
      <x:c r="F160" s="3" t="n">
        <x:v>1</x:v>
      </x:c>
      <x:c r="G160" s="3" t="str"/>
      <x:c r="H160" s="3" t="n">
        <x:v>157</x:v>
      </x:c>
      <x:c r="I160" s="5" t="n">
        <x:f>ROUND(D160*Rules!$B$5+E160*Rules!$B$6,1)</x:f>
        <x:v>3.6</x:v>
      </x:c>
      <x:c r="J160" s="5" t="n">
        <x:f>IF(I160&gt;=Rules!$B$13,Rules!$C$13,IF(I160&gt;=Rules!$B$14,Rules!$C$14,IF(I160&gt;=Rules!$B$15,Rules!$C$15,IF(I160&gt;=Rules!$B$16,Rules!$C$16,Rules!$C$17))))</x:f>
        <x:v>0</x:v>
      </x:c>
      <x:c r="K160" s="5" t="n">
        <x:f>VLOOKUP(B160,Courses!$A$5:$D$14,3,FALSE)</x:f>
        <x:v>3</x:v>
      </x:c>
      <x:c r="L160" s="5" t="n">
        <x:f>J160*K160</x:f>
        <x:v>0</x:v>
      </x:c>
      <x:c r="M160" s="5" t="str">
        <x:f>VLOOKUP(A160,Students!$A$5:$H$45,5,FALSE)</x:f>
        <x:v>BA01</x:v>
      </x:c>
      <x:c r="N160" s="5" t="str">
        <x:f>'Sections'!E9</x:f>
        <x:v>T011</x:v>
      </x:c>
      <x:c r="O160" s="5" t="n">
        <x:f>IF(J160&gt;0,1,0)</x:f>
        <x:v>0</x:v>
      </x:c>
    </x:row>
    <x:row r="161" ht="21" customHeight="1">
      <x:c r="A161" s="3" t="str">
        <x:v>2202005</x:v>
      </x:c>
      <x:c r="B161" s="3" t="str">
        <x:v>BA201</x:v>
      </x:c>
      <x:c r="C161" s="3" t="str">
        <x:v>2024-2</x:v>
      </x:c>
      <x:c r="D161" s="3" t="n">
        <x:v>3.5</x:v>
      </x:c>
      <x:c r="E161" s="3" t="n">
        <x:v>4.5</x:v>
      </x:c>
      <x:c r="F161" s="3" t="n">
        <x:v>1</x:v>
      </x:c>
      <x:c r="G161" s="3" t="str"/>
      <x:c r="H161" s="3" t="n">
        <x:v>158</x:v>
      </x:c>
      <x:c r="I161" s="5" t="n">
        <x:f>ROUND(D161*Rules!$B$5+E161*Rules!$B$6,1)</x:f>
        <x:v>4.1</x:v>
      </x:c>
      <x:c r="J161" s="5" t="n">
        <x:f>IF(I161&gt;=Rules!$B$13,Rules!$C$13,IF(I161&gt;=Rules!$B$14,Rules!$C$14,IF(I161&gt;=Rules!$B$15,Rules!$C$15,IF(I161&gt;=Rules!$B$16,Rules!$C$16,Rules!$C$17))))</x:f>
        <x:v>1</x:v>
      </x:c>
      <x:c r="K161" s="5" t="n">
        <x:f>VLOOKUP(B161,Courses!$A$5:$D$14,3,FALSE)</x:f>
        <x:v>4</x:v>
      </x:c>
      <x:c r="L161" s="5" t="n">
        <x:f>J161*K161</x:f>
        <x:v>4</x:v>
      </x:c>
      <x:c r="M161" s="5" t="str">
        <x:f>VLOOKUP(A161,Students!$A$5:$H$45,5,FALSE)</x:f>
        <x:v>BA01</x:v>
      </x:c>
      <x:c r="N161" s="5" t="str">
        <x:f>'Sections'!E13</x:f>
        <x:v>T011</x:v>
      </x:c>
      <x:c r="O161" s="5" t="n">
        <x:f>IF(J161&gt;0,1,0)</x:f>
        <x:v>1</x:v>
      </x:c>
    </x:row>
    <x:row r="162" ht="21" customHeight="1">
      <x:c r="A162" s="3" t="str">
        <x:v>2202005</x:v>
      </x:c>
      <x:c r="B162" s="3" t="str">
        <x:v>BA202</x:v>
      </x:c>
      <x:c r="C162" s="3" t="str">
        <x:v>2025-1</x:v>
      </x:c>
      <x:c r="D162" s="3" t="n">
        <x:v>4.2</x:v>
      </x:c>
      <x:c r="E162" s="3" t="n">
        <x:v>1.3</x:v>
      </x:c>
      <x:c r="F162" s="3" t="n">
        <x:v>1</x:v>
      </x:c>
      <x:c r="G162" s="3" t="str"/>
      <x:c r="H162" s="3" t="n">
        <x:v>159</x:v>
      </x:c>
      <x:c r="I162" s="5" t="n">
        <x:f>ROUND(D162*Rules!$B$5+E162*Rules!$B$6,1)</x:f>
        <x:v>2.5</x:v>
      </x:c>
      <x:c r="J162" s="5" t="n">
        <x:f>IF(I162&gt;=Rules!$B$13,Rules!$C$13,IF(I162&gt;=Rules!$B$14,Rules!$C$14,IF(I162&gt;=Rules!$B$15,Rules!$C$15,IF(I162&gt;=Rules!$B$16,Rules!$C$16,Rules!$C$17))))</x:f>
        <x:v>0</x:v>
      </x:c>
      <x:c r="K162" s="5" t="n">
        <x:f>VLOOKUP(B162,Courses!$A$5:$D$14,3,FALSE)</x:f>
        <x:v>3</x:v>
      </x:c>
      <x:c r="L162" s="5" t="n">
        <x:f>J162*K162</x:f>
        <x:v>0</x:v>
      </x:c>
      <x:c r="M162" s="5" t="str">
        <x:f>VLOOKUP(A162,Students!$A$5:$H$45,5,FALSE)</x:f>
        <x:v>BA01</x:v>
      </x:c>
      <x:c r="N162" s="5" t="str">
        <x:f>'Sections'!E16</x:f>
        <x:v>T012</x:v>
      </x:c>
      <x:c r="O162" s="5" t="n">
        <x:f>IF(J162&gt;0,1,0)</x:f>
        <x:v>0</x:v>
      </x:c>
    </x:row>
    <x:row r="163" ht="21" customHeight="1">
      <x:c r="A163" s="3" t="str">
        <x:v>2202005</x:v>
      </x:c>
      <x:c r="B163" s="3" t="str">
        <x:v>BA101</x:v>
      </x:c>
      <x:c r="C163" s="3" t="str">
        <x:v>2025-1</x:v>
      </x:c>
      <x:c r="D163" s="3" t="n">
        <x:v>7</x:v>
      </x:c>
      <x:c r="E163" s="3" t="n">
        <x:v>5.7</x:v>
      </x:c>
      <x:c r="F163" s="3" t="n">
        <x:v>1</x:v>
      </x:c>
      <x:c r="G163" s="3" t="str"/>
      <x:c r="H163" s="3" t="n">
        <x:v>160</x:v>
      </x:c>
      <x:c r="I163" s="5" t="n">
        <x:f>ROUND(D163*Rules!$B$5+E163*Rules!$B$6,1)</x:f>
        <x:v>6.2</x:v>
      </x:c>
      <x:c r="J163" s="5" t="n">
        <x:f>IF(I163&gt;=Rules!$B$13,Rules!$C$13,IF(I163&gt;=Rules!$B$14,Rules!$C$14,IF(I163&gt;=Rules!$B$15,Rules!$C$15,IF(I163&gt;=Rules!$B$16,Rules!$C$16,Rules!$C$17))))</x:f>
        <x:v>2</x:v>
      </x:c>
      <x:c r="K163" s="5" t="n">
        <x:f>VLOOKUP(B163,Courses!$A$5:$D$14,3,FALSE)</x:f>
        <x:v>3</x:v>
      </x:c>
      <x:c r="L163" s="5" t="n">
        <x:f>J163*K163</x:f>
        <x:v>6</x:v>
      </x:c>
      <x:c r="M163" s="5" t="str">
        <x:f>VLOOKUP(A163,Students!$A$5:$H$45,5,FALSE)</x:f>
        <x:v>BA01</x:v>
      </x:c>
      <x:c r="N163" s="5" t="str">
        <x:f>'Sections'!E7</x:f>
        <x:v>T011</x:v>
      </x:c>
      <x:c r="O163" s="5" t="n">
        <x:f>IF(J163&gt;0,1,0)</x:f>
        <x:v>1</x:v>
      </x:c>
    </x:row>
    <x:row r="164" ht="21" customHeight="1">
      <x:c r="A164" s="3" t="str">
        <x:v>2202005</x:v>
      </x:c>
      <x:c r="B164" s="3" t="str">
        <x:v>BA102</x:v>
      </x:c>
      <x:c r="C164" s="3" t="str">
        <x:v>2025-1</x:v>
      </x:c>
      <x:c r="D164" s="3" t="n">
        <x:v>7.9</x:v>
      </x:c>
      <x:c r="E164" s="3" t="n">
        <x:v>7.3</x:v>
      </x:c>
      <x:c r="F164" s="3" t="n">
        <x:v>1</x:v>
      </x:c>
      <x:c r="G164" s="3" t="str"/>
      <x:c r="H164" s="3" t="n">
        <x:v>161</x:v>
      </x:c>
      <x:c r="I164" s="5" t="n">
        <x:f>ROUND(D164*Rules!$B$5+E164*Rules!$B$6,1)</x:f>
        <x:v>7.5</x:v>
      </x:c>
      <x:c r="J164" s="5" t="n">
        <x:f>IF(I164&gt;=Rules!$B$13,Rules!$C$13,IF(I164&gt;=Rules!$B$14,Rules!$C$14,IF(I164&gt;=Rules!$B$15,Rules!$C$15,IF(I164&gt;=Rules!$B$16,Rules!$C$16,Rules!$C$17))))</x:f>
        <x:v>3</x:v>
      </x:c>
      <x:c r="K164" s="5" t="n">
        <x:f>VLOOKUP(B164,Courses!$A$5:$D$14,3,FALSE)</x:f>
        <x:v>3</x:v>
      </x:c>
      <x:c r="L164" s="5" t="n">
        <x:f>J164*K164</x:f>
        <x:v>9</x:v>
      </x:c>
      <x:c r="M164" s="5" t="str">
        <x:f>VLOOKUP(A164,Students!$A$5:$H$45,5,FALSE)</x:f>
        <x:v>BA01</x:v>
      </x:c>
      <x:c r="N164" s="5" t="str">
        <x:f>'Sections'!E11</x:f>
        <x:v>T011</x:v>
      </x:c>
      <x:c r="O164" s="5" t="n">
        <x:f>IF(J164&gt;0,1,0)</x:f>
        <x:v>1</x:v>
      </x:c>
    </x:row>
    <x:row r="165" ht="21" customHeight="1">
      <x:c r="A165" s="3" t="str">
        <x:v>2202006</x:v>
      </x:c>
      <x:c r="B165" s="3" t="str">
        <x:v>GE101</x:v>
      </x:c>
      <x:c r="C165" s="3" t="str">
        <x:v>2024-1</x:v>
      </x:c>
      <x:c r="D165" s="3" t="n">
        <x:v>9.7</x:v>
      </x:c>
      <x:c r="E165" s="3" t="n">
        <x:v>10</x:v>
      </x:c>
      <x:c r="F165" s="3" t="n">
        <x:v>1</x:v>
      </x:c>
      <x:c r="G165" s="3" t="str"/>
      <x:c r="H165" s="3" t="n">
        <x:v>162</x:v>
      </x:c>
      <x:c r="I165" s="5" t="n">
        <x:f>ROUND(D165*Rules!$B$5+E165*Rules!$B$6,1)</x:f>
        <x:v>9.9</x:v>
      </x:c>
      <x:c r="J165" s="5" t="n">
        <x:f>IF(I165&gt;=Rules!$B$13,Rules!$C$13,IF(I165&gt;=Rules!$B$14,Rules!$C$14,IF(I165&gt;=Rules!$B$15,Rules!$C$15,IF(I165&gt;=Rules!$B$16,Rules!$C$16,Rules!$C$17))))</x:f>
        <x:v>4</x:v>
      </x:c>
      <x:c r="K165" s="5" t="n">
        <x:f>VLOOKUP(B165,Courses!$A$5:$D$14,3,FALSE)</x:f>
        <x:v>2</x:v>
      </x:c>
      <x:c r="L165" s="5" t="n">
        <x:f>J165*K165</x:f>
        <x:v>8</x:v>
      </x:c>
      <x:c r="M165" s="5" t="str">
        <x:f>VLOOKUP(A165,Students!$A$5:$H$45,5,FALSE)</x:f>
        <x:v>BA01</x:v>
      </x:c>
      <x:c r="N165" s="5" t="str">
        <x:f>'Sections'!E31</x:f>
        <x:v>T011</x:v>
      </x:c>
      <x:c r="O165" s="5" t="n">
        <x:f>IF(J165&gt;0,1,0)</x:f>
        <x:v>1</x:v>
      </x:c>
    </x:row>
    <x:row r="166" ht="21" customHeight="1">
      <x:c r="A166" s="3" t="str">
        <x:v>2202006</x:v>
      </x:c>
      <x:c r="B166" s="3" t="str">
        <x:v>GE102</x:v>
      </x:c>
      <x:c r="C166" s="3" t="str">
        <x:v>2024-1</x:v>
      </x:c>
      <x:c r="D166" s="3" t="n">
        <x:v>9.6</x:v>
      </x:c>
      <x:c r="E166" s="3" t="n">
        <x:v>10</x:v>
      </x:c>
      <x:c r="F166" s="3" t="n">
        <x:v>1</x:v>
      </x:c>
      <x:c r="G166" s="3" t="str"/>
      <x:c r="H166" s="3" t="n">
        <x:v>163</x:v>
      </x:c>
      <x:c r="I166" s="5" t="n">
        <x:f>ROUND(D166*Rules!$B$5+E166*Rules!$B$6,1)</x:f>
        <x:v>9.8</x:v>
      </x:c>
      <x:c r="J166" s="5" t="n">
        <x:f>IF(I166&gt;=Rules!$B$13,Rules!$C$13,IF(I166&gt;=Rules!$B$14,Rules!$C$14,IF(I166&gt;=Rules!$B$15,Rules!$C$15,IF(I166&gt;=Rules!$B$16,Rules!$C$16,Rules!$C$17))))</x:f>
        <x:v>4</x:v>
      </x:c>
      <x:c r="K166" s="5" t="n">
        <x:f>VLOOKUP(B166,Courses!$A$5:$D$14,3,FALSE)</x:f>
        <x:v>3</x:v>
      </x:c>
      <x:c r="L166" s="5" t="n">
        <x:f>J166*K166</x:f>
        <x:v>12</x:v>
      </x:c>
      <x:c r="M166" s="5" t="str">
        <x:f>VLOOKUP(A166,Students!$A$5:$H$45,5,FALSE)</x:f>
        <x:v>BA01</x:v>
      </x:c>
      <x:c r="N166" s="5" t="str">
        <x:f>'Sections'!E39</x:f>
        <x:v>T011</x:v>
      </x:c>
      <x:c r="O166" s="5" t="n">
        <x:f>IF(J166&gt;0,1,0)</x:f>
        <x:v>1</x:v>
      </x:c>
    </x:row>
    <x:row r="167" ht="21" customHeight="1">
      <x:c r="A167" s="3" t="str">
        <x:v>2202006</x:v>
      </x:c>
      <x:c r="B167" s="3" t="str">
        <x:v>BA101</x:v>
      </x:c>
      <x:c r="C167" s="3" t="str">
        <x:v>2024-1</x:v>
      </x:c>
      <x:c r="D167" s="3" t="n">
        <x:v>10</x:v>
      </x:c>
      <x:c r="E167" s="3" t="n">
        <x:v>8.5</x:v>
      </x:c>
      <x:c r="F167" s="3" t="n">
        <x:v>1</x:v>
      </x:c>
      <x:c r="G167" s="3" t="str"/>
      <x:c r="H167" s="3" t="n">
        <x:v>164</x:v>
      </x:c>
      <x:c r="I167" s="5" t="n">
        <x:f>ROUND(D167*Rules!$B$5+E167*Rules!$B$6,1)</x:f>
        <x:v>9.1</x:v>
      </x:c>
      <x:c r="J167" s="5" t="n">
        <x:f>IF(I167&gt;=Rules!$B$13,Rules!$C$13,IF(I167&gt;=Rules!$B$14,Rules!$C$14,IF(I167&gt;=Rules!$B$15,Rules!$C$15,IF(I167&gt;=Rules!$B$16,Rules!$C$16,Rules!$C$17))))</x:f>
        <x:v>4</x:v>
      </x:c>
      <x:c r="K167" s="5" t="n">
        <x:f>VLOOKUP(B167,Courses!$A$5:$D$14,3,FALSE)</x:f>
        <x:v>3</x:v>
      </x:c>
      <x:c r="L167" s="5" t="n">
        <x:f>J167*K167</x:f>
        <x:v>12</x:v>
      </x:c>
      <x:c r="M167" s="5" t="str">
        <x:f>VLOOKUP(A167,Students!$A$5:$H$45,5,FALSE)</x:f>
        <x:v>BA01</x:v>
      </x:c>
      <x:c r="N167" s="5" t="str">
        <x:f>'Sections'!E5</x:f>
        <x:v>T011</x:v>
      </x:c>
      <x:c r="O167" s="5" t="n">
        <x:f>IF(J167&gt;0,1,0)</x:f>
        <x:v>1</x:v>
      </x:c>
    </x:row>
    <x:row r="168" ht="21" customHeight="1">
      <x:c r="A168" s="3" t="str">
        <x:v>2202006</x:v>
      </x:c>
      <x:c r="B168" s="3" t="str">
        <x:v>BA102</x:v>
      </x:c>
      <x:c r="C168" s="3" t="str">
        <x:v>2024-2</x:v>
      </x:c>
      <x:c r="D168" s="3" t="n">
        <x:v>8.9</x:v>
      </x:c>
      <x:c r="E168" s="3" t="n">
        <x:v>8.5</x:v>
      </x:c>
      <x:c r="F168" s="3" t="n">
        <x:v>1</x:v>
      </x:c>
      <x:c r="G168" s="3" t="str"/>
      <x:c r="H168" s="3" t="n">
        <x:v>165</x:v>
      </x:c>
      <x:c r="I168" s="5" t="n">
        <x:f>ROUND(D168*Rules!$B$5+E168*Rules!$B$6,1)</x:f>
        <x:v>8.7</x:v>
      </x:c>
      <x:c r="J168" s="5" t="n">
        <x:f>IF(I168&gt;=Rules!$B$13,Rules!$C$13,IF(I168&gt;=Rules!$B$14,Rules!$C$14,IF(I168&gt;=Rules!$B$15,Rules!$C$15,IF(I168&gt;=Rules!$B$16,Rules!$C$16,Rules!$C$17))))</x:f>
        <x:v>4</x:v>
      </x:c>
      <x:c r="K168" s="5" t="n">
        <x:f>VLOOKUP(B168,Courses!$A$5:$D$14,3,FALSE)</x:f>
        <x:v>3</x:v>
      </x:c>
      <x:c r="L168" s="5" t="n">
        <x:f>J168*K168</x:f>
        <x:v>12</x:v>
      </x:c>
      <x:c r="M168" s="5" t="str">
        <x:f>VLOOKUP(A168,Students!$A$5:$H$45,5,FALSE)</x:f>
        <x:v>BA01</x:v>
      </x:c>
      <x:c r="N168" s="5" t="str">
        <x:f>'Sections'!E9</x:f>
        <x:v>T011</x:v>
      </x:c>
      <x:c r="O168" s="5" t="n">
        <x:f>IF(J168&gt;0,1,0)</x:f>
        <x:v>1</x:v>
      </x:c>
    </x:row>
    <x:row r="169" ht="21" customHeight="1">
      <x:c r="A169" s="3" t="str">
        <x:v>2202006</x:v>
      </x:c>
      <x:c r="B169" s="3" t="str">
        <x:v>BA201</x:v>
      </x:c>
      <x:c r="C169" s="3" t="str">
        <x:v>2024-2</x:v>
      </x:c>
      <x:c r="D169" s="3" t="n">
        <x:v>8.9</x:v>
      </x:c>
      <x:c r="E169" s="3" t="n">
        <x:v>9.4</x:v>
      </x:c>
      <x:c r="F169" s="3" t="n">
        <x:v>1</x:v>
      </x:c>
      <x:c r="G169" s="3" t="str"/>
      <x:c r="H169" s="3" t="n">
        <x:v>166</x:v>
      </x:c>
      <x:c r="I169" s="5" t="n">
        <x:f>ROUND(D169*Rules!$B$5+E169*Rules!$B$6,1)</x:f>
        <x:v>9.2</x:v>
      </x:c>
      <x:c r="J169" s="5" t="n">
        <x:f>IF(I169&gt;=Rules!$B$13,Rules!$C$13,IF(I169&gt;=Rules!$B$14,Rules!$C$14,IF(I169&gt;=Rules!$B$15,Rules!$C$15,IF(I169&gt;=Rules!$B$16,Rules!$C$16,Rules!$C$17))))</x:f>
        <x:v>4</x:v>
      </x:c>
      <x:c r="K169" s="5" t="n">
        <x:f>VLOOKUP(B169,Courses!$A$5:$D$14,3,FALSE)</x:f>
        <x:v>4</x:v>
      </x:c>
      <x:c r="L169" s="5" t="n">
        <x:f>J169*K169</x:f>
        <x:v>16</x:v>
      </x:c>
      <x:c r="M169" s="5" t="str">
        <x:f>VLOOKUP(A169,Students!$A$5:$H$45,5,FALSE)</x:f>
        <x:v>BA01</x:v>
      </x:c>
      <x:c r="N169" s="5" t="str">
        <x:f>'Sections'!E13</x:f>
        <x:v>T011</x:v>
      </x:c>
      <x:c r="O169" s="5" t="n">
        <x:f>IF(J169&gt;0,1,0)</x:f>
        <x:v>1</x:v>
      </x:c>
    </x:row>
    <x:row r="170" ht="21" customHeight="1">
      <x:c r="A170" s="3" t="str">
        <x:v>2202006</x:v>
      </x:c>
      <x:c r="B170" s="3" t="str">
        <x:v>BA202</x:v>
      </x:c>
      <x:c r="C170" s="3" t="str">
        <x:v>2025-1</x:v>
      </x:c>
      <x:c r="D170" s="3" t="n">
        <x:v>9.1</x:v>
      </x:c>
      <x:c r="E170" s="3" t="n">
        <x:v>7.4</x:v>
      </x:c>
      <x:c r="F170" s="3" t="n">
        <x:v>1</x:v>
      </x:c>
      <x:c r="G170" s="3" t="str"/>
      <x:c r="H170" s="3" t="n">
        <x:v>167</x:v>
      </x:c>
      <x:c r="I170" s="5" t="n">
        <x:f>ROUND(D170*Rules!$B$5+E170*Rules!$B$6,1)</x:f>
        <x:v>8.1</x:v>
      </x:c>
      <x:c r="J170" s="5" t="n">
        <x:f>IF(I170&gt;=Rules!$B$13,Rules!$C$13,IF(I170&gt;=Rules!$B$14,Rules!$C$14,IF(I170&gt;=Rules!$B$15,Rules!$C$15,IF(I170&gt;=Rules!$B$16,Rules!$C$16,Rules!$C$17))))</x:f>
        <x:v>3</x:v>
      </x:c>
      <x:c r="K170" s="5" t="n">
        <x:f>VLOOKUP(B170,Courses!$A$5:$D$14,3,FALSE)</x:f>
        <x:v>3</x:v>
      </x:c>
      <x:c r="L170" s="5" t="n">
        <x:f>J170*K170</x:f>
        <x:v>9</x:v>
      </x:c>
      <x:c r="M170" s="5" t="str">
        <x:f>VLOOKUP(A170,Students!$A$5:$H$45,5,FALSE)</x:f>
        <x:v>BA01</x:v>
      </x:c>
      <x:c r="N170" s="5" t="str">
        <x:f>'Sections'!E16</x:f>
        <x:v>T012</x:v>
      </x:c>
      <x:c r="O170" s="5" t="n">
        <x:f>IF(J170&gt;0,1,0)</x:f>
        <x:v>1</x:v>
      </x:c>
    </x:row>
    <x:row r="171" ht="21" customHeight="1">
      <x:c r="A171" s="3" t="str">
        <x:v>2202007</x:v>
      </x:c>
      <x:c r="B171" s="3" t="str">
        <x:v>GE101</x:v>
      </x:c>
      <x:c r="C171" s="3" t="str">
        <x:v>2024-1</x:v>
      </x:c>
      <x:c r="D171" s="3" t="n">
        <x:v>7.4</x:v>
      </x:c>
      <x:c r="E171" s="3" t="n">
        <x:v>5.9</x:v>
      </x:c>
      <x:c r="F171" s="3" t="n">
        <x:v>1</x:v>
      </x:c>
      <x:c r="G171" s="3" t="str"/>
      <x:c r="H171" s="3" t="n">
        <x:v>168</x:v>
      </x:c>
      <x:c r="I171" s="5" t="n">
        <x:f>ROUND(D171*Rules!$B$5+E171*Rules!$B$6,1)</x:f>
        <x:v>6.5</x:v>
      </x:c>
      <x:c r="J171" s="5" t="n">
        <x:f>IF(I171&gt;=Rules!$B$13,Rules!$C$13,IF(I171&gt;=Rules!$B$14,Rules!$C$14,IF(I171&gt;=Rules!$B$15,Rules!$C$15,IF(I171&gt;=Rules!$B$16,Rules!$C$16,Rules!$C$17))))</x:f>
        <x:v>2</x:v>
      </x:c>
      <x:c r="K171" s="5" t="n">
        <x:f>VLOOKUP(B171,Courses!$A$5:$D$14,3,FALSE)</x:f>
        <x:v>2</x:v>
      </x:c>
      <x:c r="L171" s="5" t="n">
        <x:f>J171*K171</x:f>
        <x:v>4</x:v>
      </x:c>
      <x:c r="M171" s="5" t="str">
        <x:f>VLOOKUP(A171,Students!$A$5:$H$45,5,FALSE)</x:f>
        <x:v>BA01</x:v>
      </x:c>
      <x:c r="N171" s="5" t="str">
        <x:f>'Sections'!E31</x:f>
        <x:v>T011</x:v>
      </x:c>
      <x:c r="O171" s="5" t="n">
        <x:f>IF(J171&gt;0,1,0)</x:f>
        <x:v>1</x:v>
      </x:c>
    </x:row>
    <x:row r="172" ht="21" customHeight="1">
      <x:c r="A172" s="3" t="str">
        <x:v>2202007</x:v>
      </x:c>
      <x:c r="B172" s="3" t="str">
        <x:v>GE102</x:v>
      </x:c>
      <x:c r="C172" s="3" t="str">
        <x:v>2024-1</x:v>
      </x:c>
      <x:c r="D172" s="3" t="n">
        <x:v>6.8</x:v>
      </x:c>
      <x:c r="E172" s="3" t="n">
        <x:v>5.1</x:v>
      </x:c>
      <x:c r="F172" s="3" t="n">
        <x:v>1</x:v>
      </x:c>
      <x:c r="G172" s="3" t="str"/>
      <x:c r="H172" s="3" t="n">
        <x:v>169</x:v>
      </x:c>
      <x:c r="I172" s="5" t="n">
        <x:f>ROUND(D172*Rules!$B$5+E172*Rules!$B$6,1)</x:f>
        <x:v>5.8</x:v>
      </x:c>
      <x:c r="J172" s="5" t="n">
        <x:f>IF(I172&gt;=Rules!$B$13,Rules!$C$13,IF(I172&gt;=Rules!$B$14,Rules!$C$14,IF(I172&gt;=Rules!$B$15,Rules!$C$15,IF(I172&gt;=Rules!$B$16,Rules!$C$16,Rules!$C$17))))</x:f>
        <x:v>2</x:v>
      </x:c>
      <x:c r="K172" s="5" t="n">
        <x:f>VLOOKUP(B172,Courses!$A$5:$D$14,3,FALSE)</x:f>
        <x:v>3</x:v>
      </x:c>
      <x:c r="L172" s="5" t="n">
        <x:f>J172*K172</x:f>
        <x:v>6</x:v>
      </x:c>
      <x:c r="M172" s="5" t="str">
        <x:f>VLOOKUP(A172,Students!$A$5:$H$45,5,FALSE)</x:f>
        <x:v>BA01</x:v>
      </x:c>
      <x:c r="N172" s="5" t="str">
        <x:f>'Sections'!E39</x:f>
        <x:v>T011</x:v>
      </x:c>
      <x:c r="O172" s="5" t="n">
        <x:f>IF(J172&gt;0,1,0)</x:f>
        <x:v>1</x:v>
      </x:c>
    </x:row>
    <x:row r="173" ht="21" customHeight="1">
      <x:c r="A173" s="3" t="str">
        <x:v>2202007</x:v>
      </x:c>
      <x:c r="B173" s="3" t="str">
        <x:v>BA101</x:v>
      </x:c>
      <x:c r="C173" s="3" t="str">
        <x:v>2024-1</x:v>
      </x:c>
      <x:c r="D173" s="3" t="n">
        <x:v>7.8</x:v>
      </x:c>
      <x:c r="E173" s="3" t="n">
        <x:v>4.7</x:v>
      </x:c>
      <x:c r="F173" s="3" t="n">
        <x:v>1</x:v>
      </x:c>
      <x:c r="G173" s="3" t="str"/>
      <x:c r="H173" s="3" t="n">
        <x:v>170</x:v>
      </x:c>
      <x:c r="I173" s="5" t="n">
        <x:f>ROUND(D173*Rules!$B$5+E173*Rules!$B$6,1)</x:f>
        <x:v>5.9</x:v>
      </x:c>
      <x:c r="J173" s="5" t="n">
        <x:f>IF(I173&gt;=Rules!$B$13,Rules!$C$13,IF(I173&gt;=Rules!$B$14,Rules!$C$14,IF(I173&gt;=Rules!$B$15,Rules!$C$15,IF(I173&gt;=Rules!$B$16,Rules!$C$16,Rules!$C$17))))</x:f>
        <x:v>2</x:v>
      </x:c>
      <x:c r="K173" s="5" t="n">
        <x:f>VLOOKUP(B173,Courses!$A$5:$D$14,3,FALSE)</x:f>
        <x:v>3</x:v>
      </x:c>
      <x:c r="L173" s="5" t="n">
        <x:f>J173*K173</x:f>
        <x:v>6</x:v>
      </x:c>
      <x:c r="M173" s="5" t="str">
        <x:f>VLOOKUP(A173,Students!$A$5:$H$45,5,FALSE)</x:f>
        <x:v>BA01</x:v>
      </x:c>
      <x:c r="N173" s="5" t="str">
        <x:f>'Sections'!E5</x:f>
        <x:v>T011</x:v>
      </x:c>
      <x:c r="O173" s="5" t="n">
        <x:f>IF(J173&gt;0,1,0)</x:f>
        <x:v>1</x:v>
      </x:c>
    </x:row>
    <x:row r="174" ht="21" customHeight="1">
      <x:c r="A174" s="3" t="str">
        <x:v>2202007</x:v>
      </x:c>
      <x:c r="B174" s="3" t="str">
        <x:v>BA102</x:v>
      </x:c>
      <x:c r="C174" s="3" t="str">
        <x:v>2024-2</x:v>
      </x:c>
      <x:c r="D174" s="3" t="n">
        <x:v>8.5</x:v>
      </x:c>
      <x:c r="E174" s="3" t="n">
        <x:v>6.1</x:v>
      </x:c>
      <x:c r="F174" s="3" t="n">
        <x:v>1</x:v>
      </x:c>
      <x:c r="G174" s="3" t="str"/>
      <x:c r="H174" s="3" t="n">
        <x:v>171</x:v>
      </x:c>
      <x:c r="I174" s="5" t="n">
        <x:f>ROUND(D174*Rules!$B$5+E174*Rules!$B$6,1)</x:f>
        <x:v>7.1</x:v>
      </x:c>
      <x:c r="J174" s="5" t="n">
        <x:f>IF(I174&gt;=Rules!$B$13,Rules!$C$13,IF(I174&gt;=Rules!$B$14,Rules!$C$14,IF(I174&gt;=Rules!$B$15,Rules!$C$15,IF(I174&gt;=Rules!$B$16,Rules!$C$16,Rules!$C$17))))</x:f>
        <x:v>3</x:v>
      </x:c>
      <x:c r="K174" s="5" t="n">
        <x:f>VLOOKUP(B174,Courses!$A$5:$D$14,3,FALSE)</x:f>
        <x:v>3</x:v>
      </x:c>
      <x:c r="L174" s="5" t="n">
        <x:f>J174*K174</x:f>
        <x:v>9</x:v>
      </x:c>
      <x:c r="M174" s="5" t="str">
        <x:f>VLOOKUP(A174,Students!$A$5:$H$45,5,FALSE)</x:f>
        <x:v>BA01</x:v>
      </x:c>
      <x:c r="N174" s="5" t="str">
        <x:f>'Sections'!E9</x:f>
        <x:v>T011</x:v>
      </x:c>
      <x:c r="O174" s="5" t="n">
        <x:f>IF(J174&gt;0,1,0)</x:f>
        <x:v>1</x:v>
      </x:c>
    </x:row>
    <x:row r="175" ht="21" customHeight="1">
      <x:c r="A175" s="3" t="str">
        <x:v>2202007</x:v>
      </x:c>
      <x:c r="B175" s="3" t="str">
        <x:v>BA201</x:v>
      </x:c>
      <x:c r="C175" s="3" t="str">
        <x:v>2024-2</x:v>
      </x:c>
      <x:c r="D175" s="3" t="n">
        <x:v>7.5</x:v>
      </x:c>
      <x:c r="E175" s="3" t="n">
        <x:v>6</x:v>
      </x:c>
      <x:c r="F175" s="3" t="n">
        <x:v>1</x:v>
      </x:c>
      <x:c r="G175" s="3" t="str"/>
      <x:c r="H175" s="3" t="n">
        <x:v>172</x:v>
      </x:c>
      <x:c r="I175" s="5" t="n">
        <x:f>ROUND(D175*Rules!$B$5+E175*Rules!$B$6,1)</x:f>
        <x:v>6.6</x:v>
      </x:c>
      <x:c r="J175" s="5" t="n">
        <x:f>IF(I175&gt;=Rules!$B$13,Rules!$C$13,IF(I175&gt;=Rules!$B$14,Rules!$C$14,IF(I175&gt;=Rules!$B$15,Rules!$C$15,IF(I175&gt;=Rules!$B$16,Rules!$C$16,Rules!$C$17))))</x:f>
        <x:v>2</x:v>
      </x:c>
      <x:c r="K175" s="5" t="n">
        <x:f>VLOOKUP(B175,Courses!$A$5:$D$14,3,FALSE)</x:f>
        <x:v>4</x:v>
      </x:c>
      <x:c r="L175" s="5" t="n">
        <x:f>J175*K175</x:f>
        <x:v>8</x:v>
      </x:c>
      <x:c r="M175" s="5" t="str">
        <x:f>VLOOKUP(A175,Students!$A$5:$H$45,5,FALSE)</x:f>
        <x:v>BA01</x:v>
      </x:c>
      <x:c r="N175" s="5" t="str">
        <x:f>'Sections'!E13</x:f>
        <x:v>T011</x:v>
      </x:c>
      <x:c r="O175" s="5" t="n">
        <x:f>IF(J175&gt;0,1,0)</x:f>
        <x:v>1</x:v>
      </x:c>
    </x:row>
    <x:row r="176" ht="21" customHeight="1">
      <x:c r="A176" s="3" t="str">
        <x:v>2202007</x:v>
      </x:c>
      <x:c r="B176" s="3" t="str">
        <x:v>BA202</x:v>
      </x:c>
      <x:c r="C176" s="3" t="str">
        <x:v>2025-1</x:v>
      </x:c>
      <x:c r="D176" s="3" t="n">
        <x:v>7.1</x:v>
      </x:c>
      <x:c r="E176" s="3" t="n">
        <x:v>6.5</x:v>
      </x:c>
      <x:c r="F176" s="3" t="n">
        <x:v>1</x:v>
      </x:c>
      <x:c r="G176" s="3" t="str"/>
      <x:c r="H176" s="3" t="n">
        <x:v>173</x:v>
      </x:c>
      <x:c r="I176" s="5" t="n">
        <x:f>ROUND(D176*Rules!$B$5+E176*Rules!$B$6,1)</x:f>
        <x:v>6.7</x:v>
      </x:c>
      <x:c r="J176" s="5" t="n">
        <x:f>IF(I176&gt;=Rules!$B$13,Rules!$C$13,IF(I176&gt;=Rules!$B$14,Rules!$C$14,IF(I176&gt;=Rules!$B$15,Rules!$C$15,IF(I176&gt;=Rules!$B$16,Rules!$C$16,Rules!$C$17))))</x:f>
        <x:v>2</x:v>
      </x:c>
      <x:c r="K176" s="5" t="n">
        <x:f>VLOOKUP(B176,Courses!$A$5:$D$14,3,FALSE)</x:f>
        <x:v>3</x:v>
      </x:c>
      <x:c r="L176" s="5" t="n">
        <x:f>J176*K176</x:f>
        <x:v>6</x:v>
      </x:c>
      <x:c r="M176" s="5" t="str">
        <x:f>VLOOKUP(A176,Students!$A$5:$H$45,5,FALSE)</x:f>
        <x:v>BA01</x:v>
      </x:c>
      <x:c r="N176" s="5" t="str">
        <x:f>'Sections'!E16</x:f>
        <x:v>T012</x:v>
      </x:c>
      <x:c r="O176" s="5" t="n">
        <x:f>IF(J176&gt;0,1,0)</x:f>
        <x:v>1</x:v>
      </x:c>
    </x:row>
    <x:row r="177" ht="21" customHeight="1">
      <x:c r="A177" s="3" t="str">
        <x:v>2202008</x:v>
      </x:c>
      <x:c r="B177" s="3" t="str">
        <x:v>GE101</x:v>
      </x:c>
      <x:c r="C177" s="3" t="str">
        <x:v>2024-1</x:v>
      </x:c>
      <x:c r="D177" s="3" t="n">
        <x:v>8.6</x:v>
      </x:c>
      <x:c r="E177" s="3" t="n">
        <x:v>7.7</x:v>
      </x:c>
      <x:c r="F177" s="3" t="n">
        <x:v>1</x:v>
      </x:c>
      <x:c r="G177" s="3" t="str"/>
      <x:c r="H177" s="3" t="n">
        <x:v>174</x:v>
      </x:c>
      <x:c r="I177" s="5" t="n">
        <x:f>ROUND(D177*Rules!$B$5+E177*Rules!$B$6,1)</x:f>
        <x:v>8.1</x:v>
      </x:c>
      <x:c r="J177" s="5" t="n">
        <x:f>IF(I177&gt;=Rules!$B$13,Rules!$C$13,IF(I177&gt;=Rules!$B$14,Rules!$C$14,IF(I177&gt;=Rules!$B$15,Rules!$C$15,IF(I177&gt;=Rules!$B$16,Rules!$C$16,Rules!$C$17))))</x:f>
        <x:v>3</x:v>
      </x:c>
      <x:c r="K177" s="5" t="n">
        <x:f>VLOOKUP(B177,Courses!$A$5:$D$14,3,FALSE)</x:f>
        <x:v>2</x:v>
      </x:c>
      <x:c r="L177" s="5" t="n">
        <x:f>J177*K177</x:f>
        <x:v>6</x:v>
      </x:c>
      <x:c r="M177" s="5" t="str">
        <x:f>VLOOKUP(A177,Students!$A$5:$H$45,5,FALSE)</x:f>
        <x:v>BA01</x:v>
      </x:c>
      <x:c r="N177" s="5" t="str">
        <x:f>'Sections'!E31</x:f>
        <x:v>T011</x:v>
      </x:c>
      <x:c r="O177" s="5" t="n">
        <x:f>IF(J177&gt;0,1,0)</x:f>
        <x:v>1</x:v>
      </x:c>
    </x:row>
    <x:row r="178" ht="21" customHeight="1">
      <x:c r="A178" s="3" t="str">
        <x:v>2202008</x:v>
      </x:c>
      <x:c r="B178" s="3" t="str">
        <x:v>GE102</x:v>
      </x:c>
      <x:c r="C178" s="3" t="str">
        <x:v>2024-1</x:v>
      </x:c>
      <x:c r="D178" s="3" t="n">
        <x:v>7.5</x:v>
      </x:c>
      <x:c r="E178" s="3" t="n">
        <x:v>8.4</x:v>
      </x:c>
      <x:c r="F178" s="3" t="n">
        <x:v>1</x:v>
      </x:c>
      <x:c r="G178" s="3" t="str"/>
      <x:c r="H178" s="3" t="n">
        <x:v>175</x:v>
      </x:c>
      <x:c r="I178" s="5" t="n">
        <x:f>ROUND(D178*Rules!$B$5+E178*Rules!$B$6,1)</x:f>
        <x:v>8</x:v>
      </x:c>
      <x:c r="J178" s="5" t="n">
        <x:f>IF(I178&gt;=Rules!$B$13,Rules!$C$13,IF(I178&gt;=Rules!$B$14,Rules!$C$14,IF(I178&gt;=Rules!$B$15,Rules!$C$15,IF(I178&gt;=Rules!$B$16,Rules!$C$16,Rules!$C$17))))</x:f>
        <x:v>3</x:v>
      </x:c>
      <x:c r="K178" s="5" t="n">
        <x:f>VLOOKUP(B178,Courses!$A$5:$D$14,3,FALSE)</x:f>
        <x:v>3</x:v>
      </x:c>
      <x:c r="L178" s="5" t="n">
        <x:f>J178*K178</x:f>
        <x:v>9</x:v>
      </x:c>
      <x:c r="M178" s="5" t="str">
        <x:f>VLOOKUP(A178,Students!$A$5:$H$45,5,FALSE)</x:f>
        <x:v>BA01</x:v>
      </x:c>
      <x:c r="N178" s="5" t="str">
        <x:f>'Sections'!E39</x:f>
        <x:v>T011</x:v>
      </x:c>
      <x:c r="O178" s="5" t="n">
        <x:f>IF(J178&gt;0,1,0)</x:f>
        <x:v>1</x:v>
      </x:c>
    </x:row>
    <x:row r="179" ht="21" customHeight="1">
      <x:c r="A179" s="3" t="str">
        <x:v>2202008</x:v>
      </x:c>
      <x:c r="B179" s="3" t="str">
        <x:v>BA101</x:v>
      </x:c>
      <x:c r="C179" s="3" t="str">
        <x:v>2024-1</x:v>
      </x:c>
      <x:c r="D179" s="3" t="n">
        <x:v>9.9</x:v>
      </x:c>
      <x:c r="E179" s="3" t="n">
        <x:v>7.2</x:v>
      </x:c>
      <x:c r="F179" s="3" t="n">
        <x:v>1</x:v>
      </x:c>
      <x:c r="G179" s="3" t="str"/>
      <x:c r="H179" s="3" t="n">
        <x:v>176</x:v>
      </x:c>
      <x:c r="I179" s="5" t="n">
        <x:f>ROUND(D179*Rules!$B$5+E179*Rules!$B$6,1)</x:f>
        <x:v>8.3</x:v>
      </x:c>
      <x:c r="J179" s="5" t="n">
        <x:f>IF(I179&gt;=Rules!$B$13,Rules!$C$13,IF(I179&gt;=Rules!$B$14,Rules!$C$14,IF(I179&gt;=Rules!$B$15,Rules!$C$15,IF(I179&gt;=Rules!$B$16,Rules!$C$16,Rules!$C$17))))</x:f>
        <x:v>3</x:v>
      </x:c>
      <x:c r="K179" s="5" t="n">
        <x:f>VLOOKUP(B179,Courses!$A$5:$D$14,3,FALSE)</x:f>
        <x:v>3</x:v>
      </x:c>
      <x:c r="L179" s="5" t="n">
        <x:f>J179*K179</x:f>
        <x:v>9</x:v>
      </x:c>
      <x:c r="M179" s="5" t="str">
        <x:f>VLOOKUP(A179,Students!$A$5:$H$45,5,FALSE)</x:f>
        <x:v>BA01</x:v>
      </x:c>
      <x:c r="N179" s="5" t="str">
        <x:f>'Sections'!E5</x:f>
        <x:v>T011</x:v>
      </x:c>
      <x:c r="O179" s="5" t="n">
        <x:f>IF(J179&gt;0,1,0)</x:f>
        <x:v>1</x:v>
      </x:c>
    </x:row>
    <x:row r="180" ht="21" customHeight="1">
      <x:c r="A180" s="3" t="str">
        <x:v>2202008</x:v>
      </x:c>
      <x:c r="B180" s="3" t="str">
        <x:v>BA102</x:v>
      </x:c>
      <x:c r="C180" s="3" t="str">
        <x:v>2024-2</x:v>
      </x:c>
      <x:c r="D180" s="3" t="n">
        <x:v>9.8</x:v>
      </x:c>
      <x:c r="E180" s="3" t="n">
        <x:v>6.6</x:v>
      </x:c>
      <x:c r="F180" s="3" t="n">
        <x:v>1</x:v>
      </x:c>
      <x:c r="G180" s="3" t="str"/>
      <x:c r="H180" s="3" t="n">
        <x:v>177</x:v>
      </x:c>
      <x:c r="I180" s="5" t="n">
        <x:f>ROUND(D180*Rules!$B$5+E180*Rules!$B$6,1)</x:f>
        <x:v>7.9</x:v>
      </x:c>
      <x:c r="J180" s="5" t="n">
        <x:f>IF(I180&gt;=Rules!$B$13,Rules!$C$13,IF(I180&gt;=Rules!$B$14,Rules!$C$14,IF(I180&gt;=Rules!$B$15,Rules!$C$15,IF(I180&gt;=Rules!$B$16,Rules!$C$16,Rules!$C$17))))</x:f>
        <x:v>3</x:v>
      </x:c>
      <x:c r="K180" s="5" t="n">
        <x:f>VLOOKUP(B180,Courses!$A$5:$D$14,3,FALSE)</x:f>
        <x:v>3</x:v>
      </x:c>
      <x:c r="L180" s="5" t="n">
        <x:f>J180*K180</x:f>
        <x:v>9</x:v>
      </x:c>
      <x:c r="M180" s="5" t="str">
        <x:f>VLOOKUP(A180,Students!$A$5:$H$45,5,FALSE)</x:f>
        <x:v>BA01</x:v>
      </x:c>
      <x:c r="N180" s="5" t="str">
        <x:f>'Sections'!E9</x:f>
        <x:v>T011</x:v>
      </x:c>
      <x:c r="O180" s="5" t="n">
        <x:f>IF(J180&gt;0,1,0)</x:f>
        <x:v>1</x:v>
      </x:c>
    </x:row>
    <x:row r="181" ht="21" customHeight="1">
      <x:c r="A181" s="3" t="str">
        <x:v>2202008</x:v>
      </x:c>
      <x:c r="B181" s="3" t="str">
        <x:v>BA201</x:v>
      </x:c>
      <x:c r="C181" s="3" t="str">
        <x:v>2024-2</x:v>
      </x:c>
      <x:c r="D181" s="3" t="n">
        <x:v>8.4</x:v>
      </x:c>
      <x:c r="E181" s="3" t="n">
        <x:v>9.7</x:v>
      </x:c>
      <x:c r="F181" s="3" t="n">
        <x:v>1</x:v>
      </x:c>
      <x:c r="G181" s="3" t="str"/>
      <x:c r="H181" s="3" t="n">
        <x:v>178</x:v>
      </x:c>
      <x:c r="I181" s="5" t="n">
        <x:f>ROUND(D181*Rules!$B$5+E181*Rules!$B$6,1)</x:f>
        <x:v>9.2</x:v>
      </x:c>
      <x:c r="J181" s="5" t="n">
        <x:f>IF(I181&gt;=Rules!$B$13,Rules!$C$13,IF(I181&gt;=Rules!$B$14,Rules!$C$14,IF(I181&gt;=Rules!$B$15,Rules!$C$15,IF(I181&gt;=Rules!$B$16,Rules!$C$16,Rules!$C$17))))</x:f>
        <x:v>4</x:v>
      </x:c>
      <x:c r="K181" s="5" t="n">
        <x:f>VLOOKUP(B181,Courses!$A$5:$D$14,3,FALSE)</x:f>
        <x:v>4</x:v>
      </x:c>
      <x:c r="L181" s="5" t="n">
        <x:f>J181*K181</x:f>
        <x:v>16</x:v>
      </x:c>
      <x:c r="M181" s="5" t="str">
        <x:f>VLOOKUP(A181,Students!$A$5:$H$45,5,FALSE)</x:f>
        <x:v>BA01</x:v>
      </x:c>
      <x:c r="N181" s="5" t="str">
        <x:f>'Sections'!E13</x:f>
        <x:v>T011</x:v>
      </x:c>
      <x:c r="O181" s="5" t="n">
        <x:f>IF(J181&gt;0,1,0)</x:f>
        <x:v>1</x:v>
      </x:c>
    </x:row>
    <x:row r="182" ht="21" customHeight="1">
      <x:c r="A182" s="3" t="str">
        <x:v>2202008</x:v>
      </x:c>
      <x:c r="B182" s="3" t="str">
        <x:v>BA202</x:v>
      </x:c>
      <x:c r="C182" s="3" t="str">
        <x:v>2025-1</x:v>
      </x:c>
      <x:c r="D182" s="3" t="n">
        <x:v>7.9</x:v>
      </x:c>
      <x:c r="E182" s="3" t="n">
        <x:v>7</x:v>
      </x:c>
      <x:c r="F182" s="3" t="n">
        <x:v>1</x:v>
      </x:c>
      <x:c r="G182" s="3" t="str"/>
      <x:c r="H182" s="3" t="n">
        <x:v>179</x:v>
      </x:c>
      <x:c r="I182" s="5" t="n">
        <x:f>ROUND(D182*Rules!$B$5+E182*Rules!$B$6,1)</x:f>
        <x:v>7.4</x:v>
      </x:c>
      <x:c r="J182" s="5" t="n">
        <x:f>IF(I182&gt;=Rules!$B$13,Rules!$C$13,IF(I182&gt;=Rules!$B$14,Rules!$C$14,IF(I182&gt;=Rules!$B$15,Rules!$C$15,IF(I182&gt;=Rules!$B$16,Rules!$C$16,Rules!$C$17))))</x:f>
        <x:v>3</x:v>
      </x:c>
      <x:c r="K182" s="5" t="n">
        <x:f>VLOOKUP(B182,Courses!$A$5:$D$14,3,FALSE)</x:f>
        <x:v>3</x:v>
      </x:c>
      <x:c r="L182" s="5" t="n">
        <x:f>J182*K182</x:f>
        <x:v>9</x:v>
      </x:c>
      <x:c r="M182" s="5" t="str">
        <x:f>VLOOKUP(A182,Students!$A$5:$H$45,5,FALSE)</x:f>
        <x:v>BA01</x:v>
      </x:c>
      <x:c r="N182" s="5" t="str">
        <x:f>'Sections'!E16</x:f>
        <x:v>T012</x:v>
      </x:c>
      <x:c r="O182" s="5" t="n">
        <x:f>IF(J182&gt;0,1,0)</x:f>
        <x:v>1</x:v>
      </x:c>
    </x:row>
    <x:row r="183" ht="21" customHeight="1">
      <x:c r="A183" s="3" t="str">
        <x:v>2202009</x:v>
      </x:c>
      <x:c r="B183" s="3" t="str">
        <x:v>GE101</x:v>
      </x:c>
      <x:c r="C183" s="3" t="str">
        <x:v>2024-1</x:v>
      </x:c>
      <x:c r="D183" s="3" t="n">
        <x:v>8</x:v>
      </x:c>
      <x:c r="E183" s="3" t="n">
        <x:v>7</x:v>
      </x:c>
      <x:c r="F183" s="3" t="n">
        <x:v>1</x:v>
      </x:c>
      <x:c r="G183" s="3" t="str"/>
      <x:c r="H183" s="3" t="n">
        <x:v>180</x:v>
      </x:c>
      <x:c r="I183" s="5" t="n">
        <x:f>ROUND(D183*Rules!$B$5+E183*Rules!$B$6,1)</x:f>
        <x:v>7.4</x:v>
      </x:c>
      <x:c r="J183" s="5" t="n">
        <x:f>IF(I183&gt;=Rules!$B$13,Rules!$C$13,IF(I183&gt;=Rules!$B$14,Rules!$C$14,IF(I183&gt;=Rules!$B$15,Rules!$C$15,IF(I183&gt;=Rules!$B$16,Rules!$C$16,Rules!$C$17))))</x:f>
        <x:v>3</x:v>
      </x:c>
      <x:c r="K183" s="5" t="n">
        <x:f>VLOOKUP(B183,Courses!$A$5:$D$14,3,FALSE)</x:f>
        <x:v>2</x:v>
      </x:c>
      <x:c r="L183" s="5" t="n">
        <x:f>J183*K183</x:f>
        <x:v>6</x:v>
      </x:c>
      <x:c r="M183" s="5" t="str">
        <x:f>VLOOKUP(A183,Students!$A$5:$H$45,5,FALSE)</x:f>
        <x:v>BA01</x:v>
      </x:c>
      <x:c r="N183" s="5" t="str">
        <x:f>'Sections'!E31</x:f>
        <x:v>T011</x:v>
      </x:c>
      <x:c r="O183" s="5" t="n">
        <x:f>IF(J183&gt;0,1,0)</x:f>
        <x:v>1</x:v>
      </x:c>
    </x:row>
    <x:row r="184" ht="21" customHeight="1">
      <x:c r="A184" s="3" t="str">
        <x:v>2202009</x:v>
      </x:c>
      <x:c r="B184" s="3" t="str">
        <x:v>GE102</x:v>
      </x:c>
      <x:c r="C184" s="3" t="str">
        <x:v>2024-1</x:v>
      </x:c>
      <x:c r="D184" s="3" t="n">
        <x:v>6.3</x:v>
      </x:c>
      <x:c r="E184" s="3" t="n">
        <x:v>6.9</x:v>
      </x:c>
      <x:c r="F184" s="3" t="n">
        <x:v>1</x:v>
      </x:c>
      <x:c r="G184" s="3" t="str"/>
      <x:c r="H184" s="3" t="n">
        <x:v>181</x:v>
      </x:c>
      <x:c r="I184" s="5" t="n">
        <x:f>ROUND(D184*Rules!$B$5+E184*Rules!$B$6,1)</x:f>
        <x:v>6.7</x:v>
      </x:c>
      <x:c r="J184" s="5" t="n">
        <x:f>IF(I184&gt;=Rules!$B$13,Rules!$C$13,IF(I184&gt;=Rules!$B$14,Rules!$C$14,IF(I184&gt;=Rules!$B$15,Rules!$C$15,IF(I184&gt;=Rules!$B$16,Rules!$C$16,Rules!$C$17))))</x:f>
        <x:v>2</x:v>
      </x:c>
      <x:c r="K184" s="5" t="n">
        <x:f>VLOOKUP(B184,Courses!$A$5:$D$14,3,FALSE)</x:f>
        <x:v>3</x:v>
      </x:c>
      <x:c r="L184" s="5" t="n">
        <x:f>J184*K184</x:f>
        <x:v>6</x:v>
      </x:c>
      <x:c r="M184" s="5" t="str">
        <x:f>VLOOKUP(A184,Students!$A$5:$H$45,5,FALSE)</x:f>
        <x:v>BA01</x:v>
      </x:c>
      <x:c r="N184" s="5" t="str">
        <x:f>'Sections'!E39</x:f>
        <x:v>T011</x:v>
      </x:c>
      <x:c r="O184" s="5" t="n">
        <x:f>IF(J184&gt;0,1,0)</x:f>
        <x:v>1</x:v>
      </x:c>
    </x:row>
    <x:row r="185" ht="21" customHeight="1">
      <x:c r="A185" s="3" t="str">
        <x:v>2202009</x:v>
      </x:c>
      <x:c r="B185" s="3" t="str">
        <x:v>BA101</x:v>
      </x:c>
      <x:c r="C185" s="3" t="str">
        <x:v>2024-1</x:v>
      </x:c>
      <x:c r="D185" s="3" t="n">
        <x:v>7.3</x:v>
      </x:c>
      <x:c r="E185" s="3" t="n">
        <x:v>6.3</x:v>
      </x:c>
      <x:c r="F185" s="3" t="n">
        <x:v>1</x:v>
      </x:c>
      <x:c r="G185" s="3" t="str"/>
      <x:c r="H185" s="3" t="n">
        <x:v>182</x:v>
      </x:c>
      <x:c r="I185" s="5" t="n">
        <x:f>ROUND(D185*Rules!$B$5+E185*Rules!$B$6,1)</x:f>
        <x:v>6.7</x:v>
      </x:c>
      <x:c r="J185" s="5" t="n">
        <x:f>IF(I185&gt;=Rules!$B$13,Rules!$C$13,IF(I185&gt;=Rules!$B$14,Rules!$C$14,IF(I185&gt;=Rules!$B$15,Rules!$C$15,IF(I185&gt;=Rules!$B$16,Rules!$C$16,Rules!$C$17))))</x:f>
        <x:v>2</x:v>
      </x:c>
      <x:c r="K185" s="5" t="n">
        <x:f>VLOOKUP(B185,Courses!$A$5:$D$14,3,FALSE)</x:f>
        <x:v>3</x:v>
      </x:c>
      <x:c r="L185" s="5" t="n">
        <x:f>J185*K185</x:f>
        <x:v>6</x:v>
      </x:c>
      <x:c r="M185" s="5" t="str">
        <x:f>VLOOKUP(A185,Students!$A$5:$H$45,5,FALSE)</x:f>
        <x:v>BA01</x:v>
      </x:c>
      <x:c r="N185" s="5" t="str">
        <x:f>'Sections'!E5</x:f>
        <x:v>T011</x:v>
      </x:c>
      <x:c r="O185" s="5" t="n">
        <x:f>IF(J185&gt;0,1,0)</x:f>
        <x:v>1</x:v>
      </x:c>
    </x:row>
    <x:row r="186" ht="21" customHeight="1">
      <x:c r="A186" s="3" t="str">
        <x:v>2202009</x:v>
      </x:c>
      <x:c r="B186" s="3" t="str">
        <x:v>BA102</x:v>
      </x:c>
      <x:c r="C186" s="3" t="str">
        <x:v>2024-2</x:v>
      </x:c>
      <x:c r="D186" s="3" t="n">
        <x:v>7.5</x:v>
      </x:c>
      <x:c r="E186" s="3" t="n">
        <x:v>8.3</x:v>
      </x:c>
      <x:c r="F186" s="3" t="n">
        <x:v>1</x:v>
      </x:c>
      <x:c r="G186" s="3" t="str"/>
      <x:c r="H186" s="3" t="n">
        <x:v>183</x:v>
      </x:c>
      <x:c r="I186" s="5" t="n">
        <x:f>ROUND(D186*Rules!$B$5+E186*Rules!$B$6,1)</x:f>
        <x:v>8</x:v>
      </x:c>
      <x:c r="J186" s="5" t="n">
        <x:f>IF(I186&gt;=Rules!$B$13,Rules!$C$13,IF(I186&gt;=Rules!$B$14,Rules!$C$14,IF(I186&gt;=Rules!$B$15,Rules!$C$15,IF(I186&gt;=Rules!$B$16,Rules!$C$16,Rules!$C$17))))</x:f>
        <x:v>3</x:v>
      </x:c>
      <x:c r="K186" s="5" t="n">
        <x:f>VLOOKUP(B186,Courses!$A$5:$D$14,3,FALSE)</x:f>
        <x:v>3</x:v>
      </x:c>
      <x:c r="L186" s="5" t="n">
        <x:f>J186*K186</x:f>
        <x:v>9</x:v>
      </x:c>
      <x:c r="M186" s="5" t="str">
        <x:f>VLOOKUP(A186,Students!$A$5:$H$45,5,FALSE)</x:f>
        <x:v>BA01</x:v>
      </x:c>
      <x:c r="N186" s="5" t="str">
        <x:f>'Sections'!E9</x:f>
        <x:v>T011</x:v>
      </x:c>
      <x:c r="O186" s="5" t="n">
        <x:f>IF(J186&gt;0,1,0)</x:f>
        <x:v>1</x:v>
      </x:c>
    </x:row>
    <x:row r="187" ht="21" customHeight="1">
      <x:c r="A187" s="3" t="str">
        <x:v>2202009</x:v>
      </x:c>
      <x:c r="B187" s="3" t="str">
        <x:v>BA201</x:v>
      </x:c>
      <x:c r="C187" s="3" t="str">
        <x:v>2024-2</x:v>
      </x:c>
      <x:c r="D187" s="3" t="n">
        <x:v>6.9</x:v>
      </x:c>
      <x:c r="E187" s="3" t="n">
        <x:v>5.7</x:v>
      </x:c>
      <x:c r="F187" s="3" t="n">
        <x:v>1</x:v>
      </x:c>
      <x:c r="G187" s="3" t="str"/>
      <x:c r="H187" s="3" t="n">
        <x:v>184</x:v>
      </x:c>
      <x:c r="I187" s="5" t="n">
        <x:f>ROUND(D187*Rules!$B$5+E187*Rules!$B$6,1)</x:f>
        <x:v>6.2</x:v>
      </x:c>
      <x:c r="J187" s="5" t="n">
        <x:f>IF(I187&gt;=Rules!$B$13,Rules!$C$13,IF(I187&gt;=Rules!$B$14,Rules!$C$14,IF(I187&gt;=Rules!$B$15,Rules!$C$15,IF(I187&gt;=Rules!$B$16,Rules!$C$16,Rules!$C$17))))</x:f>
        <x:v>2</x:v>
      </x:c>
      <x:c r="K187" s="5" t="n">
        <x:f>VLOOKUP(B187,Courses!$A$5:$D$14,3,FALSE)</x:f>
        <x:v>4</x:v>
      </x:c>
      <x:c r="L187" s="5" t="n">
        <x:f>J187*K187</x:f>
        <x:v>8</x:v>
      </x:c>
      <x:c r="M187" s="5" t="str">
        <x:f>VLOOKUP(A187,Students!$A$5:$H$45,5,FALSE)</x:f>
        <x:v>BA01</x:v>
      </x:c>
      <x:c r="N187" s="5" t="str">
        <x:f>'Sections'!E13</x:f>
        <x:v>T011</x:v>
      </x:c>
      <x:c r="O187" s="5" t="n">
        <x:f>IF(J187&gt;0,1,0)</x:f>
        <x:v>1</x:v>
      </x:c>
    </x:row>
    <x:row r="188" ht="21" customHeight="1">
      <x:c r="A188" s="3" t="str">
        <x:v>2202009</x:v>
      </x:c>
      <x:c r="B188" s="3" t="str">
        <x:v>BA202</x:v>
      </x:c>
      <x:c r="C188" s="3" t="str">
        <x:v>2025-1</x:v>
      </x:c>
      <x:c r="D188" s="3" t="n">
        <x:v>6.7</x:v>
      </x:c>
      <x:c r="E188" s="3" t="n">
        <x:v>8.6</x:v>
      </x:c>
      <x:c r="F188" s="3" t="n">
        <x:v>1</x:v>
      </x:c>
      <x:c r="G188" s="3" t="str"/>
      <x:c r="H188" s="3" t="n">
        <x:v>185</x:v>
      </x:c>
      <x:c r="I188" s="5" t="n">
        <x:f>ROUND(D188*Rules!$B$5+E188*Rules!$B$6,1)</x:f>
        <x:v>7.8</x:v>
      </x:c>
      <x:c r="J188" s="5" t="n">
        <x:f>IF(I188&gt;=Rules!$B$13,Rules!$C$13,IF(I188&gt;=Rules!$B$14,Rules!$C$14,IF(I188&gt;=Rules!$B$15,Rules!$C$15,IF(I188&gt;=Rules!$B$16,Rules!$C$16,Rules!$C$17))))</x:f>
        <x:v>3</x:v>
      </x:c>
      <x:c r="K188" s="5" t="n">
        <x:f>VLOOKUP(B188,Courses!$A$5:$D$14,3,FALSE)</x:f>
        <x:v>3</x:v>
      </x:c>
      <x:c r="L188" s="5" t="n">
        <x:f>J188*K188</x:f>
        <x:v>9</x:v>
      </x:c>
      <x:c r="M188" s="5" t="str">
        <x:f>VLOOKUP(A188,Students!$A$5:$H$45,5,FALSE)</x:f>
        <x:v>BA01</x:v>
      </x:c>
      <x:c r="N188" s="5" t="str">
        <x:f>'Sections'!E16</x:f>
        <x:v>T012</x:v>
      </x:c>
      <x:c r="O188" s="5" t="n">
        <x:f>IF(J188&gt;0,1,0)</x:f>
        <x:v>1</x:v>
      </x:c>
    </x:row>
    <x:row r="189" ht="21" customHeight="1">
      <x:c r="A189" s="3" t="str">
        <x:v>2202010</x:v>
      </x:c>
      <x:c r="B189" s="3" t="str">
        <x:v>GE101</x:v>
      </x:c>
      <x:c r="C189" s="3" t="str">
        <x:v>2024-1</x:v>
      </x:c>
      <x:c r="D189" s="3" t="n">
        <x:v>3.8</x:v>
      </x:c>
      <x:c r="E189" s="3" t="n">
        <x:v>4</x:v>
      </x:c>
      <x:c r="F189" s="3" t="n">
        <x:v>1</x:v>
      </x:c>
      <x:c r="G189" s="3" t="str"/>
      <x:c r="H189" s="3" t="n">
        <x:v>186</x:v>
      </x:c>
      <x:c r="I189" s="5" t="n">
        <x:f>ROUND(D189*Rules!$B$5+E189*Rules!$B$6,1)</x:f>
        <x:v>3.9</x:v>
      </x:c>
      <x:c r="J189" s="5" t="n">
        <x:f>IF(I189&gt;=Rules!$B$13,Rules!$C$13,IF(I189&gt;=Rules!$B$14,Rules!$C$14,IF(I189&gt;=Rules!$B$15,Rules!$C$15,IF(I189&gt;=Rules!$B$16,Rules!$C$16,Rules!$C$17))))</x:f>
        <x:v>0</x:v>
      </x:c>
      <x:c r="K189" s="5" t="n">
        <x:f>VLOOKUP(B189,Courses!$A$5:$D$14,3,FALSE)</x:f>
        <x:v>2</x:v>
      </x:c>
      <x:c r="L189" s="5" t="n">
        <x:f>J189*K189</x:f>
        <x:v>0</x:v>
      </x:c>
      <x:c r="M189" s="5" t="str">
        <x:f>VLOOKUP(A189,Students!$A$5:$H$45,5,FALSE)</x:f>
        <x:v>BA01</x:v>
      </x:c>
      <x:c r="N189" s="5" t="str">
        <x:f>'Sections'!E31</x:f>
        <x:v>T011</x:v>
      </x:c>
      <x:c r="O189" s="5" t="n">
        <x:f>IF(J189&gt;0,1,0)</x:f>
        <x:v>0</x:v>
      </x:c>
    </x:row>
    <x:row r="190" ht="21" customHeight="1">
      <x:c r="A190" s="3" t="str">
        <x:v>2202010</x:v>
      </x:c>
      <x:c r="B190" s="3" t="str">
        <x:v>GE102</x:v>
      </x:c>
      <x:c r="C190" s="3" t="str">
        <x:v>2024-1</x:v>
      </x:c>
      <x:c r="D190" s="3" t="n">
        <x:v>4.1</x:v>
      </x:c>
      <x:c r="E190" s="3" t="n">
        <x:v>3.4</x:v>
      </x:c>
      <x:c r="F190" s="3" t="n">
        <x:v>1</x:v>
      </x:c>
      <x:c r="G190" s="3" t="str"/>
      <x:c r="H190" s="3" t="n">
        <x:v>187</x:v>
      </x:c>
      <x:c r="I190" s="5" t="n">
        <x:f>ROUND(D190*Rules!$B$5+E190*Rules!$B$6,1)</x:f>
        <x:v>3.7</x:v>
      </x:c>
      <x:c r="J190" s="5" t="n">
        <x:f>IF(I190&gt;=Rules!$B$13,Rules!$C$13,IF(I190&gt;=Rules!$B$14,Rules!$C$14,IF(I190&gt;=Rules!$B$15,Rules!$C$15,IF(I190&gt;=Rules!$B$16,Rules!$C$16,Rules!$C$17))))</x:f>
        <x:v>0</x:v>
      </x:c>
      <x:c r="K190" s="5" t="n">
        <x:f>VLOOKUP(B190,Courses!$A$5:$D$14,3,FALSE)</x:f>
        <x:v>3</x:v>
      </x:c>
      <x:c r="L190" s="5" t="n">
        <x:f>J190*K190</x:f>
        <x:v>0</x:v>
      </x:c>
      <x:c r="M190" s="5" t="str">
        <x:f>VLOOKUP(A190,Students!$A$5:$H$45,5,FALSE)</x:f>
        <x:v>BA01</x:v>
      </x:c>
      <x:c r="N190" s="5" t="str">
        <x:f>'Sections'!E39</x:f>
        <x:v>T011</x:v>
      </x:c>
      <x:c r="O190" s="5" t="n">
        <x:f>IF(J190&gt;0,1,0)</x:f>
        <x:v>0</x:v>
      </x:c>
    </x:row>
    <x:row r="191" ht="21" customHeight="1">
      <x:c r="A191" s="3" t="str">
        <x:v>2202010</x:v>
      </x:c>
      <x:c r="B191" s="3" t="str">
        <x:v>BA101</x:v>
      </x:c>
      <x:c r="C191" s="3" t="str">
        <x:v>2024-1</x:v>
      </x:c>
      <x:c r="D191" s="3" t="n">
        <x:v>3.5</x:v>
      </x:c>
      <x:c r="E191" s="3" t="n">
        <x:v>3.4</x:v>
      </x:c>
      <x:c r="F191" s="3" t="n">
        <x:v>1</x:v>
      </x:c>
      <x:c r="G191" s="3" t="str"/>
      <x:c r="H191" s="3" t="n">
        <x:v>188</x:v>
      </x:c>
      <x:c r="I191" s="5" t="n">
        <x:f>ROUND(D191*Rules!$B$5+E191*Rules!$B$6,1)</x:f>
        <x:v>3.4</x:v>
      </x:c>
      <x:c r="J191" s="5" t="n">
        <x:f>IF(I191&gt;=Rules!$B$13,Rules!$C$13,IF(I191&gt;=Rules!$B$14,Rules!$C$14,IF(I191&gt;=Rules!$B$15,Rules!$C$15,IF(I191&gt;=Rules!$B$16,Rules!$C$16,Rules!$C$17))))</x:f>
        <x:v>0</x:v>
      </x:c>
      <x:c r="K191" s="5" t="n">
        <x:f>VLOOKUP(B191,Courses!$A$5:$D$14,3,FALSE)</x:f>
        <x:v>3</x:v>
      </x:c>
      <x:c r="L191" s="5" t="n">
        <x:f>J191*K191</x:f>
        <x:v>0</x:v>
      </x:c>
      <x:c r="M191" s="5" t="str">
        <x:f>VLOOKUP(A191,Students!$A$5:$H$45,5,FALSE)</x:f>
        <x:v>BA01</x:v>
      </x:c>
      <x:c r="N191" s="5" t="str">
        <x:f>'Sections'!E5</x:f>
        <x:v>T011</x:v>
      </x:c>
      <x:c r="O191" s="5" t="n">
        <x:f>IF(J191&gt;0,1,0)</x:f>
        <x:v>0</x:v>
      </x:c>
    </x:row>
    <x:row r="192" ht="21" customHeight="1">
      <x:c r="A192" s="3" t="str">
        <x:v>2202010</x:v>
      </x:c>
      <x:c r="B192" s="3" t="str">
        <x:v>BA102</x:v>
      </x:c>
      <x:c r="C192" s="3" t="str">
        <x:v>2024-2</x:v>
      </x:c>
      <x:c r="D192" s="3" t="n">
        <x:v>3.7</x:v>
      </x:c>
      <x:c r="E192" s="3" t="n">
        <x:v>2.5</x:v>
      </x:c>
      <x:c r="F192" s="3" t="n">
        <x:v>1</x:v>
      </x:c>
      <x:c r="G192" s="3" t="str"/>
      <x:c r="H192" s="3" t="n">
        <x:v>189</x:v>
      </x:c>
      <x:c r="I192" s="5" t="n">
        <x:f>ROUND(D192*Rules!$B$5+E192*Rules!$B$6,1)</x:f>
        <x:v>3</x:v>
      </x:c>
      <x:c r="J192" s="5" t="n">
        <x:f>IF(I192&gt;=Rules!$B$13,Rules!$C$13,IF(I192&gt;=Rules!$B$14,Rules!$C$14,IF(I192&gt;=Rules!$B$15,Rules!$C$15,IF(I192&gt;=Rules!$B$16,Rules!$C$16,Rules!$C$17))))</x:f>
        <x:v>0</x:v>
      </x:c>
      <x:c r="K192" s="5" t="n">
        <x:f>VLOOKUP(B192,Courses!$A$5:$D$14,3,FALSE)</x:f>
        <x:v>3</x:v>
      </x:c>
      <x:c r="L192" s="5" t="n">
        <x:f>J192*K192</x:f>
        <x:v>0</x:v>
      </x:c>
      <x:c r="M192" s="5" t="str">
        <x:f>VLOOKUP(A192,Students!$A$5:$H$45,5,FALSE)</x:f>
        <x:v>BA01</x:v>
      </x:c>
      <x:c r="N192" s="5" t="str">
        <x:f>'Sections'!E9</x:f>
        <x:v>T011</x:v>
      </x:c>
      <x:c r="O192" s="5" t="n">
        <x:f>IF(J192&gt;0,1,0)</x:f>
        <x:v>0</x:v>
      </x:c>
    </x:row>
    <x:row r="193" ht="21" customHeight="1">
      <x:c r="A193" s="3" t="str">
        <x:v>2202010</x:v>
      </x:c>
      <x:c r="B193" s="3" t="str">
        <x:v>BA201</x:v>
      </x:c>
      <x:c r="C193" s="3" t="str">
        <x:v>2024-2</x:v>
      </x:c>
      <x:c r="D193" s="3" t="n">
        <x:v>3.6</x:v>
      </x:c>
      <x:c r="E193" s="3" t="n">
        <x:v>4.4</x:v>
      </x:c>
      <x:c r="F193" s="3" t="n">
        <x:v>1</x:v>
      </x:c>
      <x:c r="G193" s="3" t="str"/>
      <x:c r="H193" s="3" t="n">
        <x:v>190</x:v>
      </x:c>
      <x:c r="I193" s="5" t="n">
        <x:f>ROUND(D193*Rules!$B$5+E193*Rules!$B$6,1)</x:f>
        <x:v>4.1</x:v>
      </x:c>
      <x:c r="J193" s="5" t="n">
        <x:f>IF(I193&gt;=Rules!$B$13,Rules!$C$13,IF(I193&gt;=Rules!$B$14,Rules!$C$14,IF(I193&gt;=Rules!$B$15,Rules!$C$15,IF(I193&gt;=Rules!$B$16,Rules!$C$16,Rules!$C$17))))</x:f>
        <x:v>1</x:v>
      </x:c>
      <x:c r="K193" s="5" t="n">
        <x:f>VLOOKUP(B193,Courses!$A$5:$D$14,3,FALSE)</x:f>
        <x:v>4</x:v>
      </x:c>
      <x:c r="L193" s="5" t="n">
        <x:f>J193*K193</x:f>
        <x:v>4</x:v>
      </x:c>
      <x:c r="M193" s="5" t="str">
        <x:f>VLOOKUP(A193,Students!$A$5:$H$45,5,FALSE)</x:f>
        <x:v>BA01</x:v>
      </x:c>
      <x:c r="N193" s="5" t="str">
        <x:f>'Sections'!E13</x:f>
        <x:v>T011</x:v>
      </x:c>
      <x:c r="O193" s="5" t="n">
        <x:f>IF(J193&gt;0,1,0)</x:f>
        <x:v>1</x:v>
      </x:c>
    </x:row>
    <x:row r="194" ht="21" customHeight="1">
      <x:c r="A194" s="3" t="str">
        <x:v>2202010</x:v>
      </x:c>
      <x:c r="B194" s="3" t="str">
        <x:v>BA202</x:v>
      </x:c>
      <x:c r="C194" s="3" t="str">
        <x:v>2025-1</x:v>
      </x:c>
      <x:c r="D194" s="3" t="n">
        <x:v>4.8</x:v>
      </x:c>
      <x:c r="E194" s="3" t="n">
        <x:v>4.8</x:v>
      </x:c>
      <x:c r="F194" s="3" t="n">
        <x:v>1</x:v>
      </x:c>
      <x:c r="G194" s="3" t="str"/>
      <x:c r="H194" s="3" t="n">
        <x:v>191</x:v>
      </x:c>
      <x:c r="I194" s="5" t="n">
        <x:f>ROUND(D194*Rules!$B$5+E194*Rules!$B$6,1)</x:f>
        <x:v>4.8</x:v>
      </x:c>
      <x:c r="J194" s="5" t="n">
        <x:f>IF(I194&gt;=Rules!$B$13,Rules!$C$13,IF(I194&gt;=Rules!$B$14,Rules!$C$14,IF(I194&gt;=Rules!$B$15,Rules!$C$15,IF(I194&gt;=Rules!$B$16,Rules!$C$16,Rules!$C$17))))</x:f>
        <x:v>1</x:v>
      </x:c>
      <x:c r="K194" s="5" t="n">
        <x:f>VLOOKUP(B194,Courses!$A$5:$D$14,3,FALSE)</x:f>
        <x:v>3</x:v>
      </x:c>
      <x:c r="L194" s="5" t="n">
        <x:f>J194*K194</x:f>
        <x:v>3</x:v>
      </x:c>
      <x:c r="M194" s="5" t="str">
        <x:f>VLOOKUP(A194,Students!$A$5:$H$45,5,FALSE)</x:f>
        <x:v>BA01</x:v>
      </x:c>
      <x:c r="N194" s="5" t="str">
        <x:f>'Sections'!E16</x:f>
        <x:v>T012</x:v>
      </x:c>
      <x:c r="O194" s="5" t="n">
        <x:f>IF(J194&gt;0,1,0)</x:f>
        <x:v>1</x:v>
      </x:c>
    </x:row>
    <x:row r="195" ht="21" customHeight="1">
      <x:c r="A195" s="3" t="str">
        <x:v>2202010</x:v>
      </x:c>
      <x:c r="B195" s="3" t="str">
        <x:v>GE101</x:v>
      </x:c>
      <x:c r="C195" s="3" t="str">
        <x:v>2025-1</x:v>
      </x:c>
      <x:c r="D195" s="3" t="n">
        <x:v>6.4</x:v>
      </x:c>
      <x:c r="E195" s="3" t="n">
        <x:v>5.8</x:v>
      </x:c>
      <x:c r="F195" s="3" t="n">
        <x:v>1</x:v>
      </x:c>
      <x:c r="G195" s="3" t="str"/>
      <x:c r="H195" s="3" t="n">
        <x:v>192</x:v>
      </x:c>
      <x:c r="I195" s="5" t="n">
        <x:f>ROUND(D195*Rules!$B$5+E195*Rules!$B$6,1)</x:f>
        <x:v>6</x:v>
      </x:c>
      <x:c r="J195" s="5" t="n">
        <x:f>IF(I195&gt;=Rules!$B$13,Rules!$C$13,IF(I195&gt;=Rules!$B$14,Rules!$C$14,IF(I195&gt;=Rules!$B$15,Rules!$C$15,IF(I195&gt;=Rules!$B$16,Rules!$C$16,Rules!$C$17))))</x:f>
        <x:v>2</x:v>
      </x:c>
      <x:c r="K195" s="5" t="n">
        <x:f>VLOOKUP(B195,Courses!$A$5:$D$14,3,FALSE)</x:f>
        <x:v>2</x:v>
      </x:c>
      <x:c r="L195" s="5" t="n">
        <x:f>J195*K195</x:f>
        <x:v>4</x:v>
      </x:c>
      <x:c r="M195" s="5" t="str">
        <x:f>VLOOKUP(A195,Students!$A$5:$H$45,5,FALSE)</x:f>
        <x:v>BA01</x:v>
      </x:c>
      <x:c r="N195" s="5" t="str">
        <x:f>'Sections'!E35</x:f>
        <x:v>T012</x:v>
      </x:c>
      <x:c r="O195" s="5" t="n">
        <x:f>IF(J195&gt;0,1,0)</x:f>
        <x:v>1</x:v>
      </x:c>
    </x:row>
    <x:row r="196" ht="21" customHeight="1">
      <x:c r="A196" s="3" t="str">
        <x:v>2202010</x:v>
      </x:c>
      <x:c r="B196" s="3" t="str">
        <x:v>GE102</x:v>
      </x:c>
      <x:c r="C196" s="3" t="str">
        <x:v>2025-1</x:v>
      </x:c>
      <x:c r="D196" s="3" t="n">
        <x:v>7.6</x:v>
      </x:c>
      <x:c r="E196" s="3" t="n">
        <x:v>7.1</x:v>
      </x:c>
      <x:c r="F196" s="3" t="n">
        <x:v>1</x:v>
      </x:c>
      <x:c r="G196" s="3" t="str"/>
      <x:c r="H196" s="3" t="n">
        <x:v>193</x:v>
      </x:c>
      <x:c r="I196" s="5" t="n">
        <x:f>ROUND(D196*Rules!$B$5+E196*Rules!$B$6,1)</x:f>
        <x:v>7.3</x:v>
      </x:c>
      <x:c r="J196" s="5" t="n">
        <x:f>IF(I196&gt;=Rules!$B$13,Rules!$C$13,IF(I196&gt;=Rules!$B$14,Rules!$C$14,IF(I196&gt;=Rules!$B$15,Rules!$C$15,IF(I196&gt;=Rules!$B$16,Rules!$C$16,Rules!$C$17))))</x:f>
        <x:v>3</x:v>
      </x:c>
      <x:c r="K196" s="5" t="n">
        <x:f>VLOOKUP(B196,Courses!$A$5:$D$14,3,FALSE)</x:f>
        <x:v>3</x:v>
      </x:c>
      <x:c r="L196" s="5" t="n">
        <x:f>J196*K196</x:f>
        <x:v>9</x:v>
      </x:c>
      <x:c r="M196" s="5" t="str">
        <x:f>VLOOKUP(A196,Students!$A$5:$H$45,5,FALSE)</x:f>
        <x:v>BA01</x:v>
      </x:c>
      <x:c r="N196" s="5" t="str">
        <x:f>'Sections'!E43</x:f>
        <x:v>T012</x:v>
      </x:c>
      <x:c r="O196" s="5" t="n">
        <x:f>IF(J196&gt;0,1,0)</x:f>
        <x:v>1</x:v>
      </x:c>
    </x:row>
    <x:row r="197" ht="21" customHeight="1">
      <x:c r="A197" s="3" t="str">
        <x:v>2202010</x:v>
      </x:c>
      <x:c r="B197" s="3" t="str">
        <x:v>BA101</x:v>
      </x:c>
      <x:c r="C197" s="3" t="str">
        <x:v>2025-1</x:v>
      </x:c>
      <x:c r="D197" s="3" t="n">
        <x:v>6.5</x:v>
      </x:c>
      <x:c r="E197" s="3" t="n">
        <x:v>7.4</x:v>
      </x:c>
      <x:c r="F197" s="3" t="n">
        <x:v>1</x:v>
      </x:c>
      <x:c r="G197" s="3" t="str"/>
      <x:c r="H197" s="3" t="n">
        <x:v>194</x:v>
      </x:c>
      <x:c r="I197" s="5" t="n">
        <x:f>ROUND(D197*Rules!$B$5+E197*Rules!$B$6,1)</x:f>
        <x:v>7</x:v>
      </x:c>
      <x:c r="J197" s="5" t="n">
        <x:f>IF(I197&gt;=Rules!$B$13,Rules!$C$13,IF(I197&gt;=Rules!$B$14,Rules!$C$14,IF(I197&gt;=Rules!$B$15,Rules!$C$15,IF(I197&gt;=Rules!$B$16,Rules!$C$16,Rules!$C$17))))</x:f>
        <x:v>3</x:v>
      </x:c>
      <x:c r="K197" s="5" t="n">
        <x:f>VLOOKUP(B197,Courses!$A$5:$D$14,3,FALSE)</x:f>
        <x:v>3</x:v>
      </x:c>
      <x:c r="L197" s="5" t="n">
        <x:f>J197*K197</x:f>
        <x:v>9</x:v>
      </x:c>
      <x:c r="M197" s="5" t="str">
        <x:f>VLOOKUP(A197,Students!$A$5:$H$45,5,FALSE)</x:f>
        <x:v>BA01</x:v>
      </x:c>
      <x:c r="N197" s="5" t="str">
        <x:f>'Sections'!E7</x:f>
        <x:v>T011</x:v>
      </x:c>
      <x:c r="O197" s="5" t="n">
        <x:f>IF(J197&gt;0,1,0)</x:f>
        <x:v>1</x:v>
      </x:c>
    </x:row>
    <x:row r="198" ht="21" customHeight="1">
      <x:c r="A198" s="3" t="str">
        <x:v>2202010</x:v>
      </x:c>
      <x:c r="B198" s="3" t="str">
        <x:v>BA102</x:v>
      </x:c>
      <x:c r="C198" s="3" t="str">
        <x:v>2025-1</x:v>
      </x:c>
      <x:c r="D198" s="3" t="n">
        <x:v>8</x:v>
      </x:c>
      <x:c r="E198" s="3" t="n">
        <x:v>5.6</x:v>
      </x:c>
      <x:c r="F198" s="3" t="n">
        <x:v>1</x:v>
      </x:c>
      <x:c r="G198" s="3" t="str"/>
      <x:c r="H198" s="3" t="n">
        <x:v>195</x:v>
      </x:c>
      <x:c r="I198" s="5" t="n">
        <x:f>ROUND(D198*Rules!$B$5+E198*Rules!$B$6,1)</x:f>
        <x:v>6.6</x:v>
      </x:c>
      <x:c r="J198" s="5" t="n">
        <x:f>IF(I198&gt;=Rules!$B$13,Rules!$C$13,IF(I198&gt;=Rules!$B$14,Rules!$C$14,IF(I198&gt;=Rules!$B$15,Rules!$C$15,IF(I198&gt;=Rules!$B$16,Rules!$C$16,Rules!$C$17))))</x:f>
        <x:v>2</x:v>
      </x:c>
      <x:c r="K198" s="5" t="n">
        <x:f>VLOOKUP(B198,Courses!$A$5:$D$14,3,FALSE)</x:f>
        <x:v>3</x:v>
      </x:c>
      <x:c r="L198" s="5" t="n">
        <x:f>J198*K198</x:f>
        <x:v>6</x:v>
      </x:c>
      <x:c r="M198" s="5" t="str">
        <x:f>VLOOKUP(A198,Students!$A$5:$H$45,5,FALSE)</x:f>
        <x:v>BA01</x:v>
      </x:c>
      <x:c r="N198" s="5" t="str">
        <x:f>'Sections'!E11</x:f>
        <x:v>T011</x:v>
      </x:c>
      <x:c r="O198" s="5" t="n">
        <x:f>IF(J198&gt;0,1,0)</x:f>
        <x:v>1</x:v>
      </x:c>
    </x:row>
    <x:row r="199" ht="21" customHeight="1">
      <x:c r="A199" s="3" t="str">
        <x:v>2202011</x:v>
      </x:c>
      <x:c r="B199" s="3" t="str">
        <x:v>GE101</x:v>
      </x:c>
      <x:c r="C199" s="3" t="str">
        <x:v>2024-1</x:v>
      </x:c>
      <x:c r="D199" s="3" t="n">
        <x:v>8.7</x:v>
      </x:c>
      <x:c r="E199" s="3" t="n">
        <x:v>7.5</x:v>
      </x:c>
      <x:c r="F199" s="3" t="n">
        <x:v>1</x:v>
      </x:c>
      <x:c r="G199" s="3" t="str"/>
      <x:c r="H199" s="3" t="n">
        <x:v>196</x:v>
      </x:c>
      <x:c r="I199" s="5" t="n">
        <x:f>ROUND(D199*Rules!$B$5+E199*Rules!$B$6,1)</x:f>
        <x:v>8</x:v>
      </x:c>
      <x:c r="J199" s="5" t="n">
        <x:f>IF(I199&gt;=Rules!$B$13,Rules!$C$13,IF(I199&gt;=Rules!$B$14,Rules!$C$14,IF(I199&gt;=Rules!$B$15,Rules!$C$15,IF(I199&gt;=Rules!$B$16,Rules!$C$16,Rules!$C$17))))</x:f>
        <x:v>3</x:v>
      </x:c>
      <x:c r="K199" s="5" t="n">
        <x:f>VLOOKUP(B199,Courses!$A$5:$D$14,3,FALSE)</x:f>
        <x:v>2</x:v>
      </x:c>
      <x:c r="L199" s="5" t="n">
        <x:f>J199*K199</x:f>
        <x:v>6</x:v>
      </x:c>
      <x:c r="M199" s="5" t="str">
        <x:f>VLOOKUP(A199,Students!$A$5:$H$45,5,FALSE)</x:f>
        <x:v>BA02</x:v>
      </x:c>
      <x:c r="N199" s="5" t="str">
        <x:f>'Sections'!E32</x:f>
        <x:v>T012</x:v>
      </x:c>
      <x:c r="O199" s="5" t="n">
        <x:f>IF(J199&gt;0,1,0)</x:f>
        <x:v>1</x:v>
      </x:c>
    </x:row>
    <x:row r="200" ht="21" customHeight="1">
      <x:c r="A200" s="3" t="str">
        <x:v>2202011</x:v>
      </x:c>
      <x:c r="B200" s="3" t="str">
        <x:v>GE102</x:v>
      </x:c>
      <x:c r="C200" s="3" t="str">
        <x:v>2024-1</x:v>
      </x:c>
      <x:c r="D200" s="3" t="n">
        <x:v>9.3</x:v>
      </x:c>
      <x:c r="E200" s="3" t="n">
        <x:v>9.5</x:v>
      </x:c>
      <x:c r="F200" s="3" t="n">
        <x:v>1</x:v>
      </x:c>
      <x:c r="G200" s="3" t="str"/>
      <x:c r="H200" s="3" t="n">
        <x:v>197</x:v>
      </x:c>
      <x:c r="I200" s="5" t="n">
        <x:f>ROUND(D200*Rules!$B$5+E200*Rules!$B$6,1)</x:f>
        <x:v>9.4</x:v>
      </x:c>
      <x:c r="J200" s="5" t="n">
        <x:f>IF(I200&gt;=Rules!$B$13,Rules!$C$13,IF(I200&gt;=Rules!$B$14,Rules!$C$14,IF(I200&gt;=Rules!$B$15,Rules!$C$15,IF(I200&gt;=Rules!$B$16,Rules!$C$16,Rules!$C$17))))</x:f>
        <x:v>4</x:v>
      </x:c>
      <x:c r="K200" s="5" t="n">
        <x:f>VLOOKUP(B200,Courses!$A$5:$D$14,3,FALSE)</x:f>
        <x:v>3</x:v>
      </x:c>
      <x:c r="L200" s="5" t="n">
        <x:f>J200*K200</x:f>
        <x:v>12</x:v>
      </x:c>
      <x:c r="M200" s="5" t="str">
        <x:f>VLOOKUP(A200,Students!$A$5:$H$45,5,FALSE)</x:f>
        <x:v>BA02</x:v>
      </x:c>
      <x:c r="N200" s="5" t="str">
        <x:f>'Sections'!E40</x:f>
        <x:v>T012</x:v>
      </x:c>
      <x:c r="O200" s="5" t="n">
        <x:f>IF(J200&gt;0,1,0)</x:f>
        <x:v>1</x:v>
      </x:c>
    </x:row>
    <x:row r="201" ht="21" customHeight="1">
      <x:c r="A201" s="3" t="str">
        <x:v>2202011</x:v>
      </x:c>
      <x:c r="B201" s="3" t="str">
        <x:v>BA101</x:v>
      </x:c>
      <x:c r="C201" s="3" t="str">
        <x:v>2024-1</x:v>
      </x:c>
      <x:c r="D201" s="3" t="n">
        <x:v>8.8</x:v>
      </x:c>
      <x:c r="E201" s="3" t="n">
        <x:v>8.2</x:v>
      </x:c>
      <x:c r="F201" s="3" t="n">
        <x:v>1</x:v>
      </x:c>
      <x:c r="G201" s="3" t="str"/>
      <x:c r="H201" s="3" t="n">
        <x:v>198</x:v>
      </x:c>
      <x:c r="I201" s="5" t="n">
        <x:f>ROUND(D201*Rules!$B$5+E201*Rules!$B$6,1)</x:f>
        <x:v>8.4</x:v>
      </x:c>
      <x:c r="J201" s="5" t="n">
        <x:f>IF(I201&gt;=Rules!$B$13,Rules!$C$13,IF(I201&gt;=Rules!$B$14,Rules!$C$14,IF(I201&gt;=Rules!$B$15,Rules!$C$15,IF(I201&gt;=Rules!$B$16,Rules!$C$16,Rules!$C$17))))</x:f>
        <x:v>3</x:v>
      </x:c>
      <x:c r="K201" s="5" t="n">
        <x:f>VLOOKUP(B201,Courses!$A$5:$D$14,3,FALSE)</x:f>
        <x:v>3</x:v>
      </x:c>
      <x:c r="L201" s="5" t="n">
        <x:f>J201*K201</x:f>
        <x:v>9</x:v>
      </x:c>
      <x:c r="M201" s="5" t="str">
        <x:f>VLOOKUP(A201,Students!$A$5:$H$45,5,FALSE)</x:f>
        <x:v>BA02</x:v>
      </x:c>
      <x:c r="N201" s="5" t="str">
        <x:f>'Sections'!E6</x:f>
        <x:v>T012</x:v>
      </x:c>
      <x:c r="O201" s="5" t="n">
        <x:f>IF(J201&gt;0,1,0)</x:f>
        <x:v>1</x:v>
      </x:c>
    </x:row>
    <x:row r="202" ht="21" customHeight="1">
      <x:c r="A202" s="3" t="str">
        <x:v>2202011</x:v>
      </x:c>
      <x:c r="B202" s="3" t="str">
        <x:v>BA102</x:v>
      </x:c>
      <x:c r="C202" s="3" t="str">
        <x:v>2024-2</x:v>
      </x:c>
      <x:c r="D202" s="3" t="n">
        <x:v>8.6</x:v>
      </x:c>
      <x:c r="E202" s="3" t="n">
        <x:v>7.5</x:v>
      </x:c>
      <x:c r="F202" s="3" t="n">
        <x:v>1</x:v>
      </x:c>
      <x:c r="G202" s="3" t="str"/>
      <x:c r="H202" s="3" t="n">
        <x:v>199</x:v>
      </x:c>
      <x:c r="I202" s="5" t="n">
        <x:f>ROUND(D202*Rules!$B$5+E202*Rules!$B$6,1)</x:f>
        <x:v>7.9</x:v>
      </x:c>
      <x:c r="J202" s="5" t="n">
        <x:f>IF(I202&gt;=Rules!$B$13,Rules!$C$13,IF(I202&gt;=Rules!$B$14,Rules!$C$14,IF(I202&gt;=Rules!$B$15,Rules!$C$15,IF(I202&gt;=Rules!$B$16,Rules!$C$16,Rules!$C$17))))</x:f>
        <x:v>3</x:v>
      </x:c>
      <x:c r="K202" s="5" t="n">
        <x:f>VLOOKUP(B202,Courses!$A$5:$D$14,3,FALSE)</x:f>
        <x:v>3</x:v>
      </x:c>
      <x:c r="L202" s="5" t="n">
        <x:f>J202*K202</x:f>
        <x:v>9</x:v>
      </x:c>
      <x:c r="M202" s="5" t="str">
        <x:f>VLOOKUP(A202,Students!$A$5:$H$45,5,FALSE)</x:f>
        <x:v>BA02</x:v>
      </x:c>
      <x:c r="N202" s="5" t="str">
        <x:f>'Sections'!E10</x:f>
        <x:v>T012</x:v>
      </x:c>
      <x:c r="O202" s="5" t="n">
        <x:f>IF(J202&gt;0,1,0)</x:f>
        <x:v>1</x:v>
      </x:c>
    </x:row>
    <x:row r="203" ht="21" customHeight="1">
      <x:c r="A203" s="3" t="str">
        <x:v>2202011</x:v>
      </x:c>
      <x:c r="B203" s="3" t="str">
        <x:v>BA201</x:v>
      </x:c>
      <x:c r="C203" s="3" t="str">
        <x:v>2024-2</x:v>
      </x:c>
      <x:c r="D203" s="3" t="n">
        <x:v>9.8</x:v>
      </x:c>
      <x:c r="E203" s="3" t="n">
        <x:v>7.9</x:v>
      </x:c>
      <x:c r="F203" s="3" t="n">
        <x:v>1</x:v>
      </x:c>
      <x:c r="G203" s="3" t="str"/>
      <x:c r="H203" s="3" t="n">
        <x:v>200</x:v>
      </x:c>
      <x:c r="I203" s="5" t="n">
        <x:f>ROUND(D203*Rules!$B$5+E203*Rules!$B$6,1)</x:f>
        <x:v>8.7</x:v>
      </x:c>
      <x:c r="J203" s="5" t="n">
        <x:f>IF(I203&gt;=Rules!$B$13,Rules!$C$13,IF(I203&gt;=Rules!$B$14,Rules!$C$14,IF(I203&gt;=Rules!$B$15,Rules!$C$15,IF(I203&gt;=Rules!$B$16,Rules!$C$16,Rules!$C$17))))</x:f>
        <x:v>4</x:v>
      </x:c>
      <x:c r="K203" s="5" t="n">
        <x:f>VLOOKUP(B203,Courses!$A$5:$D$14,3,FALSE)</x:f>
        <x:v>4</x:v>
      </x:c>
      <x:c r="L203" s="5" t="n">
        <x:f>J203*K203</x:f>
        <x:v>16</x:v>
      </x:c>
      <x:c r="M203" s="5" t="str">
        <x:f>VLOOKUP(A203,Students!$A$5:$H$45,5,FALSE)</x:f>
        <x:v>BA02</x:v>
      </x:c>
      <x:c r="N203" s="5" t="str">
        <x:f>'Sections'!E14</x:f>
        <x:v>T012</x:v>
      </x:c>
      <x:c r="O203" s="5" t="n">
        <x:f>IF(J203&gt;0,1,0)</x:f>
        <x:v>1</x:v>
      </x:c>
    </x:row>
    <x:row r="204" ht="21" customHeight="1">
      <x:c r="A204" s="3" t="str">
        <x:v>2202011</x:v>
      </x:c>
      <x:c r="B204" s="3" t="str">
        <x:v>BA202</x:v>
      </x:c>
      <x:c r="C204" s="3" t="str">
        <x:v>2025-1</x:v>
      </x:c>
      <x:c r="D204" s="3" t="n">
        <x:v>8.5</x:v>
      </x:c>
      <x:c r="E204" s="3" t="n">
        <x:v>9.2</x:v>
      </x:c>
      <x:c r="F204" s="3" t="n">
        <x:v>1</x:v>
      </x:c>
      <x:c r="G204" s="3" t="str"/>
      <x:c r="H204" s="3" t="n">
        <x:v>201</x:v>
      </x:c>
      <x:c r="I204" s="5" t="n">
        <x:f>ROUND(D204*Rules!$B$5+E204*Rules!$B$6,1)</x:f>
        <x:v>8.9</x:v>
      </x:c>
      <x:c r="J204" s="5" t="n">
        <x:f>IF(I204&gt;=Rules!$B$13,Rules!$C$13,IF(I204&gt;=Rules!$B$14,Rules!$C$14,IF(I204&gt;=Rules!$B$15,Rules!$C$15,IF(I204&gt;=Rules!$B$16,Rules!$C$16,Rules!$C$17))))</x:f>
        <x:v>4</x:v>
      </x:c>
      <x:c r="K204" s="5" t="n">
        <x:f>VLOOKUP(B204,Courses!$A$5:$D$14,3,FALSE)</x:f>
        <x:v>3</x:v>
      </x:c>
      <x:c r="L204" s="5" t="n">
        <x:f>J204*K204</x:f>
        <x:v>12</x:v>
      </x:c>
      <x:c r="M204" s="5" t="str">
        <x:f>VLOOKUP(A204,Students!$A$5:$H$45,5,FALSE)</x:f>
        <x:v>BA02</x:v>
      </x:c>
      <x:c r="N204" s="5" t="str">
        <x:f>'Sections'!E17</x:f>
        <x:v>T011</x:v>
      </x:c>
      <x:c r="O204" s="5" t="n">
        <x:f>IF(J204&gt;0,1,0)</x:f>
        <x:v>1</x:v>
      </x:c>
    </x:row>
    <x:row r="205" ht="21" customHeight="1">
      <x:c r="A205" s="3" t="str">
        <x:v>2202012</x:v>
      </x:c>
      <x:c r="B205" s="3" t="str">
        <x:v>GE101</x:v>
      </x:c>
      <x:c r="C205" s="3" t="str">
        <x:v>2024-1</x:v>
      </x:c>
      <x:c r="D205" s="3" t="n">
        <x:v>7.7</x:v>
      </x:c>
      <x:c r="E205" s="3" t="n">
        <x:v>6.9</x:v>
      </x:c>
      <x:c r="F205" s="3" t="n">
        <x:v>1</x:v>
      </x:c>
      <x:c r="G205" s="3" t="str"/>
      <x:c r="H205" s="3" t="n">
        <x:v>202</x:v>
      </x:c>
      <x:c r="I205" s="5" t="n">
        <x:f>ROUND(D205*Rules!$B$5+E205*Rules!$B$6,1)</x:f>
        <x:v>7.2</x:v>
      </x:c>
      <x:c r="J205" s="5" t="n">
        <x:f>IF(I205&gt;=Rules!$B$13,Rules!$C$13,IF(I205&gt;=Rules!$B$14,Rules!$C$14,IF(I205&gt;=Rules!$B$15,Rules!$C$15,IF(I205&gt;=Rules!$B$16,Rules!$C$16,Rules!$C$17))))</x:f>
        <x:v>3</x:v>
      </x:c>
      <x:c r="K205" s="5" t="n">
        <x:f>VLOOKUP(B205,Courses!$A$5:$D$14,3,FALSE)</x:f>
        <x:v>2</x:v>
      </x:c>
      <x:c r="L205" s="5" t="n">
        <x:f>J205*K205</x:f>
        <x:v>6</x:v>
      </x:c>
      <x:c r="M205" s="5" t="str">
        <x:f>VLOOKUP(A205,Students!$A$5:$H$45,5,FALSE)</x:f>
        <x:v>BA02</x:v>
      </x:c>
      <x:c r="N205" s="5" t="str">
        <x:f>'Sections'!E32</x:f>
        <x:v>T012</x:v>
      </x:c>
      <x:c r="O205" s="5" t="n">
        <x:f>IF(J205&gt;0,1,0)</x:f>
        <x:v>1</x:v>
      </x:c>
    </x:row>
    <x:row r="206" ht="21" customHeight="1">
      <x:c r="A206" s="3" t="str">
        <x:v>2202012</x:v>
      </x:c>
      <x:c r="B206" s="3" t="str">
        <x:v>GE102</x:v>
      </x:c>
      <x:c r="C206" s="3" t="str">
        <x:v>2024-1</x:v>
      </x:c>
      <x:c r="D206" s="3" t="n">
        <x:v>7.6</x:v>
      </x:c>
      <x:c r="E206" s="3" t="n">
        <x:v>6.1</x:v>
      </x:c>
      <x:c r="F206" s="3" t="n">
        <x:v>1</x:v>
      </x:c>
      <x:c r="G206" s="3" t="str"/>
      <x:c r="H206" s="3" t="n">
        <x:v>203</x:v>
      </x:c>
      <x:c r="I206" s="5" t="n">
        <x:f>ROUND(D206*Rules!$B$5+E206*Rules!$B$6,1)</x:f>
        <x:v>6.7</x:v>
      </x:c>
      <x:c r="J206" s="5" t="n">
        <x:f>IF(I206&gt;=Rules!$B$13,Rules!$C$13,IF(I206&gt;=Rules!$B$14,Rules!$C$14,IF(I206&gt;=Rules!$B$15,Rules!$C$15,IF(I206&gt;=Rules!$B$16,Rules!$C$16,Rules!$C$17))))</x:f>
        <x:v>2</x:v>
      </x:c>
      <x:c r="K206" s="5" t="n">
        <x:f>VLOOKUP(B206,Courses!$A$5:$D$14,3,FALSE)</x:f>
        <x:v>3</x:v>
      </x:c>
      <x:c r="L206" s="5" t="n">
        <x:f>J206*K206</x:f>
        <x:v>6</x:v>
      </x:c>
      <x:c r="M206" s="5" t="str">
        <x:f>VLOOKUP(A206,Students!$A$5:$H$45,5,FALSE)</x:f>
        <x:v>BA02</x:v>
      </x:c>
      <x:c r="N206" s="5" t="str">
        <x:f>'Sections'!E40</x:f>
        <x:v>T012</x:v>
      </x:c>
      <x:c r="O206" s="5" t="n">
        <x:f>IF(J206&gt;0,1,0)</x:f>
        <x:v>1</x:v>
      </x:c>
    </x:row>
    <x:row r="207" ht="21" customHeight="1">
      <x:c r="A207" s="3" t="str">
        <x:v>2202012</x:v>
      </x:c>
      <x:c r="B207" s="3" t="str">
        <x:v>BA101</x:v>
      </x:c>
      <x:c r="C207" s="3" t="str">
        <x:v>2024-1</x:v>
      </x:c>
      <x:c r="D207" s="3" t="n">
        <x:v>7.6</x:v>
      </x:c>
      <x:c r="E207" s="3" t="n">
        <x:v>7.7</x:v>
      </x:c>
      <x:c r="F207" s="3" t="n">
        <x:v>1</x:v>
      </x:c>
      <x:c r="G207" s="3" t="str"/>
      <x:c r="H207" s="3" t="n">
        <x:v>204</x:v>
      </x:c>
      <x:c r="I207" s="5" t="n">
        <x:f>ROUND(D207*Rules!$B$5+E207*Rules!$B$6,1)</x:f>
        <x:v>7.7</x:v>
      </x:c>
      <x:c r="J207" s="5" t="n">
        <x:f>IF(I207&gt;=Rules!$B$13,Rules!$C$13,IF(I207&gt;=Rules!$B$14,Rules!$C$14,IF(I207&gt;=Rules!$B$15,Rules!$C$15,IF(I207&gt;=Rules!$B$16,Rules!$C$16,Rules!$C$17))))</x:f>
        <x:v>3</x:v>
      </x:c>
      <x:c r="K207" s="5" t="n">
        <x:f>VLOOKUP(B207,Courses!$A$5:$D$14,3,FALSE)</x:f>
        <x:v>3</x:v>
      </x:c>
      <x:c r="L207" s="5" t="n">
        <x:f>J207*K207</x:f>
        <x:v>9</x:v>
      </x:c>
      <x:c r="M207" s="5" t="str">
        <x:f>VLOOKUP(A207,Students!$A$5:$H$45,5,FALSE)</x:f>
        <x:v>BA02</x:v>
      </x:c>
      <x:c r="N207" s="5" t="str">
        <x:f>'Sections'!E6</x:f>
        <x:v>T012</x:v>
      </x:c>
      <x:c r="O207" s="5" t="n">
        <x:f>IF(J207&gt;0,1,0)</x:f>
        <x:v>1</x:v>
      </x:c>
    </x:row>
    <x:row r="208" ht="21" customHeight="1">
      <x:c r="A208" s="3" t="str">
        <x:v>2202012</x:v>
      </x:c>
      <x:c r="B208" s="3" t="str">
        <x:v>BA102</x:v>
      </x:c>
      <x:c r="C208" s="3" t="str">
        <x:v>2024-2</x:v>
      </x:c>
      <x:c r="D208" s="3" t="n">
        <x:v>6.8</x:v>
      </x:c>
      <x:c r="E208" s="3" t="n">
        <x:v>7.3</x:v>
      </x:c>
      <x:c r="F208" s="3" t="n">
        <x:v>1</x:v>
      </x:c>
      <x:c r="G208" s="3" t="str"/>
      <x:c r="H208" s="3" t="n">
        <x:v>205</x:v>
      </x:c>
      <x:c r="I208" s="5" t="n">
        <x:f>ROUND(D208*Rules!$B$5+E208*Rules!$B$6,1)</x:f>
        <x:v>7.1</x:v>
      </x:c>
      <x:c r="J208" s="5" t="n">
        <x:f>IF(I208&gt;=Rules!$B$13,Rules!$C$13,IF(I208&gt;=Rules!$B$14,Rules!$C$14,IF(I208&gt;=Rules!$B$15,Rules!$C$15,IF(I208&gt;=Rules!$B$16,Rules!$C$16,Rules!$C$17))))</x:f>
        <x:v>3</x:v>
      </x:c>
      <x:c r="K208" s="5" t="n">
        <x:f>VLOOKUP(B208,Courses!$A$5:$D$14,3,FALSE)</x:f>
        <x:v>3</x:v>
      </x:c>
      <x:c r="L208" s="5" t="n">
        <x:f>J208*K208</x:f>
        <x:v>9</x:v>
      </x:c>
      <x:c r="M208" s="5" t="str">
        <x:f>VLOOKUP(A208,Students!$A$5:$H$45,5,FALSE)</x:f>
        <x:v>BA02</x:v>
      </x:c>
      <x:c r="N208" s="5" t="str">
        <x:f>'Sections'!E10</x:f>
        <x:v>T012</x:v>
      </x:c>
      <x:c r="O208" s="5" t="n">
        <x:f>IF(J208&gt;0,1,0)</x:f>
        <x:v>1</x:v>
      </x:c>
    </x:row>
    <x:row r="209" ht="21" customHeight="1">
      <x:c r="A209" s="3" t="str">
        <x:v>2202012</x:v>
      </x:c>
      <x:c r="B209" s="3" t="str">
        <x:v>BA201</x:v>
      </x:c>
      <x:c r="C209" s="3" t="str">
        <x:v>2024-2</x:v>
      </x:c>
      <x:c r="D209" s="3" t="n">
        <x:v>6.5</x:v>
      </x:c>
      <x:c r="E209" s="3" t="n">
        <x:v>8.1</x:v>
      </x:c>
      <x:c r="F209" s="3" t="n">
        <x:v>1</x:v>
      </x:c>
      <x:c r="G209" s="3" t="str"/>
      <x:c r="H209" s="3" t="n">
        <x:v>206</x:v>
      </x:c>
      <x:c r="I209" s="5" t="n">
        <x:f>ROUND(D209*Rules!$B$5+E209*Rules!$B$6,1)</x:f>
        <x:v>7.5</x:v>
      </x:c>
      <x:c r="J209" s="5" t="n">
        <x:f>IF(I209&gt;=Rules!$B$13,Rules!$C$13,IF(I209&gt;=Rules!$B$14,Rules!$C$14,IF(I209&gt;=Rules!$B$15,Rules!$C$15,IF(I209&gt;=Rules!$B$16,Rules!$C$16,Rules!$C$17))))</x:f>
        <x:v>3</x:v>
      </x:c>
      <x:c r="K209" s="5" t="n">
        <x:f>VLOOKUP(B209,Courses!$A$5:$D$14,3,FALSE)</x:f>
        <x:v>4</x:v>
      </x:c>
      <x:c r="L209" s="5" t="n">
        <x:f>J209*K209</x:f>
        <x:v>12</x:v>
      </x:c>
      <x:c r="M209" s="5" t="str">
        <x:f>VLOOKUP(A209,Students!$A$5:$H$45,5,FALSE)</x:f>
        <x:v>BA02</x:v>
      </x:c>
      <x:c r="N209" s="5" t="str">
        <x:f>'Sections'!E14</x:f>
        <x:v>T012</x:v>
      </x:c>
      <x:c r="O209" s="5" t="n">
        <x:f>IF(J209&gt;0,1,0)</x:f>
        <x:v>1</x:v>
      </x:c>
    </x:row>
    <x:row r="210" ht="21" customHeight="1">
      <x:c r="A210" s="3" t="str">
        <x:v>2202012</x:v>
      </x:c>
      <x:c r="B210" s="3" t="str">
        <x:v>BA202</x:v>
      </x:c>
      <x:c r="C210" s="3" t="str">
        <x:v>2025-1</x:v>
      </x:c>
      <x:c r="D210" s="3" t="n">
        <x:v>7.7</x:v>
      </x:c>
      <x:c r="E210" s="3" t="n">
        <x:v>7.5</x:v>
      </x:c>
      <x:c r="F210" s="3" t="n">
        <x:v>1</x:v>
      </x:c>
      <x:c r="G210" s="3" t="str"/>
      <x:c r="H210" s="3" t="n">
        <x:v>207</x:v>
      </x:c>
      <x:c r="I210" s="5" t="n">
        <x:f>ROUND(D210*Rules!$B$5+E210*Rules!$B$6,1)</x:f>
        <x:v>7.6</x:v>
      </x:c>
      <x:c r="J210" s="5" t="n">
        <x:f>IF(I210&gt;=Rules!$B$13,Rules!$C$13,IF(I210&gt;=Rules!$B$14,Rules!$C$14,IF(I210&gt;=Rules!$B$15,Rules!$C$15,IF(I210&gt;=Rules!$B$16,Rules!$C$16,Rules!$C$17))))</x:f>
        <x:v>3</x:v>
      </x:c>
      <x:c r="K210" s="5" t="n">
        <x:f>VLOOKUP(B210,Courses!$A$5:$D$14,3,FALSE)</x:f>
        <x:v>3</x:v>
      </x:c>
      <x:c r="L210" s="5" t="n">
        <x:f>J210*K210</x:f>
        <x:v>9</x:v>
      </x:c>
      <x:c r="M210" s="5" t="str">
        <x:f>VLOOKUP(A210,Students!$A$5:$H$45,5,FALSE)</x:f>
        <x:v>BA02</x:v>
      </x:c>
      <x:c r="N210" s="5" t="str">
        <x:f>'Sections'!E17</x:f>
        <x:v>T011</x:v>
      </x:c>
      <x:c r="O210" s="5" t="n">
        <x:f>IF(J210&gt;0,1,0)</x:f>
        <x:v>1</x:v>
      </x:c>
    </x:row>
    <x:row r="211" ht="21" customHeight="1">
      <x:c r="A211" s="3" t="str">
        <x:v>2202013</x:v>
      </x:c>
      <x:c r="B211" s="3" t="str">
        <x:v>GE101</x:v>
      </x:c>
      <x:c r="C211" s="3" t="str">
        <x:v>2024-1</x:v>
      </x:c>
      <x:c r="D211" s="3" t="n">
        <x:v>7</x:v>
      </x:c>
      <x:c r="E211" s="3" t="n">
        <x:v>6.7</x:v>
      </x:c>
      <x:c r="F211" s="3" t="n">
        <x:v>1</x:v>
      </x:c>
      <x:c r="G211" s="3" t="str"/>
      <x:c r="H211" s="3" t="n">
        <x:v>208</x:v>
      </x:c>
      <x:c r="I211" s="5" t="n">
        <x:f>ROUND(D211*Rules!$B$5+E211*Rules!$B$6,1)</x:f>
        <x:v>6.8</x:v>
      </x:c>
      <x:c r="J211" s="5" t="n">
        <x:f>IF(I211&gt;=Rules!$B$13,Rules!$C$13,IF(I211&gt;=Rules!$B$14,Rules!$C$14,IF(I211&gt;=Rules!$B$15,Rules!$C$15,IF(I211&gt;=Rules!$B$16,Rules!$C$16,Rules!$C$17))))</x:f>
        <x:v>2</x:v>
      </x:c>
      <x:c r="K211" s="5" t="n">
        <x:f>VLOOKUP(B211,Courses!$A$5:$D$14,3,FALSE)</x:f>
        <x:v>2</x:v>
      </x:c>
      <x:c r="L211" s="5" t="n">
        <x:f>J211*K211</x:f>
        <x:v>4</x:v>
      </x:c>
      <x:c r="M211" s="5" t="str">
        <x:f>VLOOKUP(A211,Students!$A$5:$H$45,5,FALSE)</x:f>
        <x:v>BA02</x:v>
      </x:c>
      <x:c r="N211" s="5" t="str">
        <x:f>'Sections'!E32</x:f>
        <x:v>T012</x:v>
      </x:c>
      <x:c r="O211" s="5" t="n">
        <x:f>IF(J211&gt;0,1,0)</x:f>
        <x:v>1</x:v>
      </x:c>
    </x:row>
    <x:row r="212" ht="21" customHeight="1">
      <x:c r="A212" s="3" t="str">
        <x:v>2202013</x:v>
      </x:c>
      <x:c r="B212" s="3" t="str">
        <x:v>GE102</x:v>
      </x:c>
      <x:c r="C212" s="3" t="str">
        <x:v>2024-1</x:v>
      </x:c>
      <x:c r="D212" s="3" t="n">
        <x:v>5.8</x:v>
      </x:c>
      <x:c r="E212" s="3" t="n">
        <x:v>5.9</x:v>
      </x:c>
      <x:c r="F212" s="3" t="n">
        <x:v>1</x:v>
      </x:c>
      <x:c r="G212" s="3" t="str"/>
      <x:c r="H212" s="3" t="n">
        <x:v>209</x:v>
      </x:c>
      <x:c r="I212" s="5" t="n">
        <x:f>ROUND(D212*Rules!$B$5+E212*Rules!$B$6,1)</x:f>
        <x:v>5.9</x:v>
      </x:c>
      <x:c r="J212" s="5" t="n">
        <x:f>IF(I212&gt;=Rules!$B$13,Rules!$C$13,IF(I212&gt;=Rules!$B$14,Rules!$C$14,IF(I212&gt;=Rules!$B$15,Rules!$C$15,IF(I212&gt;=Rules!$B$16,Rules!$C$16,Rules!$C$17))))</x:f>
        <x:v>2</x:v>
      </x:c>
      <x:c r="K212" s="5" t="n">
        <x:f>VLOOKUP(B212,Courses!$A$5:$D$14,3,FALSE)</x:f>
        <x:v>3</x:v>
      </x:c>
      <x:c r="L212" s="5" t="n">
        <x:f>J212*K212</x:f>
        <x:v>6</x:v>
      </x:c>
      <x:c r="M212" s="5" t="str">
        <x:f>VLOOKUP(A212,Students!$A$5:$H$45,5,FALSE)</x:f>
        <x:v>BA02</x:v>
      </x:c>
      <x:c r="N212" s="5" t="str">
        <x:f>'Sections'!E40</x:f>
        <x:v>T012</x:v>
      </x:c>
      <x:c r="O212" s="5" t="n">
        <x:f>IF(J212&gt;0,1,0)</x:f>
        <x:v>1</x:v>
      </x:c>
    </x:row>
    <x:row r="213" ht="21" customHeight="1">
      <x:c r="A213" s="3" t="str">
        <x:v>2202013</x:v>
      </x:c>
      <x:c r="B213" s="3" t="str">
        <x:v>BA101</x:v>
      </x:c>
      <x:c r="C213" s="3" t="str">
        <x:v>2024-1</x:v>
      </x:c>
      <x:c r="D213" s="3" t="n">
        <x:v>7.4</x:v>
      </x:c>
      <x:c r="E213" s="3" t="n">
        <x:v>8</x:v>
      </x:c>
      <x:c r="F213" s="3" t="n">
        <x:v>1</x:v>
      </x:c>
      <x:c r="G213" s="3" t="str"/>
      <x:c r="H213" s="3" t="n">
        <x:v>210</x:v>
      </x:c>
      <x:c r="I213" s="5" t="n">
        <x:f>ROUND(D213*Rules!$B$5+E213*Rules!$B$6,1)</x:f>
        <x:v>7.8</x:v>
      </x:c>
      <x:c r="J213" s="5" t="n">
        <x:f>IF(I213&gt;=Rules!$B$13,Rules!$C$13,IF(I213&gt;=Rules!$B$14,Rules!$C$14,IF(I213&gt;=Rules!$B$15,Rules!$C$15,IF(I213&gt;=Rules!$B$16,Rules!$C$16,Rules!$C$17))))</x:f>
        <x:v>3</x:v>
      </x:c>
      <x:c r="K213" s="5" t="n">
        <x:f>VLOOKUP(B213,Courses!$A$5:$D$14,3,FALSE)</x:f>
        <x:v>3</x:v>
      </x:c>
      <x:c r="L213" s="5" t="n">
        <x:f>J213*K213</x:f>
        <x:v>9</x:v>
      </x:c>
      <x:c r="M213" s="5" t="str">
        <x:f>VLOOKUP(A213,Students!$A$5:$H$45,5,FALSE)</x:f>
        <x:v>BA02</x:v>
      </x:c>
      <x:c r="N213" s="5" t="str">
        <x:f>'Sections'!E6</x:f>
        <x:v>T012</x:v>
      </x:c>
      <x:c r="O213" s="5" t="n">
        <x:f>IF(J213&gt;0,1,0)</x:f>
        <x:v>1</x:v>
      </x:c>
    </x:row>
    <x:row r="214" ht="21" customHeight="1">
      <x:c r="A214" s="3" t="str">
        <x:v>2202013</x:v>
      </x:c>
      <x:c r="B214" s="3" t="str">
        <x:v>BA102</x:v>
      </x:c>
      <x:c r="C214" s="3" t="str">
        <x:v>2024-2</x:v>
      </x:c>
      <x:c r="D214" s="3" t="n">
        <x:v>7.6</x:v>
      </x:c>
      <x:c r="E214" s="3" t="n">
        <x:v>6</x:v>
      </x:c>
      <x:c r="F214" s="3" t="n">
        <x:v>1</x:v>
      </x:c>
      <x:c r="G214" s="3" t="str"/>
      <x:c r="H214" s="3" t="n">
        <x:v>211</x:v>
      </x:c>
      <x:c r="I214" s="5" t="n">
        <x:f>ROUND(D214*Rules!$B$5+E214*Rules!$B$6,1)</x:f>
        <x:v>6.6</x:v>
      </x:c>
      <x:c r="J214" s="5" t="n">
        <x:f>IF(I214&gt;=Rules!$B$13,Rules!$C$13,IF(I214&gt;=Rules!$B$14,Rules!$C$14,IF(I214&gt;=Rules!$B$15,Rules!$C$15,IF(I214&gt;=Rules!$B$16,Rules!$C$16,Rules!$C$17))))</x:f>
        <x:v>2</x:v>
      </x:c>
      <x:c r="K214" s="5" t="n">
        <x:f>VLOOKUP(B214,Courses!$A$5:$D$14,3,FALSE)</x:f>
        <x:v>3</x:v>
      </x:c>
      <x:c r="L214" s="5" t="n">
        <x:f>J214*K214</x:f>
        <x:v>6</x:v>
      </x:c>
      <x:c r="M214" s="5" t="str">
        <x:f>VLOOKUP(A214,Students!$A$5:$H$45,5,FALSE)</x:f>
        <x:v>BA02</x:v>
      </x:c>
      <x:c r="N214" s="5" t="str">
        <x:f>'Sections'!E10</x:f>
        <x:v>T012</x:v>
      </x:c>
      <x:c r="O214" s="5" t="n">
        <x:f>IF(J214&gt;0,1,0)</x:f>
        <x:v>1</x:v>
      </x:c>
    </x:row>
    <x:row r="215" ht="21" customHeight="1">
      <x:c r="A215" s="3" t="str">
        <x:v>2202013</x:v>
      </x:c>
      <x:c r="B215" s="3" t="str">
        <x:v>BA201</x:v>
      </x:c>
      <x:c r="C215" s="3" t="str">
        <x:v>2024-2</x:v>
      </x:c>
      <x:c r="D215" s="3" t="n">
        <x:v>6.7</x:v>
      </x:c>
      <x:c r="E215" s="3" t="n">
        <x:v>4.9</x:v>
      </x:c>
      <x:c r="F215" s="3" t="n">
        <x:v>1</x:v>
      </x:c>
      <x:c r="G215" s="3" t="str"/>
      <x:c r="H215" s="3" t="n">
        <x:v>212</x:v>
      </x:c>
      <x:c r="I215" s="5" t="n">
        <x:f>ROUND(D215*Rules!$B$5+E215*Rules!$B$6,1)</x:f>
        <x:v>5.6</x:v>
      </x:c>
      <x:c r="J215" s="5" t="n">
        <x:f>IF(I215&gt;=Rules!$B$13,Rules!$C$13,IF(I215&gt;=Rules!$B$14,Rules!$C$14,IF(I215&gt;=Rules!$B$15,Rules!$C$15,IF(I215&gt;=Rules!$B$16,Rules!$C$16,Rules!$C$17))))</x:f>
        <x:v>2</x:v>
      </x:c>
      <x:c r="K215" s="5" t="n">
        <x:f>VLOOKUP(B215,Courses!$A$5:$D$14,3,FALSE)</x:f>
        <x:v>4</x:v>
      </x:c>
      <x:c r="L215" s="5" t="n">
        <x:f>J215*K215</x:f>
        <x:v>8</x:v>
      </x:c>
      <x:c r="M215" s="5" t="str">
        <x:f>VLOOKUP(A215,Students!$A$5:$H$45,5,FALSE)</x:f>
        <x:v>BA02</x:v>
      </x:c>
      <x:c r="N215" s="5" t="str">
        <x:f>'Sections'!E14</x:f>
        <x:v>T012</x:v>
      </x:c>
      <x:c r="O215" s="5" t="n">
        <x:f>IF(J215&gt;0,1,0)</x:f>
        <x:v>1</x:v>
      </x:c>
    </x:row>
    <x:row r="216" ht="21" customHeight="1">
      <x:c r="A216" s="3" t="str">
        <x:v>2202013</x:v>
      </x:c>
      <x:c r="B216" s="3" t="str">
        <x:v>BA202</x:v>
      </x:c>
      <x:c r="C216" s="3" t="str">
        <x:v>2025-1</x:v>
      </x:c>
      <x:c r="D216" s="3" t="n">
        <x:v>6.8</x:v>
      </x:c>
      <x:c r="E216" s="3" t="n">
        <x:v>7.4</x:v>
      </x:c>
      <x:c r="F216" s="3" t="n">
        <x:v>1</x:v>
      </x:c>
      <x:c r="G216" s="3" t="str"/>
      <x:c r="H216" s="3" t="n">
        <x:v>213</x:v>
      </x:c>
      <x:c r="I216" s="5" t="n">
        <x:f>ROUND(D216*Rules!$B$5+E216*Rules!$B$6,1)</x:f>
        <x:v>7.2</x:v>
      </x:c>
      <x:c r="J216" s="5" t="n">
        <x:f>IF(I216&gt;=Rules!$B$13,Rules!$C$13,IF(I216&gt;=Rules!$B$14,Rules!$C$14,IF(I216&gt;=Rules!$B$15,Rules!$C$15,IF(I216&gt;=Rules!$B$16,Rules!$C$16,Rules!$C$17))))</x:f>
        <x:v>3</x:v>
      </x:c>
      <x:c r="K216" s="5" t="n">
        <x:f>VLOOKUP(B216,Courses!$A$5:$D$14,3,FALSE)</x:f>
        <x:v>3</x:v>
      </x:c>
      <x:c r="L216" s="5" t="n">
        <x:f>J216*K216</x:f>
        <x:v>9</x:v>
      </x:c>
      <x:c r="M216" s="5" t="str">
        <x:f>VLOOKUP(A216,Students!$A$5:$H$45,5,FALSE)</x:f>
        <x:v>BA02</x:v>
      </x:c>
      <x:c r="N216" s="5" t="str">
        <x:f>'Sections'!E17</x:f>
        <x:v>T011</x:v>
      </x:c>
      <x:c r="O216" s="5" t="n">
        <x:f>IF(J216&gt;0,1,0)</x:f>
        <x:v>1</x:v>
      </x:c>
    </x:row>
    <x:row r="217" ht="21" customHeight="1">
      <x:c r="A217" s="3" t="str">
        <x:v>2202014</x:v>
      </x:c>
      <x:c r="B217" s="3" t="str">
        <x:v>GE101</x:v>
      </x:c>
      <x:c r="C217" s="3" t="str">
        <x:v>2024-1</x:v>
      </x:c>
      <x:c r="D217" s="3" t="n">
        <x:v>7.6</x:v>
      </x:c>
      <x:c r="E217" s="3" t="n">
        <x:v>7.8</x:v>
      </x:c>
      <x:c r="F217" s="3" t="n">
        <x:v>1</x:v>
      </x:c>
      <x:c r="G217" s="3" t="str"/>
      <x:c r="H217" s="3" t="n">
        <x:v>214</x:v>
      </x:c>
      <x:c r="I217" s="5" t="n">
        <x:f>ROUND(D217*Rules!$B$5+E217*Rules!$B$6,1)</x:f>
        <x:v>7.7</x:v>
      </x:c>
      <x:c r="J217" s="5" t="n">
        <x:f>IF(I217&gt;=Rules!$B$13,Rules!$C$13,IF(I217&gt;=Rules!$B$14,Rules!$C$14,IF(I217&gt;=Rules!$B$15,Rules!$C$15,IF(I217&gt;=Rules!$B$16,Rules!$C$16,Rules!$C$17))))</x:f>
        <x:v>3</x:v>
      </x:c>
      <x:c r="K217" s="5" t="n">
        <x:f>VLOOKUP(B217,Courses!$A$5:$D$14,3,FALSE)</x:f>
        <x:v>2</x:v>
      </x:c>
      <x:c r="L217" s="5" t="n">
        <x:f>J217*K217</x:f>
        <x:v>6</x:v>
      </x:c>
      <x:c r="M217" s="5" t="str">
        <x:f>VLOOKUP(A217,Students!$A$5:$H$45,5,FALSE)</x:f>
        <x:v>BA02</x:v>
      </x:c>
      <x:c r="N217" s="5" t="str">
        <x:f>'Sections'!E32</x:f>
        <x:v>T012</x:v>
      </x:c>
      <x:c r="O217" s="5" t="n">
        <x:f>IF(J217&gt;0,1,0)</x:f>
        <x:v>1</x:v>
      </x:c>
    </x:row>
    <x:row r="218" ht="21" customHeight="1">
      <x:c r="A218" s="3" t="str">
        <x:v>2202014</x:v>
      </x:c>
      <x:c r="B218" s="3" t="str">
        <x:v>GE102</x:v>
      </x:c>
      <x:c r="C218" s="3" t="str">
        <x:v>2024-1</x:v>
      </x:c>
      <x:c r="D218" s="3" t="n">
        <x:v>7.5</x:v>
      </x:c>
      <x:c r="E218" s="3" t="n">
        <x:v>8.3</x:v>
      </x:c>
      <x:c r="F218" s="3" t="n">
        <x:v>1</x:v>
      </x:c>
      <x:c r="G218" s="3" t="str"/>
      <x:c r="H218" s="3" t="n">
        <x:v>215</x:v>
      </x:c>
      <x:c r="I218" s="5" t="n">
        <x:f>ROUND(D218*Rules!$B$5+E218*Rules!$B$6,1)</x:f>
        <x:v>8</x:v>
      </x:c>
      <x:c r="J218" s="5" t="n">
        <x:f>IF(I218&gt;=Rules!$B$13,Rules!$C$13,IF(I218&gt;=Rules!$B$14,Rules!$C$14,IF(I218&gt;=Rules!$B$15,Rules!$C$15,IF(I218&gt;=Rules!$B$16,Rules!$C$16,Rules!$C$17))))</x:f>
        <x:v>3</x:v>
      </x:c>
      <x:c r="K218" s="5" t="n">
        <x:f>VLOOKUP(B218,Courses!$A$5:$D$14,3,FALSE)</x:f>
        <x:v>3</x:v>
      </x:c>
      <x:c r="L218" s="5" t="n">
        <x:f>J218*K218</x:f>
        <x:v>9</x:v>
      </x:c>
      <x:c r="M218" s="5" t="str">
        <x:f>VLOOKUP(A218,Students!$A$5:$H$45,5,FALSE)</x:f>
        <x:v>BA02</x:v>
      </x:c>
      <x:c r="N218" s="5" t="str">
        <x:f>'Sections'!E40</x:f>
        <x:v>T012</x:v>
      </x:c>
      <x:c r="O218" s="5" t="n">
        <x:f>IF(J218&gt;0,1,0)</x:f>
        <x:v>1</x:v>
      </x:c>
    </x:row>
    <x:row r="219" ht="21" customHeight="1">
      <x:c r="A219" s="3" t="str">
        <x:v>2202014</x:v>
      </x:c>
      <x:c r="B219" s="3" t="str">
        <x:v>BA101</x:v>
      </x:c>
      <x:c r="C219" s="3" t="str">
        <x:v>2024-1</x:v>
      </x:c>
      <x:c r="D219" s="3" t="n">
        <x:v>7.4</x:v>
      </x:c>
      <x:c r="E219" s="3" t="n">
        <x:v>7.6</x:v>
      </x:c>
      <x:c r="F219" s="3" t="n">
        <x:v>1</x:v>
      </x:c>
      <x:c r="G219" s="3" t="str"/>
      <x:c r="H219" s="3" t="n">
        <x:v>216</x:v>
      </x:c>
      <x:c r="I219" s="5" t="n">
        <x:f>ROUND(D219*Rules!$B$5+E219*Rules!$B$6,1)</x:f>
        <x:v>7.5</x:v>
      </x:c>
      <x:c r="J219" s="5" t="n">
        <x:f>IF(I219&gt;=Rules!$B$13,Rules!$C$13,IF(I219&gt;=Rules!$B$14,Rules!$C$14,IF(I219&gt;=Rules!$B$15,Rules!$C$15,IF(I219&gt;=Rules!$B$16,Rules!$C$16,Rules!$C$17))))</x:f>
        <x:v>3</x:v>
      </x:c>
      <x:c r="K219" s="5" t="n">
        <x:f>VLOOKUP(B219,Courses!$A$5:$D$14,3,FALSE)</x:f>
        <x:v>3</x:v>
      </x:c>
      <x:c r="L219" s="5" t="n">
        <x:f>J219*K219</x:f>
        <x:v>9</x:v>
      </x:c>
      <x:c r="M219" s="5" t="str">
        <x:f>VLOOKUP(A219,Students!$A$5:$H$45,5,FALSE)</x:f>
        <x:v>BA02</x:v>
      </x:c>
      <x:c r="N219" s="5" t="str">
        <x:f>'Sections'!E6</x:f>
        <x:v>T012</x:v>
      </x:c>
      <x:c r="O219" s="5" t="n">
        <x:f>IF(J219&gt;0,1,0)</x:f>
        <x:v>1</x:v>
      </x:c>
    </x:row>
    <x:row r="220" ht="21" customHeight="1">
      <x:c r="A220" s="3" t="str">
        <x:v>2202014</x:v>
      </x:c>
      <x:c r="B220" s="3" t="str">
        <x:v>BA102</x:v>
      </x:c>
      <x:c r="C220" s="3" t="str">
        <x:v>2024-2</x:v>
      </x:c>
      <x:c r="D220" s="3" t="n">
        <x:v>7.4</x:v>
      </x:c>
      <x:c r="E220" s="3" t="n">
        <x:v>7.1</x:v>
      </x:c>
      <x:c r="F220" s="3" t="n">
        <x:v>1</x:v>
      </x:c>
      <x:c r="G220" s="3" t="str"/>
      <x:c r="H220" s="3" t="n">
        <x:v>217</x:v>
      </x:c>
      <x:c r="I220" s="5" t="n">
        <x:f>ROUND(D220*Rules!$B$5+E220*Rules!$B$6,1)</x:f>
        <x:v>7.2</x:v>
      </x:c>
      <x:c r="J220" s="5" t="n">
        <x:f>IF(I220&gt;=Rules!$B$13,Rules!$C$13,IF(I220&gt;=Rules!$B$14,Rules!$C$14,IF(I220&gt;=Rules!$B$15,Rules!$C$15,IF(I220&gt;=Rules!$B$16,Rules!$C$16,Rules!$C$17))))</x:f>
        <x:v>3</x:v>
      </x:c>
      <x:c r="K220" s="5" t="n">
        <x:f>VLOOKUP(B220,Courses!$A$5:$D$14,3,FALSE)</x:f>
        <x:v>3</x:v>
      </x:c>
      <x:c r="L220" s="5" t="n">
        <x:f>J220*K220</x:f>
        <x:v>9</x:v>
      </x:c>
      <x:c r="M220" s="5" t="str">
        <x:f>VLOOKUP(A220,Students!$A$5:$H$45,5,FALSE)</x:f>
        <x:v>BA02</x:v>
      </x:c>
      <x:c r="N220" s="5" t="str">
        <x:f>'Sections'!E10</x:f>
        <x:v>T012</x:v>
      </x:c>
      <x:c r="O220" s="5" t="n">
        <x:f>IF(J220&gt;0,1,0)</x:f>
        <x:v>1</x:v>
      </x:c>
    </x:row>
    <x:row r="221" ht="21" customHeight="1">
      <x:c r="A221" s="3" t="str">
        <x:v>2202014</x:v>
      </x:c>
      <x:c r="B221" s="3" t="str">
        <x:v>BA201</x:v>
      </x:c>
      <x:c r="C221" s="3" t="str">
        <x:v>2024-2</x:v>
      </x:c>
      <x:c r="D221" s="3" t="n">
        <x:v>8.4</x:v>
      </x:c>
      <x:c r="E221" s="3" t="n">
        <x:v>7.5</x:v>
      </x:c>
      <x:c r="F221" s="3" t="n">
        <x:v>1</x:v>
      </x:c>
      <x:c r="G221" s="3" t="str"/>
      <x:c r="H221" s="3" t="n">
        <x:v>218</x:v>
      </x:c>
      <x:c r="I221" s="5" t="n">
        <x:f>ROUND(D221*Rules!$B$5+E221*Rules!$B$6,1)</x:f>
        <x:v>7.9</x:v>
      </x:c>
      <x:c r="J221" s="5" t="n">
        <x:f>IF(I221&gt;=Rules!$B$13,Rules!$C$13,IF(I221&gt;=Rules!$B$14,Rules!$C$14,IF(I221&gt;=Rules!$B$15,Rules!$C$15,IF(I221&gt;=Rules!$B$16,Rules!$C$16,Rules!$C$17))))</x:f>
        <x:v>3</x:v>
      </x:c>
      <x:c r="K221" s="5" t="n">
        <x:f>VLOOKUP(B221,Courses!$A$5:$D$14,3,FALSE)</x:f>
        <x:v>4</x:v>
      </x:c>
      <x:c r="L221" s="5" t="n">
        <x:f>J221*K221</x:f>
        <x:v>12</x:v>
      </x:c>
      <x:c r="M221" s="5" t="str">
        <x:f>VLOOKUP(A221,Students!$A$5:$H$45,5,FALSE)</x:f>
        <x:v>BA02</x:v>
      </x:c>
      <x:c r="N221" s="5" t="str">
        <x:f>'Sections'!E14</x:f>
        <x:v>T012</x:v>
      </x:c>
      <x:c r="O221" s="5" t="n">
        <x:f>IF(J221&gt;0,1,0)</x:f>
        <x:v>1</x:v>
      </x:c>
    </x:row>
    <x:row r="222" ht="21" customHeight="1">
      <x:c r="A222" s="3" t="str">
        <x:v>2202014</x:v>
      </x:c>
      <x:c r="B222" s="3" t="str">
        <x:v>BA202</x:v>
      </x:c>
      <x:c r="C222" s="3" t="str">
        <x:v>2025-1</x:v>
      </x:c>
      <x:c r="D222" s="3" t="n">
        <x:v>8</x:v>
      </x:c>
      <x:c r="E222" s="3" t="n">
        <x:v>8.3</x:v>
      </x:c>
      <x:c r="F222" s="3" t="n">
        <x:v>1</x:v>
      </x:c>
      <x:c r="G222" s="3" t="str"/>
      <x:c r="H222" s="3" t="n">
        <x:v>219</x:v>
      </x:c>
      <x:c r="I222" s="5" t="n">
        <x:f>ROUND(D222*Rules!$B$5+E222*Rules!$B$6,1)</x:f>
        <x:v>8.2</x:v>
      </x:c>
      <x:c r="J222" s="5" t="n">
        <x:f>IF(I222&gt;=Rules!$B$13,Rules!$C$13,IF(I222&gt;=Rules!$B$14,Rules!$C$14,IF(I222&gt;=Rules!$B$15,Rules!$C$15,IF(I222&gt;=Rules!$B$16,Rules!$C$16,Rules!$C$17))))</x:f>
        <x:v>3</x:v>
      </x:c>
      <x:c r="K222" s="5" t="n">
        <x:f>VLOOKUP(B222,Courses!$A$5:$D$14,3,FALSE)</x:f>
        <x:v>3</x:v>
      </x:c>
      <x:c r="L222" s="5" t="n">
        <x:f>J222*K222</x:f>
        <x:v>9</x:v>
      </x:c>
      <x:c r="M222" s="5" t="str">
        <x:f>VLOOKUP(A222,Students!$A$5:$H$45,5,FALSE)</x:f>
        <x:v>BA02</x:v>
      </x:c>
      <x:c r="N222" s="5" t="str">
        <x:f>'Sections'!E17</x:f>
        <x:v>T011</x:v>
      </x:c>
      <x:c r="O222" s="5" t="n">
        <x:f>IF(J222&gt;0,1,0)</x:f>
        <x:v>1</x:v>
      </x:c>
    </x:row>
    <x:row r="223" ht="21" customHeight="1">
      <x:c r="A223" s="3" t="str">
        <x:v>2202015</x:v>
      </x:c>
      <x:c r="B223" s="3" t="str">
        <x:v>GE101</x:v>
      </x:c>
      <x:c r="C223" s="3" t="str">
        <x:v>2024-1</x:v>
      </x:c>
      <x:c r="D223" s="3" t="n">
        <x:v>4.3</x:v>
      </x:c>
      <x:c r="E223" s="3" t="n">
        <x:v>3</x:v>
      </x:c>
      <x:c r="F223" s="3" t="n">
        <x:v>1</x:v>
      </x:c>
      <x:c r="G223" s="3" t="str"/>
      <x:c r="H223" s="3" t="n">
        <x:v>220</x:v>
      </x:c>
      <x:c r="I223" s="5" t="n">
        <x:f>ROUND(D223*Rules!$B$5+E223*Rules!$B$6,1)</x:f>
        <x:v>3.5</x:v>
      </x:c>
      <x:c r="J223" s="5" t="n">
        <x:f>IF(I223&gt;=Rules!$B$13,Rules!$C$13,IF(I223&gt;=Rules!$B$14,Rules!$C$14,IF(I223&gt;=Rules!$B$15,Rules!$C$15,IF(I223&gt;=Rules!$B$16,Rules!$C$16,Rules!$C$17))))</x:f>
        <x:v>0</x:v>
      </x:c>
      <x:c r="K223" s="5" t="n">
        <x:f>VLOOKUP(B223,Courses!$A$5:$D$14,3,FALSE)</x:f>
        <x:v>2</x:v>
      </x:c>
      <x:c r="L223" s="5" t="n">
        <x:f>J223*K223</x:f>
        <x:v>0</x:v>
      </x:c>
      <x:c r="M223" s="5" t="str">
        <x:f>VLOOKUP(A223,Students!$A$5:$H$45,5,FALSE)</x:f>
        <x:v>BA02</x:v>
      </x:c>
      <x:c r="N223" s="5" t="str">
        <x:f>'Sections'!E32</x:f>
        <x:v>T012</x:v>
      </x:c>
      <x:c r="O223" s="5" t="n">
        <x:f>IF(J223&gt;0,1,0)</x:f>
        <x:v>0</x:v>
      </x:c>
    </x:row>
    <x:row r="224" ht="21" customHeight="1">
      <x:c r="A224" s="3" t="str">
        <x:v>2202015</x:v>
      </x:c>
      <x:c r="B224" s="3" t="str">
        <x:v>GE102</x:v>
      </x:c>
      <x:c r="C224" s="3" t="str">
        <x:v>2024-1</x:v>
      </x:c>
      <x:c r="D224" s="3" t="n">
        <x:v>4.7</x:v>
      </x:c>
      <x:c r="E224" s="3" t="n">
        <x:v>4.3</x:v>
      </x:c>
      <x:c r="F224" s="3" t="n">
        <x:v>1</x:v>
      </x:c>
      <x:c r="G224" s="3" t="str"/>
      <x:c r="H224" s="3" t="n">
        <x:v>221</x:v>
      </x:c>
      <x:c r="I224" s="5" t="n">
        <x:f>ROUND(D224*Rules!$B$5+E224*Rules!$B$6,1)</x:f>
        <x:v>4.5</x:v>
      </x:c>
      <x:c r="J224" s="5" t="n">
        <x:f>IF(I224&gt;=Rules!$B$13,Rules!$C$13,IF(I224&gt;=Rules!$B$14,Rules!$C$14,IF(I224&gt;=Rules!$B$15,Rules!$C$15,IF(I224&gt;=Rules!$B$16,Rules!$C$16,Rules!$C$17))))</x:f>
        <x:v>1</x:v>
      </x:c>
      <x:c r="K224" s="5" t="n">
        <x:f>VLOOKUP(B224,Courses!$A$5:$D$14,3,FALSE)</x:f>
        <x:v>3</x:v>
      </x:c>
      <x:c r="L224" s="5" t="n">
        <x:f>J224*K224</x:f>
        <x:v>3</x:v>
      </x:c>
      <x:c r="M224" s="5" t="str">
        <x:f>VLOOKUP(A224,Students!$A$5:$H$45,5,FALSE)</x:f>
        <x:v>BA02</x:v>
      </x:c>
      <x:c r="N224" s="5" t="str">
        <x:f>'Sections'!E40</x:f>
        <x:v>T012</x:v>
      </x:c>
      <x:c r="O224" s="5" t="n">
        <x:f>IF(J224&gt;0,1,0)</x:f>
        <x:v>1</x:v>
      </x:c>
    </x:row>
    <x:row r="225" ht="21" customHeight="1">
      <x:c r="A225" s="3" t="str">
        <x:v>2202015</x:v>
      </x:c>
      <x:c r="B225" s="3" t="str">
        <x:v>BA101</x:v>
      </x:c>
      <x:c r="C225" s="3" t="str">
        <x:v>2024-1</x:v>
      </x:c>
      <x:c r="D225" s="3" t="n">
        <x:v>3.7</x:v>
      </x:c>
      <x:c r="E225" s="3" t="n">
        <x:v>3</x:v>
      </x:c>
      <x:c r="F225" s="3" t="n">
        <x:v>1</x:v>
      </x:c>
      <x:c r="G225" s="3" t="str"/>
      <x:c r="H225" s="3" t="n">
        <x:v>222</x:v>
      </x:c>
      <x:c r="I225" s="5" t="n">
        <x:f>ROUND(D225*Rules!$B$5+E225*Rules!$B$6,1)</x:f>
        <x:v>3.3</x:v>
      </x:c>
      <x:c r="J225" s="5" t="n">
        <x:f>IF(I225&gt;=Rules!$B$13,Rules!$C$13,IF(I225&gt;=Rules!$B$14,Rules!$C$14,IF(I225&gt;=Rules!$B$15,Rules!$C$15,IF(I225&gt;=Rules!$B$16,Rules!$C$16,Rules!$C$17))))</x:f>
        <x:v>0</x:v>
      </x:c>
      <x:c r="K225" s="5" t="n">
        <x:f>VLOOKUP(B225,Courses!$A$5:$D$14,3,FALSE)</x:f>
        <x:v>3</x:v>
      </x:c>
      <x:c r="L225" s="5" t="n">
        <x:f>J225*K225</x:f>
        <x:v>0</x:v>
      </x:c>
      <x:c r="M225" s="5" t="str">
        <x:f>VLOOKUP(A225,Students!$A$5:$H$45,5,FALSE)</x:f>
        <x:v>BA02</x:v>
      </x:c>
      <x:c r="N225" s="5" t="str">
        <x:f>'Sections'!E6</x:f>
        <x:v>T012</x:v>
      </x:c>
      <x:c r="O225" s="5" t="n">
        <x:f>IF(J225&gt;0,1,0)</x:f>
        <x:v>0</x:v>
      </x:c>
    </x:row>
    <x:row r="226" ht="21" customHeight="1">
      <x:c r="A226" s="3" t="str">
        <x:v>2202015</x:v>
      </x:c>
      <x:c r="B226" s="3" t="str">
        <x:v>BA102</x:v>
      </x:c>
      <x:c r="C226" s="3" t="str">
        <x:v>2024-2</x:v>
      </x:c>
      <x:c r="D226" s="3" t="n">
        <x:v>3.7</x:v>
      </x:c>
      <x:c r="E226" s="3" t="n">
        <x:v>4.1</x:v>
      </x:c>
      <x:c r="F226" s="3" t="n">
        <x:v>1</x:v>
      </x:c>
      <x:c r="G226" s="3" t="str"/>
      <x:c r="H226" s="3" t="n">
        <x:v>223</x:v>
      </x:c>
      <x:c r="I226" s="5" t="n">
        <x:f>ROUND(D226*Rules!$B$5+E226*Rules!$B$6,1)</x:f>
        <x:v>3.9</x:v>
      </x:c>
      <x:c r="J226" s="5" t="n">
        <x:f>IF(I226&gt;=Rules!$B$13,Rules!$C$13,IF(I226&gt;=Rules!$B$14,Rules!$C$14,IF(I226&gt;=Rules!$B$15,Rules!$C$15,IF(I226&gt;=Rules!$B$16,Rules!$C$16,Rules!$C$17))))</x:f>
        <x:v>0</x:v>
      </x:c>
      <x:c r="K226" s="5" t="n">
        <x:f>VLOOKUP(B226,Courses!$A$5:$D$14,3,FALSE)</x:f>
        <x:v>3</x:v>
      </x:c>
      <x:c r="L226" s="5" t="n">
        <x:f>J226*K226</x:f>
        <x:v>0</x:v>
      </x:c>
      <x:c r="M226" s="5" t="str">
        <x:f>VLOOKUP(A226,Students!$A$5:$H$45,5,FALSE)</x:f>
        <x:v>BA02</x:v>
      </x:c>
      <x:c r="N226" s="5" t="str">
        <x:f>'Sections'!E10</x:f>
        <x:v>T012</x:v>
      </x:c>
      <x:c r="O226" s="5" t="n">
        <x:f>IF(J226&gt;0,1,0)</x:f>
        <x:v>0</x:v>
      </x:c>
    </x:row>
    <x:row r="227" ht="21" customHeight="1">
      <x:c r="A227" s="3" t="str">
        <x:v>2202015</x:v>
      </x:c>
      <x:c r="B227" s="3" t="str">
        <x:v>BA201</x:v>
      </x:c>
      <x:c r="C227" s="3" t="str">
        <x:v>2024-2</x:v>
      </x:c>
      <x:c r="D227" s="3" t="n">
        <x:v>4.1</x:v>
      </x:c>
      <x:c r="E227" s="3" t="n">
        <x:v>2.8</x:v>
      </x:c>
      <x:c r="F227" s="3" t="n">
        <x:v>1</x:v>
      </x:c>
      <x:c r="G227" s="3" t="str"/>
      <x:c r="H227" s="3" t="n">
        <x:v>224</x:v>
      </x:c>
      <x:c r="I227" s="5" t="n">
        <x:f>ROUND(D227*Rules!$B$5+E227*Rules!$B$6,1)</x:f>
        <x:v>3.3</x:v>
      </x:c>
      <x:c r="J227" s="5" t="n">
        <x:f>IF(I227&gt;=Rules!$B$13,Rules!$C$13,IF(I227&gt;=Rules!$B$14,Rules!$C$14,IF(I227&gt;=Rules!$B$15,Rules!$C$15,IF(I227&gt;=Rules!$B$16,Rules!$C$16,Rules!$C$17))))</x:f>
        <x:v>0</x:v>
      </x:c>
      <x:c r="K227" s="5" t="n">
        <x:f>VLOOKUP(B227,Courses!$A$5:$D$14,3,FALSE)</x:f>
        <x:v>4</x:v>
      </x:c>
      <x:c r="L227" s="5" t="n">
        <x:f>J227*K227</x:f>
        <x:v>0</x:v>
      </x:c>
      <x:c r="M227" s="5" t="str">
        <x:f>VLOOKUP(A227,Students!$A$5:$H$45,5,FALSE)</x:f>
        <x:v>BA02</x:v>
      </x:c>
      <x:c r="N227" s="5" t="str">
        <x:f>'Sections'!E14</x:f>
        <x:v>T012</x:v>
      </x:c>
      <x:c r="O227" s="5" t="n">
        <x:f>IF(J227&gt;0,1,0)</x:f>
        <x:v>0</x:v>
      </x:c>
    </x:row>
    <x:row r="228" ht="21" customHeight="1">
      <x:c r="A228" s="3" t="str">
        <x:v>2202015</x:v>
      </x:c>
      <x:c r="B228" s="3" t="str">
        <x:v>BA202</x:v>
      </x:c>
      <x:c r="C228" s="3" t="str">
        <x:v>2025-1</x:v>
      </x:c>
      <x:c r="D228" s="3" t="n">
        <x:v>3.7</x:v>
      </x:c>
      <x:c r="E228" s="3" t="n">
        <x:v>4.6</x:v>
      </x:c>
      <x:c r="F228" s="3" t="n">
        <x:v>1</x:v>
      </x:c>
      <x:c r="G228" s="3" t="str"/>
      <x:c r="H228" s="3" t="n">
        <x:v>225</x:v>
      </x:c>
      <x:c r="I228" s="5" t="n">
        <x:f>ROUND(D228*Rules!$B$5+E228*Rules!$B$6,1)</x:f>
        <x:v>4.2</x:v>
      </x:c>
      <x:c r="J228" s="5" t="n">
        <x:f>IF(I228&gt;=Rules!$B$13,Rules!$C$13,IF(I228&gt;=Rules!$B$14,Rules!$C$14,IF(I228&gt;=Rules!$B$15,Rules!$C$15,IF(I228&gt;=Rules!$B$16,Rules!$C$16,Rules!$C$17))))</x:f>
        <x:v>1</x:v>
      </x:c>
      <x:c r="K228" s="5" t="n">
        <x:f>VLOOKUP(B228,Courses!$A$5:$D$14,3,FALSE)</x:f>
        <x:v>3</x:v>
      </x:c>
      <x:c r="L228" s="5" t="n">
        <x:f>J228*K228</x:f>
        <x:v>3</x:v>
      </x:c>
      <x:c r="M228" s="5" t="str">
        <x:f>VLOOKUP(A228,Students!$A$5:$H$45,5,FALSE)</x:f>
        <x:v>BA02</x:v>
      </x:c>
      <x:c r="N228" s="5" t="str">
        <x:f>'Sections'!E17</x:f>
        <x:v>T011</x:v>
      </x:c>
      <x:c r="O228" s="5" t="n">
        <x:f>IF(J228&gt;0,1,0)</x:f>
        <x:v>1</x:v>
      </x:c>
    </x:row>
    <x:row r="229" ht="21" customHeight="1">
      <x:c r="A229" s="3" t="str">
        <x:v>2202015</x:v>
      </x:c>
      <x:c r="B229" s="3" t="str">
        <x:v>GE101</x:v>
      </x:c>
      <x:c r="C229" s="3" t="str">
        <x:v>2025-1</x:v>
      </x:c>
      <x:c r="D229" s="3" t="n">
        <x:v>6.9</x:v>
      </x:c>
      <x:c r="E229" s="3" t="n">
        <x:v>6.1</x:v>
      </x:c>
      <x:c r="F229" s="3" t="n">
        <x:v>1</x:v>
      </x:c>
      <x:c r="G229" s="3" t="str"/>
      <x:c r="H229" s="3" t="n">
        <x:v>226</x:v>
      </x:c>
      <x:c r="I229" s="5" t="n">
        <x:f>ROUND(D229*Rules!$B$5+E229*Rules!$B$6,1)</x:f>
        <x:v>6.4</x:v>
      </x:c>
      <x:c r="J229" s="5" t="n">
        <x:f>IF(I229&gt;=Rules!$B$13,Rules!$C$13,IF(I229&gt;=Rules!$B$14,Rules!$C$14,IF(I229&gt;=Rules!$B$15,Rules!$C$15,IF(I229&gt;=Rules!$B$16,Rules!$C$16,Rules!$C$17))))</x:f>
        <x:v>2</x:v>
      </x:c>
      <x:c r="K229" s="5" t="n">
        <x:f>VLOOKUP(B229,Courses!$A$5:$D$14,3,FALSE)</x:f>
        <x:v>2</x:v>
      </x:c>
      <x:c r="L229" s="5" t="n">
        <x:f>J229*K229</x:f>
        <x:v>4</x:v>
      </x:c>
      <x:c r="M229" s="5" t="str">
        <x:f>VLOOKUP(A229,Students!$A$5:$H$45,5,FALSE)</x:f>
        <x:v>BA02</x:v>
      </x:c>
      <x:c r="N229" s="5" t="str">
        <x:f>'Sections'!E36</x:f>
        <x:v>T011</x:v>
      </x:c>
      <x:c r="O229" s="5" t="n">
        <x:f>IF(J229&gt;0,1,0)</x:f>
        <x:v>1</x:v>
      </x:c>
    </x:row>
    <x:row r="230" ht="21" customHeight="1">
      <x:c r="A230" s="3" t="str">
        <x:v>2202015</x:v>
      </x:c>
      <x:c r="B230" s="3" t="str">
        <x:v>BA101</x:v>
      </x:c>
      <x:c r="C230" s="3" t="str">
        <x:v>2025-1</x:v>
      </x:c>
      <x:c r="D230" s="3" t="n">
        <x:v>7</x:v>
      </x:c>
      <x:c r="E230" s="3" t="n">
        <x:v>5</x:v>
      </x:c>
      <x:c r="F230" s="3" t="n">
        <x:v>1</x:v>
      </x:c>
      <x:c r="G230" s="3" t="str"/>
      <x:c r="H230" s="3" t="n">
        <x:v>227</x:v>
      </x:c>
      <x:c r="I230" s="5" t="n">
        <x:f>ROUND(D230*Rules!$B$5+E230*Rules!$B$6,1)</x:f>
        <x:v>5.8</x:v>
      </x:c>
      <x:c r="J230" s="5" t="n">
        <x:f>IF(I230&gt;=Rules!$B$13,Rules!$C$13,IF(I230&gt;=Rules!$B$14,Rules!$C$14,IF(I230&gt;=Rules!$B$15,Rules!$C$15,IF(I230&gt;=Rules!$B$16,Rules!$C$16,Rules!$C$17))))</x:f>
        <x:v>2</x:v>
      </x:c>
      <x:c r="K230" s="5" t="n">
        <x:f>VLOOKUP(B230,Courses!$A$5:$D$14,3,FALSE)</x:f>
        <x:v>3</x:v>
      </x:c>
      <x:c r="L230" s="5" t="n">
        <x:f>J230*K230</x:f>
        <x:v>6</x:v>
      </x:c>
      <x:c r="M230" s="5" t="str">
        <x:f>VLOOKUP(A230,Students!$A$5:$H$45,5,FALSE)</x:f>
        <x:v>BA02</x:v>
      </x:c>
      <x:c r="N230" s="5" t="str">
        <x:f>'Sections'!E8</x:f>
        <x:v>T012</x:v>
      </x:c>
      <x:c r="O230" s="5" t="n">
        <x:f>IF(J230&gt;0,1,0)</x:f>
        <x:v>1</x:v>
      </x:c>
    </x:row>
    <x:row r="231" ht="21" customHeight="1">
      <x:c r="A231" s="3" t="str">
        <x:v>2202015</x:v>
      </x:c>
      <x:c r="B231" s="3" t="str">
        <x:v>BA102</x:v>
      </x:c>
      <x:c r="C231" s="3" t="str">
        <x:v>2025-1</x:v>
      </x:c>
      <x:c r="D231" s="3" t="n">
        <x:v>8.4</x:v>
      </x:c>
      <x:c r="E231" s="3" t="n">
        <x:v>6.5</x:v>
      </x:c>
      <x:c r="F231" s="3" t="n">
        <x:v>1</x:v>
      </x:c>
      <x:c r="G231" s="3" t="str"/>
      <x:c r="H231" s="3" t="n">
        <x:v>228</x:v>
      </x:c>
      <x:c r="I231" s="5" t="n">
        <x:f>ROUND(D231*Rules!$B$5+E231*Rules!$B$6,1)</x:f>
        <x:v>7.3</x:v>
      </x:c>
      <x:c r="J231" s="5" t="n">
        <x:f>IF(I231&gt;=Rules!$B$13,Rules!$C$13,IF(I231&gt;=Rules!$B$14,Rules!$C$14,IF(I231&gt;=Rules!$B$15,Rules!$C$15,IF(I231&gt;=Rules!$B$16,Rules!$C$16,Rules!$C$17))))</x:f>
        <x:v>3</x:v>
      </x:c>
      <x:c r="K231" s="5" t="n">
        <x:f>VLOOKUP(B231,Courses!$A$5:$D$14,3,FALSE)</x:f>
        <x:v>3</x:v>
      </x:c>
      <x:c r="L231" s="5" t="n">
        <x:f>J231*K231</x:f>
        <x:v>9</x:v>
      </x:c>
      <x:c r="M231" s="5" t="str">
        <x:f>VLOOKUP(A231,Students!$A$5:$H$45,5,FALSE)</x:f>
        <x:v>BA02</x:v>
      </x:c>
      <x:c r="N231" s="5" t="str">
        <x:f>'Sections'!E12</x:f>
        <x:v>T012</x:v>
      </x:c>
      <x:c r="O231" s="5" t="n">
        <x:f>IF(J231&gt;0,1,0)</x:f>
        <x:v>1</x:v>
      </x:c>
    </x:row>
    <x:row r="232" ht="21" customHeight="1">
      <x:c r="A232" s="3" t="str">
        <x:v>2202015</x:v>
      </x:c>
      <x:c r="B232" s="3" t="str">
        <x:v>BA201</x:v>
      </x:c>
      <x:c r="C232" s="3" t="str">
        <x:v>2025-1</x:v>
      </x:c>
      <x:c r="D232" s="3" t="n">
        <x:v>7.3</x:v>
      </x:c>
      <x:c r="E232" s="3" t="n">
        <x:v>7</x:v>
      </x:c>
      <x:c r="F232" s="3" t="n">
        <x:v>1</x:v>
      </x:c>
      <x:c r="G232" s="3" t="str"/>
      <x:c r="H232" s="3" t="n">
        <x:v>229</x:v>
      </x:c>
      <x:c r="I232" s="5" t="n">
        <x:f>ROUND(D232*Rules!$B$5+E232*Rules!$B$6,1)</x:f>
        <x:v>7.1</x:v>
      </x:c>
      <x:c r="J232" s="5" t="n">
        <x:f>IF(I232&gt;=Rules!$B$13,Rules!$C$13,IF(I232&gt;=Rules!$B$14,Rules!$C$14,IF(I232&gt;=Rules!$B$15,Rules!$C$15,IF(I232&gt;=Rules!$B$16,Rules!$C$16,Rules!$C$17))))</x:f>
        <x:v>3</x:v>
      </x:c>
      <x:c r="K232" s="5" t="n">
        <x:f>VLOOKUP(B232,Courses!$A$5:$D$14,3,FALSE)</x:f>
        <x:v>4</x:v>
      </x:c>
      <x:c r="L232" s="5" t="n">
        <x:f>J232*K232</x:f>
        <x:v>12</x:v>
      </x:c>
      <x:c r="M232" s="5" t="str">
        <x:f>VLOOKUP(A232,Students!$A$5:$H$45,5,FALSE)</x:f>
        <x:v>BA02</x:v>
      </x:c>
      <x:c r="N232" s="5" t="str">
        <x:f>'Sections'!E15</x:f>
        <x:v>T011</x:v>
      </x:c>
      <x:c r="O232" s="5" t="n">
        <x:f>IF(J232&gt;0,1,0)</x:f>
        <x:v>1</x:v>
      </x:c>
    </x:row>
    <x:row r="233" ht="21" customHeight="1">
      <x:c r="A233" s="3" t="str">
        <x:v>2202016</x:v>
      </x:c>
      <x:c r="B233" s="3" t="str">
        <x:v>GE101</x:v>
      </x:c>
      <x:c r="C233" s="3" t="str">
        <x:v>2024-1</x:v>
      </x:c>
      <x:c r="D233" s="3" t="n">
        <x:v>8.5</x:v>
      </x:c>
      <x:c r="E233" s="3" t="n">
        <x:v>7.4</x:v>
      </x:c>
      <x:c r="F233" s="3" t="n">
        <x:v>1</x:v>
      </x:c>
      <x:c r="G233" s="3" t="str"/>
      <x:c r="H233" s="3" t="n">
        <x:v>230</x:v>
      </x:c>
      <x:c r="I233" s="5" t="n">
        <x:f>ROUND(D233*Rules!$B$5+E233*Rules!$B$6,1)</x:f>
        <x:v>7.8</x:v>
      </x:c>
      <x:c r="J233" s="5" t="n">
        <x:f>IF(I233&gt;=Rules!$B$13,Rules!$C$13,IF(I233&gt;=Rules!$B$14,Rules!$C$14,IF(I233&gt;=Rules!$B$15,Rules!$C$15,IF(I233&gt;=Rules!$B$16,Rules!$C$16,Rules!$C$17))))</x:f>
        <x:v>3</x:v>
      </x:c>
      <x:c r="K233" s="5" t="n">
        <x:f>VLOOKUP(B233,Courses!$A$5:$D$14,3,FALSE)</x:f>
        <x:v>2</x:v>
      </x:c>
      <x:c r="L233" s="5" t="n">
        <x:f>J233*K233</x:f>
        <x:v>6</x:v>
      </x:c>
      <x:c r="M233" s="5" t="str">
        <x:f>VLOOKUP(A233,Students!$A$5:$H$45,5,FALSE)</x:f>
        <x:v>BA02</x:v>
      </x:c>
      <x:c r="N233" s="5" t="str">
        <x:f>'Sections'!E32</x:f>
        <x:v>T012</x:v>
      </x:c>
      <x:c r="O233" s="5" t="n">
        <x:f>IF(J233&gt;0,1,0)</x:f>
        <x:v>1</x:v>
      </x:c>
    </x:row>
    <x:row r="234" ht="21" customHeight="1">
      <x:c r="A234" s="3" t="str">
        <x:v>2202016</x:v>
      </x:c>
      <x:c r="B234" s="3" t="str">
        <x:v>GE102</x:v>
      </x:c>
      <x:c r="C234" s="3" t="str">
        <x:v>2024-1</x:v>
      </x:c>
      <x:c r="D234" s="3" t="n">
        <x:v>8.7</x:v>
      </x:c>
      <x:c r="E234" s="3" t="n">
        <x:v>6.9</x:v>
      </x:c>
      <x:c r="F234" s="3" t="n">
        <x:v>1</x:v>
      </x:c>
      <x:c r="G234" s="3" t="str"/>
      <x:c r="H234" s="3" t="n">
        <x:v>231</x:v>
      </x:c>
      <x:c r="I234" s="5" t="n">
        <x:f>ROUND(D234*Rules!$B$5+E234*Rules!$B$6,1)</x:f>
        <x:v>7.6</x:v>
      </x:c>
      <x:c r="J234" s="5" t="n">
        <x:f>IF(I234&gt;=Rules!$B$13,Rules!$C$13,IF(I234&gt;=Rules!$B$14,Rules!$C$14,IF(I234&gt;=Rules!$B$15,Rules!$C$15,IF(I234&gt;=Rules!$B$16,Rules!$C$16,Rules!$C$17))))</x:f>
        <x:v>3</x:v>
      </x:c>
      <x:c r="K234" s="5" t="n">
        <x:f>VLOOKUP(B234,Courses!$A$5:$D$14,3,FALSE)</x:f>
        <x:v>3</x:v>
      </x:c>
      <x:c r="L234" s="5" t="n">
        <x:f>J234*K234</x:f>
        <x:v>9</x:v>
      </x:c>
      <x:c r="M234" s="5" t="str">
        <x:f>VLOOKUP(A234,Students!$A$5:$H$45,5,FALSE)</x:f>
        <x:v>BA02</x:v>
      </x:c>
      <x:c r="N234" s="5" t="str">
        <x:f>'Sections'!E40</x:f>
        <x:v>T012</x:v>
      </x:c>
      <x:c r="O234" s="5" t="n">
        <x:f>IF(J234&gt;0,1,0)</x:f>
        <x:v>1</x:v>
      </x:c>
    </x:row>
    <x:row r="235" ht="21" customHeight="1">
      <x:c r="A235" s="3" t="str">
        <x:v>2202016</x:v>
      </x:c>
      <x:c r="B235" s="3" t="str">
        <x:v>BA101</x:v>
      </x:c>
      <x:c r="C235" s="3" t="str">
        <x:v>2024-1</x:v>
      </x:c>
      <x:c r="D235" s="3" t="n">
        <x:v>8.1</x:v>
      </x:c>
      <x:c r="E235" s="3" t="n">
        <x:v>8.7</x:v>
      </x:c>
      <x:c r="F235" s="3" t="n">
        <x:v>1</x:v>
      </x:c>
      <x:c r="G235" s="3" t="str"/>
      <x:c r="H235" s="3" t="n">
        <x:v>232</x:v>
      </x:c>
      <x:c r="I235" s="5" t="n">
        <x:f>ROUND(D235*Rules!$B$5+E235*Rules!$B$6,1)</x:f>
        <x:v>8.5</x:v>
      </x:c>
      <x:c r="J235" s="5" t="n">
        <x:f>IF(I235&gt;=Rules!$B$13,Rules!$C$13,IF(I235&gt;=Rules!$B$14,Rules!$C$14,IF(I235&gt;=Rules!$B$15,Rules!$C$15,IF(I235&gt;=Rules!$B$16,Rules!$C$16,Rules!$C$17))))</x:f>
        <x:v>4</x:v>
      </x:c>
      <x:c r="K235" s="5" t="n">
        <x:f>VLOOKUP(B235,Courses!$A$5:$D$14,3,FALSE)</x:f>
        <x:v>3</x:v>
      </x:c>
      <x:c r="L235" s="5" t="n">
        <x:f>J235*K235</x:f>
        <x:v>12</x:v>
      </x:c>
      <x:c r="M235" s="5" t="str">
        <x:f>VLOOKUP(A235,Students!$A$5:$H$45,5,FALSE)</x:f>
        <x:v>BA02</x:v>
      </x:c>
      <x:c r="N235" s="5" t="str">
        <x:f>'Sections'!E6</x:f>
        <x:v>T012</x:v>
      </x:c>
      <x:c r="O235" s="5" t="n">
        <x:f>IF(J235&gt;0,1,0)</x:f>
        <x:v>1</x:v>
      </x:c>
    </x:row>
    <x:row r="236" ht="21" customHeight="1">
      <x:c r="A236" s="3" t="str">
        <x:v>2202016</x:v>
      </x:c>
      <x:c r="B236" s="3" t="str">
        <x:v>BA102</x:v>
      </x:c>
      <x:c r="C236" s="3" t="str">
        <x:v>2024-2</x:v>
      </x:c>
      <x:c r="D236" s="3" t="n">
        <x:v>9.1</x:v>
      </x:c>
      <x:c r="E236" s="3" t="n">
        <x:v>8.2</x:v>
      </x:c>
      <x:c r="F236" s="3" t="n">
        <x:v>1</x:v>
      </x:c>
      <x:c r="G236" s="3" t="str"/>
      <x:c r="H236" s="3" t="n">
        <x:v>233</x:v>
      </x:c>
      <x:c r="I236" s="5" t="n">
        <x:f>ROUND(D236*Rules!$B$5+E236*Rules!$B$6,1)</x:f>
        <x:v>8.6</x:v>
      </x:c>
      <x:c r="J236" s="5" t="n">
        <x:f>IF(I236&gt;=Rules!$B$13,Rules!$C$13,IF(I236&gt;=Rules!$B$14,Rules!$C$14,IF(I236&gt;=Rules!$B$15,Rules!$C$15,IF(I236&gt;=Rules!$B$16,Rules!$C$16,Rules!$C$17))))</x:f>
        <x:v>4</x:v>
      </x:c>
      <x:c r="K236" s="5" t="n">
        <x:f>VLOOKUP(B236,Courses!$A$5:$D$14,3,FALSE)</x:f>
        <x:v>3</x:v>
      </x:c>
      <x:c r="L236" s="5" t="n">
        <x:f>J236*K236</x:f>
        <x:v>12</x:v>
      </x:c>
      <x:c r="M236" s="5" t="str">
        <x:f>VLOOKUP(A236,Students!$A$5:$H$45,5,FALSE)</x:f>
        <x:v>BA02</x:v>
      </x:c>
      <x:c r="N236" s="5" t="str">
        <x:f>'Sections'!E10</x:f>
        <x:v>T012</x:v>
      </x:c>
      <x:c r="O236" s="5" t="n">
        <x:f>IF(J236&gt;0,1,0)</x:f>
        <x:v>1</x:v>
      </x:c>
    </x:row>
    <x:row r="237" ht="21" customHeight="1">
      <x:c r="A237" s="3" t="str">
        <x:v>2202016</x:v>
      </x:c>
      <x:c r="B237" s="3" t="str">
        <x:v>BA201</x:v>
      </x:c>
      <x:c r="C237" s="3" t="str">
        <x:v>2024-2</x:v>
      </x:c>
      <x:c r="D237" s="3" t="n">
        <x:v>7.3</x:v>
      </x:c>
      <x:c r="E237" s="3" t="n">
        <x:v>9.3</x:v>
      </x:c>
      <x:c r="F237" s="3" t="n">
        <x:v>1</x:v>
      </x:c>
      <x:c r="G237" s="3" t="str"/>
      <x:c r="H237" s="3" t="n">
        <x:v>234</x:v>
      </x:c>
      <x:c r="I237" s="5" t="n">
        <x:f>ROUND(D237*Rules!$B$5+E237*Rules!$B$6,1)</x:f>
        <x:v>8.5</x:v>
      </x:c>
      <x:c r="J237" s="5" t="n">
        <x:f>IF(I237&gt;=Rules!$B$13,Rules!$C$13,IF(I237&gt;=Rules!$B$14,Rules!$C$14,IF(I237&gt;=Rules!$B$15,Rules!$C$15,IF(I237&gt;=Rules!$B$16,Rules!$C$16,Rules!$C$17))))</x:f>
        <x:v>4</x:v>
      </x:c>
      <x:c r="K237" s="5" t="n">
        <x:f>VLOOKUP(B237,Courses!$A$5:$D$14,3,FALSE)</x:f>
        <x:v>4</x:v>
      </x:c>
      <x:c r="L237" s="5" t="n">
        <x:f>J237*K237</x:f>
        <x:v>16</x:v>
      </x:c>
      <x:c r="M237" s="5" t="str">
        <x:f>VLOOKUP(A237,Students!$A$5:$H$45,5,FALSE)</x:f>
        <x:v>BA02</x:v>
      </x:c>
      <x:c r="N237" s="5" t="str">
        <x:f>'Sections'!E14</x:f>
        <x:v>T012</x:v>
      </x:c>
      <x:c r="O237" s="5" t="n">
        <x:f>IF(J237&gt;0,1,0)</x:f>
        <x:v>1</x:v>
      </x:c>
    </x:row>
    <x:row r="238" ht="21" customHeight="1">
      <x:c r="A238" s="3" t="str">
        <x:v>2202016</x:v>
      </x:c>
      <x:c r="B238" s="3" t="str">
        <x:v>BA202</x:v>
      </x:c>
      <x:c r="C238" s="3" t="str">
        <x:v>2025-1</x:v>
      </x:c>
      <x:c r="D238" s="3" t="n">
        <x:v>6.8</x:v>
      </x:c>
      <x:c r="E238" s="3" t="n">
        <x:v>8.9</x:v>
      </x:c>
      <x:c r="F238" s="3" t="n">
        <x:v>1</x:v>
      </x:c>
      <x:c r="G238" s="3" t="str"/>
      <x:c r="H238" s="3" t="n">
        <x:v>235</x:v>
      </x:c>
      <x:c r="I238" s="5" t="n">
        <x:f>ROUND(D238*Rules!$B$5+E238*Rules!$B$6,1)</x:f>
        <x:v>8.1</x:v>
      </x:c>
      <x:c r="J238" s="5" t="n">
        <x:f>IF(I238&gt;=Rules!$B$13,Rules!$C$13,IF(I238&gt;=Rules!$B$14,Rules!$C$14,IF(I238&gt;=Rules!$B$15,Rules!$C$15,IF(I238&gt;=Rules!$B$16,Rules!$C$16,Rules!$C$17))))</x:f>
        <x:v>3</x:v>
      </x:c>
      <x:c r="K238" s="5" t="n">
        <x:f>VLOOKUP(B238,Courses!$A$5:$D$14,3,FALSE)</x:f>
        <x:v>3</x:v>
      </x:c>
      <x:c r="L238" s="5" t="n">
        <x:f>J238*K238</x:f>
        <x:v>9</x:v>
      </x:c>
      <x:c r="M238" s="5" t="str">
        <x:f>VLOOKUP(A238,Students!$A$5:$H$45,5,FALSE)</x:f>
        <x:v>BA02</x:v>
      </x:c>
      <x:c r="N238" s="5" t="str">
        <x:f>'Sections'!E17</x:f>
        <x:v>T011</x:v>
      </x:c>
      <x:c r="O238" s="5" t="n">
        <x:f>IF(J238&gt;0,1,0)</x:f>
        <x:v>1</x:v>
      </x:c>
    </x:row>
    <x:row r="239" ht="21" customHeight="1">
      <x:c r="A239" s="3" t="str">
        <x:v>2202017</x:v>
      </x:c>
      <x:c r="B239" s="3" t="str">
        <x:v>GE101</x:v>
      </x:c>
      <x:c r="C239" s="3" t="str">
        <x:v>2024-1</x:v>
      </x:c>
      <x:c r="D239" s="3" t="n">
        <x:v>8.2</x:v>
      </x:c>
      <x:c r="E239" s="3" t="n">
        <x:v>6.2</x:v>
      </x:c>
      <x:c r="F239" s="3" t="n">
        <x:v>1</x:v>
      </x:c>
      <x:c r="G239" s="3" t="str"/>
      <x:c r="H239" s="3" t="n">
        <x:v>236</x:v>
      </x:c>
      <x:c r="I239" s="5" t="n">
        <x:f>ROUND(D239*Rules!$B$5+E239*Rules!$B$6,1)</x:f>
        <x:v>7</x:v>
      </x:c>
      <x:c r="J239" s="5" t="n">
        <x:f>IF(I239&gt;=Rules!$B$13,Rules!$C$13,IF(I239&gt;=Rules!$B$14,Rules!$C$14,IF(I239&gt;=Rules!$B$15,Rules!$C$15,IF(I239&gt;=Rules!$B$16,Rules!$C$16,Rules!$C$17))))</x:f>
        <x:v>3</x:v>
      </x:c>
      <x:c r="K239" s="5" t="n">
        <x:f>VLOOKUP(B239,Courses!$A$5:$D$14,3,FALSE)</x:f>
        <x:v>2</x:v>
      </x:c>
      <x:c r="L239" s="5" t="n">
        <x:f>J239*K239</x:f>
        <x:v>6</x:v>
      </x:c>
      <x:c r="M239" s="5" t="str">
        <x:f>VLOOKUP(A239,Students!$A$5:$H$45,5,FALSE)</x:f>
        <x:v>BA02</x:v>
      </x:c>
      <x:c r="N239" s="5" t="str">
        <x:f>'Sections'!E32</x:f>
        <x:v>T012</x:v>
      </x:c>
      <x:c r="O239" s="5" t="n">
        <x:f>IF(J239&gt;0,1,0)</x:f>
        <x:v>1</x:v>
      </x:c>
    </x:row>
    <x:row r="240" ht="21" customHeight="1">
      <x:c r="A240" s="3" t="str">
        <x:v>2202017</x:v>
      </x:c>
      <x:c r="B240" s="3" t="str">
        <x:v>GE102</x:v>
      </x:c>
      <x:c r="C240" s="3" t="str">
        <x:v>2024-1</x:v>
      </x:c>
      <x:c r="D240" s="3" t="n">
        <x:v>7.1</x:v>
      </x:c>
      <x:c r="E240" s="3" t="n">
        <x:v>7.1</x:v>
      </x:c>
      <x:c r="F240" s="3" t="n">
        <x:v>1</x:v>
      </x:c>
      <x:c r="G240" s="3" t="str"/>
      <x:c r="H240" s="3" t="n">
        <x:v>237</x:v>
      </x:c>
      <x:c r="I240" s="5" t="n">
        <x:f>ROUND(D240*Rules!$B$5+E240*Rules!$B$6,1)</x:f>
        <x:v>7.1</x:v>
      </x:c>
      <x:c r="J240" s="5" t="n">
        <x:f>IF(I240&gt;=Rules!$B$13,Rules!$C$13,IF(I240&gt;=Rules!$B$14,Rules!$C$14,IF(I240&gt;=Rules!$B$15,Rules!$C$15,IF(I240&gt;=Rules!$B$16,Rules!$C$16,Rules!$C$17))))</x:f>
        <x:v>3</x:v>
      </x:c>
      <x:c r="K240" s="5" t="n">
        <x:f>VLOOKUP(B240,Courses!$A$5:$D$14,3,FALSE)</x:f>
        <x:v>3</x:v>
      </x:c>
      <x:c r="L240" s="5" t="n">
        <x:f>J240*K240</x:f>
        <x:v>9</x:v>
      </x:c>
      <x:c r="M240" s="5" t="str">
        <x:f>VLOOKUP(A240,Students!$A$5:$H$45,5,FALSE)</x:f>
        <x:v>BA02</x:v>
      </x:c>
      <x:c r="N240" s="5" t="str">
        <x:f>'Sections'!E40</x:f>
        <x:v>T012</x:v>
      </x:c>
      <x:c r="O240" s="5" t="n">
        <x:f>IF(J240&gt;0,1,0)</x:f>
        <x:v>1</x:v>
      </x:c>
    </x:row>
    <x:row r="241" ht="21" customHeight="1">
      <x:c r="A241" s="3" t="str">
        <x:v>2202017</x:v>
      </x:c>
      <x:c r="B241" s="3" t="str">
        <x:v>BA101</x:v>
      </x:c>
      <x:c r="C241" s="3" t="str">
        <x:v>2024-1</x:v>
      </x:c>
      <x:c r="D241" s="3" t="n">
        <x:v>7.3</x:v>
      </x:c>
      <x:c r="E241" s="3" t="n">
        <x:v>7.2</x:v>
      </x:c>
      <x:c r="F241" s="3" t="n">
        <x:v>1</x:v>
      </x:c>
      <x:c r="G241" s="3" t="str"/>
      <x:c r="H241" s="3" t="n">
        <x:v>238</x:v>
      </x:c>
      <x:c r="I241" s="5" t="n">
        <x:f>ROUND(D241*Rules!$B$5+E241*Rules!$B$6,1)</x:f>
        <x:v>7.2</x:v>
      </x:c>
      <x:c r="J241" s="5" t="n">
        <x:f>IF(I241&gt;=Rules!$B$13,Rules!$C$13,IF(I241&gt;=Rules!$B$14,Rules!$C$14,IF(I241&gt;=Rules!$B$15,Rules!$C$15,IF(I241&gt;=Rules!$B$16,Rules!$C$16,Rules!$C$17))))</x:f>
        <x:v>3</x:v>
      </x:c>
      <x:c r="K241" s="5" t="n">
        <x:f>VLOOKUP(B241,Courses!$A$5:$D$14,3,FALSE)</x:f>
        <x:v>3</x:v>
      </x:c>
      <x:c r="L241" s="5" t="n">
        <x:f>J241*K241</x:f>
        <x:v>9</x:v>
      </x:c>
      <x:c r="M241" s="5" t="str">
        <x:f>VLOOKUP(A241,Students!$A$5:$H$45,5,FALSE)</x:f>
        <x:v>BA02</x:v>
      </x:c>
      <x:c r="N241" s="5" t="str">
        <x:f>'Sections'!E6</x:f>
        <x:v>T012</x:v>
      </x:c>
      <x:c r="O241" s="5" t="n">
        <x:f>IF(J241&gt;0,1,0)</x:f>
        <x:v>1</x:v>
      </x:c>
    </x:row>
    <x:row r="242" ht="21" customHeight="1">
      <x:c r="A242" s="3" t="str">
        <x:v>2202017</x:v>
      </x:c>
      <x:c r="B242" s="3" t="str">
        <x:v>BA102</x:v>
      </x:c>
      <x:c r="C242" s="3" t="str">
        <x:v>2024-2</x:v>
      </x:c>
      <x:c r="D242" s="3" t="n">
        <x:v>8.4</x:v>
      </x:c>
      <x:c r="E242" s="3" t="n">
        <x:v>6.1</x:v>
      </x:c>
      <x:c r="F242" s="3" t="n">
        <x:v>1</x:v>
      </x:c>
      <x:c r="G242" s="3" t="str"/>
      <x:c r="H242" s="3" t="n">
        <x:v>239</x:v>
      </x:c>
      <x:c r="I242" s="5" t="n">
        <x:f>ROUND(D242*Rules!$B$5+E242*Rules!$B$6,1)</x:f>
        <x:v>7</x:v>
      </x:c>
      <x:c r="J242" s="5" t="n">
        <x:f>IF(I242&gt;=Rules!$B$13,Rules!$C$13,IF(I242&gt;=Rules!$B$14,Rules!$C$14,IF(I242&gt;=Rules!$B$15,Rules!$C$15,IF(I242&gt;=Rules!$B$16,Rules!$C$16,Rules!$C$17))))</x:f>
        <x:v>3</x:v>
      </x:c>
      <x:c r="K242" s="5" t="n">
        <x:f>VLOOKUP(B242,Courses!$A$5:$D$14,3,FALSE)</x:f>
        <x:v>3</x:v>
      </x:c>
      <x:c r="L242" s="5" t="n">
        <x:f>J242*K242</x:f>
        <x:v>9</x:v>
      </x:c>
      <x:c r="M242" s="5" t="str">
        <x:f>VLOOKUP(A242,Students!$A$5:$H$45,5,FALSE)</x:f>
        <x:v>BA02</x:v>
      </x:c>
      <x:c r="N242" s="5" t="str">
        <x:f>'Sections'!E10</x:f>
        <x:v>T012</x:v>
      </x:c>
      <x:c r="O242" s="5" t="n">
        <x:f>IF(J242&gt;0,1,0)</x:f>
        <x:v>1</x:v>
      </x:c>
    </x:row>
    <x:row r="243" ht="21" customHeight="1">
      <x:c r="A243" s="3" t="str">
        <x:v>2202017</x:v>
      </x:c>
      <x:c r="B243" s="3" t="str">
        <x:v>BA201</x:v>
      </x:c>
      <x:c r="C243" s="3" t="str">
        <x:v>2024-2</x:v>
      </x:c>
      <x:c r="D243" s="3" t="n">
        <x:v>8.3</x:v>
      </x:c>
      <x:c r="E243" s="3" t="n">
        <x:v>7.1</x:v>
      </x:c>
      <x:c r="F243" s="3" t="n">
        <x:v>1</x:v>
      </x:c>
      <x:c r="G243" s="3" t="str"/>
      <x:c r="H243" s="3" t="n">
        <x:v>240</x:v>
      </x:c>
      <x:c r="I243" s="5" t="n">
        <x:f>ROUND(D243*Rules!$B$5+E243*Rules!$B$6,1)</x:f>
        <x:v>7.6</x:v>
      </x:c>
      <x:c r="J243" s="5" t="n">
        <x:f>IF(I243&gt;=Rules!$B$13,Rules!$C$13,IF(I243&gt;=Rules!$B$14,Rules!$C$14,IF(I243&gt;=Rules!$B$15,Rules!$C$15,IF(I243&gt;=Rules!$B$16,Rules!$C$16,Rules!$C$17))))</x:f>
        <x:v>3</x:v>
      </x:c>
      <x:c r="K243" s="5" t="n">
        <x:f>VLOOKUP(B243,Courses!$A$5:$D$14,3,FALSE)</x:f>
        <x:v>4</x:v>
      </x:c>
      <x:c r="L243" s="5" t="n">
        <x:f>J243*K243</x:f>
        <x:v>12</x:v>
      </x:c>
      <x:c r="M243" s="5" t="str">
        <x:f>VLOOKUP(A243,Students!$A$5:$H$45,5,FALSE)</x:f>
        <x:v>BA02</x:v>
      </x:c>
      <x:c r="N243" s="5" t="str">
        <x:f>'Sections'!E14</x:f>
        <x:v>T012</x:v>
      </x:c>
      <x:c r="O243" s="5" t="n">
        <x:f>IF(J243&gt;0,1,0)</x:f>
        <x:v>1</x:v>
      </x:c>
    </x:row>
    <x:row r="244" ht="21" customHeight="1">
      <x:c r="A244" s="3" t="str">
        <x:v>2202017</x:v>
      </x:c>
      <x:c r="B244" s="3" t="str">
        <x:v>BA202</x:v>
      </x:c>
      <x:c r="C244" s="3" t="str">
        <x:v>2025-1</x:v>
      </x:c>
      <x:c r="D244" s="3" t="n">
        <x:v>7.2</x:v>
      </x:c>
      <x:c r="E244" s="3" t="n">
        <x:v>6.8</x:v>
      </x:c>
      <x:c r="F244" s="3" t="n">
        <x:v>1</x:v>
      </x:c>
      <x:c r="G244" s="3" t="str"/>
      <x:c r="H244" s="3" t="n">
        <x:v>241</x:v>
      </x:c>
      <x:c r="I244" s="5" t="n">
        <x:f>ROUND(D244*Rules!$B$5+E244*Rules!$B$6,1)</x:f>
        <x:v>7</x:v>
      </x:c>
      <x:c r="J244" s="5" t="n">
        <x:f>IF(I244&gt;=Rules!$B$13,Rules!$C$13,IF(I244&gt;=Rules!$B$14,Rules!$C$14,IF(I244&gt;=Rules!$B$15,Rules!$C$15,IF(I244&gt;=Rules!$B$16,Rules!$C$16,Rules!$C$17))))</x:f>
        <x:v>3</x:v>
      </x:c>
      <x:c r="K244" s="5" t="n">
        <x:f>VLOOKUP(B244,Courses!$A$5:$D$14,3,FALSE)</x:f>
        <x:v>3</x:v>
      </x:c>
      <x:c r="L244" s="5" t="n">
        <x:f>J244*K244</x:f>
        <x:v>9</x:v>
      </x:c>
      <x:c r="M244" s="5" t="str">
        <x:f>VLOOKUP(A244,Students!$A$5:$H$45,5,FALSE)</x:f>
        <x:v>BA02</x:v>
      </x:c>
      <x:c r="N244" s="5" t="str">
        <x:f>'Sections'!E17</x:f>
        <x:v>T011</x:v>
      </x:c>
      <x:c r="O244" s="5" t="n">
        <x:f>IF(J244&gt;0,1,0)</x:f>
        <x:v>1</x:v>
      </x:c>
    </x:row>
    <x:row r="245" ht="21" customHeight="1">
      <x:c r="A245" s="3" t="str">
        <x:v>2202018</x:v>
      </x:c>
      <x:c r="B245" s="3" t="str">
        <x:v>GE101</x:v>
      </x:c>
      <x:c r="C245" s="3" t="str">
        <x:v>2024-1</x:v>
      </x:c>
      <x:c r="D245" s="3" t="n">
        <x:v>7.9</x:v>
      </x:c>
      <x:c r="E245" s="3" t="n">
        <x:v>5.2</x:v>
      </x:c>
      <x:c r="F245" s="3" t="n">
        <x:v>1</x:v>
      </x:c>
      <x:c r="G245" s="3" t="str"/>
      <x:c r="H245" s="3" t="n">
        <x:v>242</x:v>
      </x:c>
      <x:c r="I245" s="5" t="n">
        <x:f>ROUND(D245*Rules!$B$5+E245*Rules!$B$6,1)</x:f>
        <x:v>6.3</x:v>
      </x:c>
      <x:c r="J245" s="5" t="n">
        <x:f>IF(I245&gt;=Rules!$B$13,Rules!$C$13,IF(I245&gt;=Rules!$B$14,Rules!$C$14,IF(I245&gt;=Rules!$B$15,Rules!$C$15,IF(I245&gt;=Rules!$B$16,Rules!$C$16,Rules!$C$17))))</x:f>
        <x:v>2</x:v>
      </x:c>
      <x:c r="K245" s="5" t="n">
        <x:f>VLOOKUP(B245,Courses!$A$5:$D$14,3,FALSE)</x:f>
        <x:v>2</x:v>
      </x:c>
      <x:c r="L245" s="5" t="n">
        <x:f>J245*K245</x:f>
        <x:v>4</x:v>
      </x:c>
      <x:c r="M245" s="5" t="str">
        <x:f>VLOOKUP(A245,Students!$A$5:$H$45,5,FALSE)</x:f>
        <x:v>BA02</x:v>
      </x:c>
      <x:c r="N245" s="5" t="str">
        <x:f>'Sections'!E32</x:f>
        <x:v>T012</x:v>
      </x:c>
      <x:c r="O245" s="5" t="n">
        <x:f>IF(J245&gt;0,1,0)</x:f>
        <x:v>1</x:v>
      </x:c>
    </x:row>
    <x:row r="246" ht="21" customHeight="1">
      <x:c r="A246" s="3" t="str">
        <x:v>2202018</x:v>
      </x:c>
      <x:c r="B246" s="3" t="str">
        <x:v>GE102</x:v>
      </x:c>
      <x:c r="C246" s="3" t="str">
        <x:v>2024-1</x:v>
      </x:c>
      <x:c r="D246" s="3" t="n">
        <x:v>8.9</x:v>
      </x:c>
      <x:c r="E246" s="3" t="n">
        <x:v>6.4</x:v>
      </x:c>
      <x:c r="F246" s="3" t="n">
        <x:v>1</x:v>
      </x:c>
      <x:c r="G246" s="3" t="str"/>
      <x:c r="H246" s="3" t="n">
        <x:v>243</x:v>
      </x:c>
      <x:c r="I246" s="5" t="n">
        <x:f>ROUND(D246*Rules!$B$5+E246*Rules!$B$6,1)</x:f>
        <x:v>7.4</x:v>
      </x:c>
      <x:c r="J246" s="5" t="n">
        <x:f>IF(I246&gt;=Rules!$B$13,Rules!$C$13,IF(I246&gt;=Rules!$B$14,Rules!$C$14,IF(I246&gt;=Rules!$B$15,Rules!$C$15,IF(I246&gt;=Rules!$B$16,Rules!$C$16,Rules!$C$17))))</x:f>
        <x:v>3</x:v>
      </x:c>
      <x:c r="K246" s="5" t="n">
        <x:f>VLOOKUP(B246,Courses!$A$5:$D$14,3,FALSE)</x:f>
        <x:v>3</x:v>
      </x:c>
      <x:c r="L246" s="5" t="n">
        <x:f>J246*K246</x:f>
        <x:v>9</x:v>
      </x:c>
      <x:c r="M246" s="5" t="str">
        <x:f>VLOOKUP(A246,Students!$A$5:$H$45,5,FALSE)</x:f>
        <x:v>BA02</x:v>
      </x:c>
      <x:c r="N246" s="5" t="str">
        <x:f>'Sections'!E40</x:f>
        <x:v>T012</x:v>
      </x:c>
      <x:c r="O246" s="5" t="n">
        <x:f>IF(J246&gt;0,1,0)</x:f>
        <x:v>1</x:v>
      </x:c>
    </x:row>
    <x:row r="247" ht="21" customHeight="1">
      <x:c r="A247" s="3" t="str">
        <x:v>2202018</x:v>
      </x:c>
      <x:c r="B247" s="3" t="str">
        <x:v>BA101</x:v>
      </x:c>
      <x:c r="C247" s="3" t="str">
        <x:v>2024-1</x:v>
      </x:c>
      <x:c r="D247" s="3" t="n">
        <x:v>7.7</x:v>
      </x:c>
      <x:c r="E247" s="3" t="n">
        <x:v>6.6</x:v>
      </x:c>
      <x:c r="F247" s="3" t="n">
        <x:v>1</x:v>
      </x:c>
      <x:c r="G247" s="3" t="str"/>
      <x:c r="H247" s="3" t="n">
        <x:v>244</x:v>
      </x:c>
      <x:c r="I247" s="5" t="n">
        <x:f>ROUND(D247*Rules!$B$5+E247*Rules!$B$6,1)</x:f>
        <x:v>7</x:v>
      </x:c>
      <x:c r="J247" s="5" t="n">
        <x:f>IF(I247&gt;=Rules!$B$13,Rules!$C$13,IF(I247&gt;=Rules!$B$14,Rules!$C$14,IF(I247&gt;=Rules!$B$15,Rules!$C$15,IF(I247&gt;=Rules!$B$16,Rules!$C$16,Rules!$C$17))))</x:f>
        <x:v>3</x:v>
      </x:c>
      <x:c r="K247" s="5" t="n">
        <x:f>VLOOKUP(B247,Courses!$A$5:$D$14,3,FALSE)</x:f>
        <x:v>3</x:v>
      </x:c>
      <x:c r="L247" s="5" t="n">
        <x:f>J247*K247</x:f>
        <x:v>9</x:v>
      </x:c>
      <x:c r="M247" s="5" t="str">
        <x:f>VLOOKUP(A247,Students!$A$5:$H$45,5,FALSE)</x:f>
        <x:v>BA02</x:v>
      </x:c>
      <x:c r="N247" s="5" t="str">
        <x:f>'Sections'!E6</x:f>
        <x:v>T012</x:v>
      </x:c>
      <x:c r="O247" s="5" t="n">
        <x:f>IF(J247&gt;0,1,0)</x:f>
        <x:v>1</x:v>
      </x:c>
    </x:row>
    <x:row r="248" ht="21" customHeight="1">
      <x:c r="A248" s="3" t="str">
        <x:v>2202018</x:v>
      </x:c>
      <x:c r="B248" s="3" t="str">
        <x:v>BA102</x:v>
      </x:c>
      <x:c r="C248" s="3" t="str">
        <x:v>2024-2</x:v>
      </x:c>
      <x:c r="D248" s="3" t="n">
        <x:v>7.1</x:v>
      </x:c>
      <x:c r="E248" s="3" t="n">
        <x:v>6.4</x:v>
      </x:c>
      <x:c r="F248" s="3" t="n">
        <x:v>1</x:v>
      </x:c>
      <x:c r="G248" s="3" t="str"/>
      <x:c r="H248" s="3" t="n">
        <x:v>245</x:v>
      </x:c>
      <x:c r="I248" s="5" t="n">
        <x:f>ROUND(D248*Rules!$B$5+E248*Rules!$B$6,1)</x:f>
        <x:v>6.7</x:v>
      </x:c>
      <x:c r="J248" s="5" t="n">
        <x:f>IF(I248&gt;=Rules!$B$13,Rules!$C$13,IF(I248&gt;=Rules!$B$14,Rules!$C$14,IF(I248&gt;=Rules!$B$15,Rules!$C$15,IF(I248&gt;=Rules!$B$16,Rules!$C$16,Rules!$C$17))))</x:f>
        <x:v>2</x:v>
      </x:c>
      <x:c r="K248" s="5" t="n">
        <x:f>VLOOKUP(B248,Courses!$A$5:$D$14,3,FALSE)</x:f>
        <x:v>3</x:v>
      </x:c>
      <x:c r="L248" s="5" t="n">
        <x:f>J248*K248</x:f>
        <x:v>6</x:v>
      </x:c>
      <x:c r="M248" s="5" t="str">
        <x:f>VLOOKUP(A248,Students!$A$5:$H$45,5,FALSE)</x:f>
        <x:v>BA02</x:v>
      </x:c>
      <x:c r="N248" s="5" t="str">
        <x:f>'Sections'!E10</x:f>
        <x:v>T012</x:v>
      </x:c>
      <x:c r="O248" s="5" t="n">
        <x:f>IF(J248&gt;0,1,0)</x:f>
        <x:v>1</x:v>
      </x:c>
    </x:row>
    <x:row r="249" ht="21" customHeight="1">
      <x:c r="A249" s="3" t="str">
        <x:v>2202018</x:v>
      </x:c>
      <x:c r="B249" s="3" t="str">
        <x:v>BA201</x:v>
      </x:c>
      <x:c r="C249" s="3" t="str">
        <x:v>2024-2</x:v>
      </x:c>
      <x:c r="D249" s="3" t="n">
        <x:v>7.4</x:v>
      </x:c>
      <x:c r="E249" s="3" t="n">
        <x:v>7.1</x:v>
      </x:c>
      <x:c r="F249" s="3" t="n">
        <x:v>1</x:v>
      </x:c>
      <x:c r="G249" s="3" t="str"/>
      <x:c r="H249" s="3" t="n">
        <x:v>246</x:v>
      </x:c>
      <x:c r="I249" s="5" t="n">
        <x:f>ROUND(D249*Rules!$B$5+E249*Rules!$B$6,1)</x:f>
        <x:v>7.2</x:v>
      </x:c>
      <x:c r="J249" s="5" t="n">
        <x:f>IF(I249&gt;=Rules!$B$13,Rules!$C$13,IF(I249&gt;=Rules!$B$14,Rules!$C$14,IF(I249&gt;=Rules!$B$15,Rules!$C$15,IF(I249&gt;=Rules!$B$16,Rules!$C$16,Rules!$C$17))))</x:f>
        <x:v>3</x:v>
      </x:c>
      <x:c r="K249" s="5" t="n">
        <x:f>VLOOKUP(B249,Courses!$A$5:$D$14,3,FALSE)</x:f>
        <x:v>4</x:v>
      </x:c>
      <x:c r="L249" s="5" t="n">
        <x:f>J249*K249</x:f>
        <x:v>12</x:v>
      </x:c>
      <x:c r="M249" s="5" t="str">
        <x:f>VLOOKUP(A249,Students!$A$5:$H$45,5,FALSE)</x:f>
        <x:v>BA02</x:v>
      </x:c>
      <x:c r="N249" s="5" t="str">
        <x:f>'Sections'!E14</x:f>
        <x:v>T012</x:v>
      </x:c>
      <x:c r="O249" s="5" t="n">
        <x:f>IF(J249&gt;0,1,0)</x:f>
        <x:v>1</x:v>
      </x:c>
    </x:row>
    <x:row r="250" ht="21" customHeight="1">
      <x:c r="A250" s="3" t="str">
        <x:v>2202018</x:v>
      </x:c>
      <x:c r="B250" s="3" t="str">
        <x:v>BA202</x:v>
      </x:c>
      <x:c r="C250" s="3" t="str">
        <x:v>2025-1</x:v>
      </x:c>
      <x:c r="D250" s="3" t="n">
        <x:v>8</x:v>
      </x:c>
      <x:c r="E250" s="3" t="n">
        <x:v>6.5</x:v>
      </x:c>
      <x:c r="F250" s="3" t="n">
        <x:v>1</x:v>
      </x:c>
      <x:c r="G250" s="3" t="str"/>
      <x:c r="H250" s="3" t="n">
        <x:v>247</x:v>
      </x:c>
      <x:c r="I250" s="5" t="n">
        <x:f>ROUND(D250*Rules!$B$5+E250*Rules!$B$6,1)</x:f>
        <x:v>7.1</x:v>
      </x:c>
      <x:c r="J250" s="5" t="n">
        <x:f>IF(I250&gt;=Rules!$B$13,Rules!$C$13,IF(I250&gt;=Rules!$B$14,Rules!$C$14,IF(I250&gt;=Rules!$B$15,Rules!$C$15,IF(I250&gt;=Rules!$B$16,Rules!$C$16,Rules!$C$17))))</x:f>
        <x:v>3</x:v>
      </x:c>
      <x:c r="K250" s="5" t="n">
        <x:f>VLOOKUP(B250,Courses!$A$5:$D$14,3,FALSE)</x:f>
        <x:v>3</x:v>
      </x:c>
      <x:c r="L250" s="5" t="n">
        <x:f>J250*K250</x:f>
        <x:v>9</x:v>
      </x:c>
      <x:c r="M250" s="5" t="str">
        <x:f>VLOOKUP(A250,Students!$A$5:$H$45,5,FALSE)</x:f>
        <x:v>BA02</x:v>
      </x:c>
      <x:c r="N250" s="5" t="str">
        <x:f>'Sections'!E17</x:f>
        <x:v>T011</x:v>
      </x:c>
      <x:c r="O250" s="5" t="n">
        <x:f>IF(J250&gt;0,1,0)</x:f>
        <x:v>1</x:v>
      </x:c>
    </x:row>
    <x:row r="251" ht="21" customHeight="1">
      <x:c r="A251" s="3" t="str">
        <x:v>2202019</x:v>
      </x:c>
      <x:c r="B251" s="3" t="str">
        <x:v>GE101</x:v>
      </x:c>
      <x:c r="C251" s="3" t="str">
        <x:v>2024-1</x:v>
      </x:c>
      <x:c r="D251" s="3" t="n">
        <x:v>7.8</x:v>
      </x:c>
      <x:c r="E251" s="3" t="n">
        <x:v>8.4</x:v>
      </x:c>
      <x:c r="F251" s="3" t="n">
        <x:v>1</x:v>
      </x:c>
      <x:c r="G251" s="3" t="str"/>
      <x:c r="H251" s="3" t="n">
        <x:v>248</x:v>
      </x:c>
      <x:c r="I251" s="5" t="n">
        <x:f>ROUND(D251*Rules!$B$5+E251*Rules!$B$6,1)</x:f>
        <x:v>8.2</x:v>
      </x:c>
      <x:c r="J251" s="5" t="n">
        <x:f>IF(I251&gt;=Rules!$B$13,Rules!$C$13,IF(I251&gt;=Rules!$B$14,Rules!$C$14,IF(I251&gt;=Rules!$B$15,Rules!$C$15,IF(I251&gt;=Rules!$B$16,Rules!$C$16,Rules!$C$17))))</x:f>
        <x:v>3</x:v>
      </x:c>
      <x:c r="K251" s="5" t="n">
        <x:f>VLOOKUP(B251,Courses!$A$5:$D$14,3,FALSE)</x:f>
        <x:v>2</x:v>
      </x:c>
      <x:c r="L251" s="5" t="n">
        <x:f>J251*K251</x:f>
        <x:v>6</x:v>
      </x:c>
      <x:c r="M251" s="5" t="str">
        <x:f>VLOOKUP(A251,Students!$A$5:$H$45,5,FALSE)</x:f>
        <x:v>BA02</x:v>
      </x:c>
      <x:c r="N251" s="5" t="str">
        <x:f>'Sections'!E32</x:f>
        <x:v>T012</x:v>
      </x:c>
      <x:c r="O251" s="5" t="n">
        <x:f>IF(J251&gt;0,1,0)</x:f>
        <x:v>1</x:v>
      </x:c>
    </x:row>
    <x:row r="252" ht="21" customHeight="1">
      <x:c r="A252" s="3" t="str">
        <x:v>2202019</x:v>
      </x:c>
      <x:c r="B252" s="3" t="str">
        <x:v>GE102</x:v>
      </x:c>
      <x:c r="C252" s="3" t="str">
        <x:v>2024-1</x:v>
      </x:c>
      <x:c r="D252" s="3" t="n">
        <x:v>8.1</x:v>
      </x:c>
      <x:c r="E252" s="3" t="n">
        <x:v>7.9</x:v>
      </x:c>
      <x:c r="F252" s="3" t="n">
        <x:v>1</x:v>
      </x:c>
      <x:c r="G252" s="3" t="str"/>
      <x:c r="H252" s="3" t="n">
        <x:v>249</x:v>
      </x:c>
      <x:c r="I252" s="5" t="n">
        <x:f>ROUND(D252*Rules!$B$5+E252*Rules!$B$6,1)</x:f>
        <x:v>8</x:v>
      </x:c>
      <x:c r="J252" s="5" t="n">
        <x:f>IF(I252&gt;=Rules!$B$13,Rules!$C$13,IF(I252&gt;=Rules!$B$14,Rules!$C$14,IF(I252&gt;=Rules!$B$15,Rules!$C$15,IF(I252&gt;=Rules!$B$16,Rules!$C$16,Rules!$C$17))))</x:f>
        <x:v>3</x:v>
      </x:c>
      <x:c r="K252" s="5" t="n">
        <x:f>VLOOKUP(B252,Courses!$A$5:$D$14,3,FALSE)</x:f>
        <x:v>3</x:v>
      </x:c>
      <x:c r="L252" s="5" t="n">
        <x:f>J252*K252</x:f>
        <x:v>9</x:v>
      </x:c>
      <x:c r="M252" s="5" t="str">
        <x:f>VLOOKUP(A252,Students!$A$5:$H$45,5,FALSE)</x:f>
        <x:v>BA02</x:v>
      </x:c>
      <x:c r="N252" s="5" t="str">
        <x:f>'Sections'!E40</x:f>
        <x:v>T012</x:v>
      </x:c>
      <x:c r="O252" s="5" t="n">
        <x:f>IF(J252&gt;0,1,0)</x:f>
        <x:v>1</x:v>
      </x:c>
    </x:row>
    <x:row r="253" ht="21" customHeight="1">
      <x:c r="A253" s="3" t="str">
        <x:v>2202019</x:v>
      </x:c>
      <x:c r="B253" s="3" t="str">
        <x:v>BA101</x:v>
      </x:c>
      <x:c r="C253" s="3" t="str">
        <x:v>2024-1</x:v>
      </x:c>
      <x:c r="D253" s="3" t="n">
        <x:v>8.4</x:v>
      </x:c>
      <x:c r="E253" s="3" t="n">
        <x:v>7.3</x:v>
      </x:c>
      <x:c r="F253" s="3" t="n">
        <x:v>1</x:v>
      </x:c>
      <x:c r="G253" s="3" t="str"/>
      <x:c r="H253" s="3" t="n">
        <x:v>250</x:v>
      </x:c>
      <x:c r="I253" s="5" t="n">
        <x:f>ROUND(D253*Rules!$B$5+E253*Rules!$B$6,1)</x:f>
        <x:v>7.7</x:v>
      </x:c>
      <x:c r="J253" s="5" t="n">
        <x:f>IF(I253&gt;=Rules!$B$13,Rules!$C$13,IF(I253&gt;=Rules!$B$14,Rules!$C$14,IF(I253&gt;=Rules!$B$15,Rules!$C$15,IF(I253&gt;=Rules!$B$16,Rules!$C$16,Rules!$C$17))))</x:f>
        <x:v>3</x:v>
      </x:c>
      <x:c r="K253" s="5" t="n">
        <x:f>VLOOKUP(B253,Courses!$A$5:$D$14,3,FALSE)</x:f>
        <x:v>3</x:v>
      </x:c>
      <x:c r="L253" s="5" t="n">
        <x:f>J253*K253</x:f>
        <x:v>9</x:v>
      </x:c>
      <x:c r="M253" s="5" t="str">
        <x:f>VLOOKUP(A253,Students!$A$5:$H$45,5,FALSE)</x:f>
        <x:v>BA02</x:v>
      </x:c>
      <x:c r="N253" s="5" t="str">
        <x:f>'Sections'!E6</x:f>
        <x:v>T012</x:v>
      </x:c>
      <x:c r="O253" s="5" t="n">
        <x:f>IF(J253&gt;0,1,0)</x:f>
        <x:v>1</x:v>
      </x:c>
    </x:row>
    <x:row r="254" ht="21" customHeight="1">
      <x:c r="A254" s="3" t="str">
        <x:v>2202019</x:v>
      </x:c>
      <x:c r="B254" s="3" t="str">
        <x:v>BA102</x:v>
      </x:c>
      <x:c r="C254" s="3" t="str">
        <x:v>2024-2</x:v>
      </x:c>
      <x:c r="D254" s="3" t="n">
        <x:v>8.6</x:v>
      </x:c>
      <x:c r="E254" s="3" t="n">
        <x:v>6.9</x:v>
      </x:c>
      <x:c r="F254" s="3" t="n">
        <x:v>1</x:v>
      </x:c>
      <x:c r="G254" s="3" t="str"/>
      <x:c r="H254" s="3" t="n">
        <x:v>251</x:v>
      </x:c>
      <x:c r="I254" s="5" t="n">
        <x:f>ROUND(D254*Rules!$B$5+E254*Rules!$B$6,1)</x:f>
        <x:v>7.6</x:v>
      </x:c>
      <x:c r="J254" s="5" t="n">
        <x:f>IF(I254&gt;=Rules!$B$13,Rules!$C$13,IF(I254&gt;=Rules!$B$14,Rules!$C$14,IF(I254&gt;=Rules!$B$15,Rules!$C$15,IF(I254&gt;=Rules!$B$16,Rules!$C$16,Rules!$C$17))))</x:f>
        <x:v>3</x:v>
      </x:c>
      <x:c r="K254" s="5" t="n">
        <x:f>VLOOKUP(B254,Courses!$A$5:$D$14,3,FALSE)</x:f>
        <x:v>3</x:v>
      </x:c>
      <x:c r="L254" s="5" t="n">
        <x:f>J254*K254</x:f>
        <x:v>9</x:v>
      </x:c>
      <x:c r="M254" s="5" t="str">
        <x:f>VLOOKUP(A254,Students!$A$5:$H$45,5,FALSE)</x:f>
        <x:v>BA02</x:v>
      </x:c>
      <x:c r="N254" s="5" t="str">
        <x:f>'Sections'!E10</x:f>
        <x:v>T012</x:v>
      </x:c>
      <x:c r="O254" s="5" t="n">
        <x:f>IF(J254&gt;0,1,0)</x:f>
        <x:v>1</x:v>
      </x:c>
    </x:row>
    <x:row r="255" ht="21" customHeight="1">
      <x:c r="A255" s="3" t="str">
        <x:v>2202019</x:v>
      </x:c>
      <x:c r="B255" s="3" t="str">
        <x:v>BA201</x:v>
      </x:c>
      <x:c r="C255" s="3" t="str">
        <x:v>2024-2</x:v>
      </x:c>
      <x:c r="D255" s="3" t="n">
        <x:v>7.6</x:v>
      </x:c>
      <x:c r="E255" s="3" t="n">
        <x:v>7.3</x:v>
      </x:c>
      <x:c r="F255" s="3" t="n">
        <x:v>1</x:v>
      </x:c>
      <x:c r="G255" s="3" t="str"/>
      <x:c r="H255" s="3" t="n">
        <x:v>252</x:v>
      </x:c>
      <x:c r="I255" s="5" t="n">
        <x:f>ROUND(D255*Rules!$B$5+E255*Rules!$B$6,1)</x:f>
        <x:v>7.4</x:v>
      </x:c>
      <x:c r="J255" s="5" t="n">
        <x:f>IF(I255&gt;=Rules!$B$13,Rules!$C$13,IF(I255&gt;=Rules!$B$14,Rules!$C$14,IF(I255&gt;=Rules!$B$15,Rules!$C$15,IF(I255&gt;=Rules!$B$16,Rules!$C$16,Rules!$C$17))))</x:f>
        <x:v>3</x:v>
      </x:c>
      <x:c r="K255" s="5" t="n">
        <x:f>VLOOKUP(B255,Courses!$A$5:$D$14,3,FALSE)</x:f>
        <x:v>4</x:v>
      </x:c>
      <x:c r="L255" s="5" t="n">
        <x:f>J255*K255</x:f>
        <x:v>12</x:v>
      </x:c>
      <x:c r="M255" s="5" t="str">
        <x:f>VLOOKUP(A255,Students!$A$5:$H$45,5,FALSE)</x:f>
        <x:v>BA02</x:v>
      </x:c>
      <x:c r="N255" s="5" t="str">
        <x:f>'Sections'!E14</x:f>
        <x:v>T012</x:v>
      </x:c>
      <x:c r="O255" s="5" t="n">
        <x:f>IF(J255&gt;0,1,0)</x:f>
        <x:v>1</x:v>
      </x:c>
    </x:row>
    <x:row r="256" ht="21" customHeight="1">
      <x:c r="A256" s="3" t="str">
        <x:v>2202019</x:v>
      </x:c>
      <x:c r="B256" s="3" t="str">
        <x:v>BA202</x:v>
      </x:c>
      <x:c r="C256" s="3" t="str">
        <x:v>2025-1</x:v>
      </x:c>
      <x:c r="D256" s="3" t="n">
        <x:v>9.6</x:v>
      </x:c>
      <x:c r="E256" s="3" t="n">
        <x:v>8.3</x:v>
      </x:c>
      <x:c r="F256" s="3" t="n">
        <x:v>1</x:v>
      </x:c>
      <x:c r="G256" s="3" t="str"/>
      <x:c r="H256" s="3" t="n">
        <x:v>253</x:v>
      </x:c>
      <x:c r="I256" s="5" t="n">
        <x:f>ROUND(D256*Rules!$B$5+E256*Rules!$B$6,1)</x:f>
        <x:v>8.8</x:v>
      </x:c>
      <x:c r="J256" s="5" t="n">
        <x:f>IF(I256&gt;=Rules!$B$13,Rules!$C$13,IF(I256&gt;=Rules!$B$14,Rules!$C$14,IF(I256&gt;=Rules!$B$15,Rules!$C$15,IF(I256&gt;=Rules!$B$16,Rules!$C$16,Rules!$C$17))))</x:f>
        <x:v>4</x:v>
      </x:c>
      <x:c r="K256" s="5" t="n">
        <x:f>VLOOKUP(B256,Courses!$A$5:$D$14,3,FALSE)</x:f>
        <x:v>3</x:v>
      </x:c>
      <x:c r="L256" s="5" t="n">
        <x:f>J256*K256</x:f>
        <x:v>12</x:v>
      </x:c>
      <x:c r="M256" s="5" t="str">
        <x:f>VLOOKUP(A256,Students!$A$5:$H$45,5,FALSE)</x:f>
        <x:v>BA02</x:v>
      </x:c>
      <x:c r="N256" s="5" t="str">
        <x:f>'Sections'!E17</x:f>
        <x:v>T011</x:v>
      </x:c>
      <x:c r="O256" s="5" t="n">
        <x:f>IF(J256&gt;0,1,0)</x:f>
        <x:v>1</x:v>
      </x:c>
    </x:row>
    <x:row r="257" ht="21" customHeight="1">
      <x:c r="A257" s="3" t="str">
        <x:v>2202020</x:v>
      </x:c>
      <x:c r="B257" s="3" t="str">
        <x:v>GE101</x:v>
      </x:c>
      <x:c r="C257" s="3" t="str">
        <x:v>2024-1</x:v>
      </x:c>
      <x:c r="D257" s="3" t="n">
        <x:v>4.1</x:v>
      </x:c>
      <x:c r="E257" s="3" t="n">
        <x:v>4.5</x:v>
      </x:c>
      <x:c r="F257" s="3" t="n">
        <x:v>1</x:v>
      </x:c>
      <x:c r="G257" s="3" t="str"/>
      <x:c r="H257" s="3" t="n">
        <x:v>254</x:v>
      </x:c>
      <x:c r="I257" s="5" t="n">
        <x:f>ROUND(D257*Rules!$B$5+E257*Rules!$B$6,1)</x:f>
        <x:v>4.3</x:v>
      </x:c>
      <x:c r="J257" s="5" t="n">
        <x:f>IF(I257&gt;=Rules!$B$13,Rules!$C$13,IF(I257&gt;=Rules!$B$14,Rules!$C$14,IF(I257&gt;=Rules!$B$15,Rules!$C$15,IF(I257&gt;=Rules!$B$16,Rules!$C$16,Rules!$C$17))))</x:f>
        <x:v>1</x:v>
      </x:c>
      <x:c r="K257" s="5" t="n">
        <x:f>VLOOKUP(B257,Courses!$A$5:$D$14,3,FALSE)</x:f>
        <x:v>2</x:v>
      </x:c>
      <x:c r="L257" s="5" t="n">
        <x:f>J257*K257</x:f>
        <x:v>2</x:v>
      </x:c>
      <x:c r="M257" s="5" t="str">
        <x:f>VLOOKUP(A257,Students!$A$5:$H$45,5,FALSE)</x:f>
        <x:v>BA02</x:v>
      </x:c>
      <x:c r="N257" s="5" t="str">
        <x:f>'Sections'!E32</x:f>
        <x:v>T012</x:v>
      </x:c>
      <x:c r="O257" s="5" t="n">
        <x:f>IF(J257&gt;0,1,0)</x:f>
        <x:v>1</x:v>
      </x:c>
    </x:row>
    <x:row r="258" ht="21" customHeight="1">
      <x:c r="A258" s="3" t="str">
        <x:v>2202020</x:v>
      </x:c>
      <x:c r="B258" s="3" t="str">
        <x:v>GE102</x:v>
      </x:c>
      <x:c r="C258" s="3" t="str">
        <x:v>2024-1</x:v>
      </x:c>
      <x:c r="D258" s="3" t="n">
        <x:v>3</x:v>
      </x:c>
      <x:c r="E258" s="3" t="n">
        <x:v>4.3</x:v>
      </x:c>
      <x:c r="F258" s="3" t="n">
        <x:v>1</x:v>
      </x:c>
      <x:c r="G258" s="3" t="str"/>
      <x:c r="H258" s="3" t="n">
        <x:v>255</x:v>
      </x:c>
      <x:c r="I258" s="5" t="n">
        <x:f>ROUND(D258*Rules!$B$5+E258*Rules!$B$6,1)</x:f>
        <x:v>3.8</x:v>
      </x:c>
      <x:c r="J258" s="5" t="n">
        <x:f>IF(I258&gt;=Rules!$B$13,Rules!$C$13,IF(I258&gt;=Rules!$B$14,Rules!$C$14,IF(I258&gt;=Rules!$B$15,Rules!$C$15,IF(I258&gt;=Rules!$B$16,Rules!$C$16,Rules!$C$17))))</x:f>
        <x:v>0</x:v>
      </x:c>
      <x:c r="K258" s="5" t="n">
        <x:f>VLOOKUP(B258,Courses!$A$5:$D$14,3,FALSE)</x:f>
        <x:v>3</x:v>
      </x:c>
      <x:c r="L258" s="5" t="n">
        <x:f>J258*K258</x:f>
        <x:v>0</x:v>
      </x:c>
      <x:c r="M258" s="5" t="str">
        <x:f>VLOOKUP(A258,Students!$A$5:$H$45,5,FALSE)</x:f>
        <x:v>BA02</x:v>
      </x:c>
      <x:c r="N258" s="5" t="str">
        <x:f>'Sections'!E40</x:f>
        <x:v>T012</x:v>
      </x:c>
      <x:c r="O258" s="5" t="n">
        <x:f>IF(J258&gt;0,1,0)</x:f>
        <x:v>0</x:v>
      </x:c>
    </x:row>
    <x:row r="259" ht="21" customHeight="1">
      <x:c r="A259" s="3" t="str">
        <x:v>2202020</x:v>
      </x:c>
      <x:c r="B259" s="3" t="str">
        <x:v>BA101</x:v>
      </x:c>
      <x:c r="C259" s="3" t="str">
        <x:v>2024-1</x:v>
      </x:c>
      <x:c r="D259" s="3" t="n">
        <x:v>3.6</x:v>
      </x:c>
      <x:c r="E259" s="3" t="n">
        <x:v>4</x:v>
      </x:c>
      <x:c r="F259" s="3" t="n">
        <x:v>1</x:v>
      </x:c>
      <x:c r="G259" s="3" t="str"/>
      <x:c r="H259" s="3" t="n">
        <x:v>256</x:v>
      </x:c>
      <x:c r="I259" s="5" t="n">
        <x:f>ROUND(D259*Rules!$B$5+E259*Rules!$B$6,1)</x:f>
        <x:v>3.8</x:v>
      </x:c>
      <x:c r="J259" s="5" t="n">
        <x:f>IF(I259&gt;=Rules!$B$13,Rules!$C$13,IF(I259&gt;=Rules!$B$14,Rules!$C$14,IF(I259&gt;=Rules!$B$15,Rules!$C$15,IF(I259&gt;=Rules!$B$16,Rules!$C$16,Rules!$C$17))))</x:f>
        <x:v>0</x:v>
      </x:c>
      <x:c r="K259" s="5" t="n">
        <x:f>VLOOKUP(B259,Courses!$A$5:$D$14,3,FALSE)</x:f>
        <x:v>3</x:v>
      </x:c>
      <x:c r="L259" s="5" t="n">
        <x:f>J259*K259</x:f>
        <x:v>0</x:v>
      </x:c>
      <x:c r="M259" s="5" t="str">
        <x:f>VLOOKUP(A259,Students!$A$5:$H$45,5,FALSE)</x:f>
        <x:v>BA02</x:v>
      </x:c>
      <x:c r="N259" s="5" t="str">
        <x:f>'Sections'!E6</x:f>
        <x:v>T012</x:v>
      </x:c>
      <x:c r="O259" s="5" t="n">
        <x:f>IF(J259&gt;0,1,0)</x:f>
        <x:v>0</x:v>
      </x:c>
    </x:row>
    <x:row r="260" ht="21" customHeight="1">
      <x:c r="A260" s="3" t="str">
        <x:v>2202020</x:v>
      </x:c>
      <x:c r="B260" s="3" t="str">
        <x:v>BA102</x:v>
      </x:c>
      <x:c r="C260" s="3" t="str">
        <x:v>2024-2</x:v>
      </x:c>
      <x:c r="D260" s="3" t="n">
        <x:v>3.7</x:v>
      </x:c>
      <x:c r="E260" s="3" t="n">
        <x:v>2.2</x:v>
      </x:c>
      <x:c r="F260" s="3" t="n">
        <x:v>1</x:v>
      </x:c>
      <x:c r="G260" s="3" t="str"/>
      <x:c r="H260" s="3" t="n">
        <x:v>257</x:v>
      </x:c>
      <x:c r="I260" s="5" t="n">
        <x:f>ROUND(D260*Rules!$B$5+E260*Rules!$B$6,1)</x:f>
        <x:v>2.8</x:v>
      </x:c>
      <x:c r="J260" s="5" t="n">
        <x:f>IF(I260&gt;=Rules!$B$13,Rules!$C$13,IF(I260&gt;=Rules!$B$14,Rules!$C$14,IF(I260&gt;=Rules!$B$15,Rules!$C$15,IF(I260&gt;=Rules!$B$16,Rules!$C$16,Rules!$C$17))))</x:f>
        <x:v>0</x:v>
      </x:c>
      <x:c r="K260" s="5" t="n">
        <x:f>VLOOKUP(B260,Courses!$A$5:$D$14,3,FALSE)</x:f>
        <x:v>3</x:v>
      </x:c>
      <x:c r="L260" s="5" t="n">
        <x:f>J260*K260</x:f>
        <x:v>0</x:v>
      </x:c>
      <x:c r="M260" s="5" t="str">
        <x:f>VLOOKUP(A260,Students!$A$5:$H$45,5,FALSE)</x:f>
        <x:v>BA02</x:v>
      </x:c>
      <x:c r="N260" s="5" t="str">
        <x:f>'Sections'!E10</x:f>
        <x:v>T012</x:v>
      </x:c>
      <x:c r="O260" s="5" t="n">
        <x:f>IF(J260&gt;0,1,0)</x:f>
        <x:v>0</x:v>
      </x:c>
    </x:row>
    <x:row r="261" ht="21" customHeight="1">
      <x:c r="A261" s="3" t="str">
        <x:v>2202020</x:v>
      </x:c>
      <x:c r="B261" s="3" t="str">
        <x:v>BA201</x:v>
      </x:c>
      <x:c r="C261" s="3" t="str">
        <x:v>2024-2</x:v>
      </x:c>
      <x:c r="D261" s="3" t="n">
        <x:v>5</x:v>
      </x:c>
      <x:c r="E261" s="3" t="n">
        <x:v>5</x:v>
      </x:c>
      <x:c r="F261" s="3" t="n">
        <x:v>1</x:v>
      </x:c>
      <x:c r="G261" s="3" t="str"/>
      <x:c r="H261" s="3" t="n">
        <x:v>258</x:v>
      </x:c>
      <x:c r="I261" s="5" t="n">
        <x:f>ROUND(D261*Rules!$B$5+E261*Rules!$B$6,1)</x:f>
        <x:v>5</x:v>
      </x:c>
      <x:c r="J261" s="5" t="n">
        <x:f>IF(I261&gt;=Rules!$B$13,Rules!$C$13,IF(I261&gt;=Rules!$B$14,Rules!$C$14,IF(I261&gt;=Rules!$B$15,Rules!$C$15,IF(I261&gt;=Rules!$B$16,Rules!$C$16,Rules!$C$17))))</x:f>
        <x:v>1</x:v>
      </x:c>
      <x:c r="K261" s="5" t="n">
        <x:f>VLOOKUP(B261,Courses!$A$5:$D$14,3,FALSE)</x:f>
        <x:v>4</x:v>
      </x:c>
      <x:c r="L261" s="5" t="n">
        <x:f>J261*K261</x:f>
        <x:v>4</x:v>
      </x:c>
      <x:c r="M261" s="5" t="str">
        <x:f>VLOOKUP(A261,Students!$A$5:$H$45,5,FALSE)</x:f>
        <x:v>BA02</x:v>
      </x:c>
      <x:c r="N261" s="5" t="str">
        <x:f>'Sections'!E14</x:f>
        <x:v>T012</x:v>
      </x:c>
      <x:c r="O261" s="5" t="n">
        <x:f>IF(J261&gt;0,1,0)</x:f>
        <x:v>1</x:v>
      </x:c>
    </x:row>
    <x:row r="262" ht="21" customHeight="1">
      <x:c r="A262" s="3" t="str">
        <x:v>2202020</x:v>
      </x:c>
      <x:c r="B262" s="3" t="str">
        <x:v>BA202</x:v>
      </x:c>
      <x:c r="C262" s="3" t="str">
        <x:v>2025-1</x:v>
      </x:c>
      <x:c r="D262" s="3" t="n">
        <x:v>5</x:v>
      </x:c>
      <x:c r="E262" s="3" t="n">
        <x:v>2.5</x:v>
      </x:c>
      <x:c r="F262" s="3" t="n">
        <x:v>1</x:v>
      </x:c>
      <x:c r="G262" s="3" t="str"/>
      <x:c r="H262" s="3" t="n">
        <x:v>259</x:v>
      </x:c>
      <x:c r="I262" s="5" t="n">
        <x:f>ROUND(D262*Rules!$B$5+E262*Rules!$B$6,1)</x:f>
        <x:v>3.5</x:v>
      </x:c>
      <x:c r="J262" s="5" t="n">
        <x:f>IF(I262&gt;=Rules!$B$13,Rules!$C$13,IF(I262&gt;=Rules!$B$14,Rules!$C$14,IF(I262&gt;=Rules!$B$15,Rules!$C$15,IF(I262&gt;=Rules!$B$16,Rules!$C$16,Rules!$C$17))))</x:f>
        <x:v>0</x:v>
      </x:c>
      <x:c r="K262" s="5" t="n">
        <x:f>VLOOKUP(B262,Courses!$A$5:$D$14,3,FALSE)</x:f>
        <x:v>3</x:v>
      </x:c>
      <x:c r="L262" s="5" t="n">
        <x:f>J262*K262</x:f>
        <x:v>0</x:v>
      </x:c>
      <x:c r="M262" s="5" t="str">
        <x:f>VLOOKUP(A262,Students!$A$5:$H$45,5,FALSE)</x:f>
        <x:v>BA02</x:v>
      </x:c>
      <x:c r="N262" s="5" t="str">
        <x:f>'Sections'!E17</x:f>
        <x:v>T011</x:v>
      </x:c>
      <x:c r="O262" s="5" t="n">
        <x:f>IF(J262&gt;0,1,0)</x:f>
        <x:v>0</x:v>
      </x:c>
    </x:row>
    <x:row r="263" ht="21" customHeight="1">
      <x:c r="A263" s="3" t="str">
        <x:v>2202020</x:v>
      </x:c>
      <x:c r="B263" s="3" t="str">
        <x:v>GE102</x:v>
      </x:c>
      <x:c r="C263" s="3" t="str">
        <x:v>2025-1</x:v>
      </x:c>
      <x:c r="D263" s="3" t="n">
        <x:v>7.6</x:v>
      </x:c>
      <x:c r="E263" s="3" t="n">
        <x:v>7.2</x:v>
      </x:c>
      <x:c r="F263" s="3" t="n">
        <x:v>1</x:v>
      </x:c>
      <x:c r="G263" s="3" t="str"/>
      <x:c r="H263" s="3" t="n">
        <x:v>260</x:v>
      </x:c>
      <x:c r="I263" s="5" t="n">
        <x:f>ROUND(D263*Rules!$B$5+E263*Rules!$B$6,1)</x:f>
        <x:v>7.4</x:v>
      </x:c>
      <x:c r="J263" s="5" t="n">
        <x:f>IF(I263&gt;=Rules!$B$13,Rules!$C$13,IF(I263&gt;=Rules!$B$14,Rules!$C$14,IF(I263&gt;=Rules!$B$15,Rules!$C$15,IF(I263&gt;=Rules!$B$16,Rules!$C$16,Rules!$C$17))))</x:f>
        <x:v>3</x:v>
      </x:c>
      <x:c r="K263" s="5" t="n">
        <x:f>VLOOKUP(B263,Courses!$A$5:$D$14,3,FALSE)</x:f>
        <x:v>3</x:v>
      </x:c>
      <x:c r="L263" s="5" t="n">
        <x:f>J263*K263</x:f>
        <x:v>9</x:v>
      </x:c>
      <x:c r="M263" s="5" t="str">
        <x:f>VLOOKUP(A263,Students!$A$5:$H$45,5,FALSE)</x:f>
        <x:v>BA02</x:v>
      </x:c>
      <x:c r="N263" s="5" t="str">
        <x:f>'Sections'!E44</x:f>
        <x:v>T011</x:v>
      </x:c>
      <x:c r="O263" s="5" t="n">
        <x:f>IF(J263&gt;0,1,0)</x:f>
        <x:v>1</x:v>
      </x:c>
    </x:row>
    <x:row r="264" ht="21" customHeight="1">
      <x:c r="A264" s="3" t="str">
        <x:v>2202020</x:v>
      </x:c>
      <x:c r="B264" s="3" t="str">
        <x:v>BA101</x:v>
      </x:c>
      <x:c r="C264" s="3" t="str">
        <x:v>2025-1</x:v>
      </x:c>
      <x:c r="D264" s="3" t="n">
        <x:v>6.5</x:v>
      </x:c>
      <x:c r="E264" s="3" t="n">
        <x:v>5.4</x:v>
      </x:c>
      <x:c r="F264" s="3" t="n">
        <x:v>1</x:v>
      </x:c>
      <x:c r="G264" s="3" t="str"/>
      <x:c r="H264" s="3" t="n">
        <x:v>261</x:v>
      </x:c>
      <x:c r="I264" s="5" t="n">
        <x:f>ROUND(D264*Rules!$B$5+E264*Rules!$B$6,1)</x:f>
        <x:v>5.8</x:v>
      </x:c>
      <x:c r="J264" s="5" t="n">
        <x:f>IF(I264&gt;=Rules!$B$13,Rules!$C$13,IF(I264&gt;=Rules!$B$14,Rules!$C$14,IF(I264&gt;=Rules!$B$15,Rules!$C$15,IF(I264&gt;=Rules!$B$16,Rules!$C$16,Rules!$C$17))))</x:f>
        <x:v>2</x:v>
      </x:c>
      <x:c r="K264" s="5" t="n">
        <x:f>VLOOKUP(B264,Courses!$A$5:$D$14,3,FALSE)</x:f>
        <x:v>3</x:v>
      </x:c>
      <x:c r="L264" s="5" t="n">
        <x:f>J264*K264</x:f>
        <x:v>6</x:v>
      </x:c>
      <x:c r="M264" s="5" t="str">
        <x:f>VLOOKUP(A264,Students!$A$5:$H$45,5,FALSE)</x:f>
        <x:v>BA02</x:v>
      </x:c>
      <x:c r="N264" s="5" t="str">
        <x:f>'Sections'!E8</x:f>
        <x:v>T012</x:v>
      </x:c>
      <x:c r="O264" s="5" t="n">
        <x:f>IF(J264&gt;0,1,0)</x:f>
        <x:v>1</x:v>
      </x:c>
    </x:row>
    <x:row r="265" ht="21" customHeight="1">
      <x:c r="A265" s="3" t="str">
        <x:v>2202020</x:v>
      </x:c>
      <x:c r="B265" s="3" t="str">
        <x:v>BA102</x:v>
      </x:c>
      <x:c r="C265" s="3" t="str">
        <x:v>2025-1</x:v>
      </x:c>
      <x:c r="D265" s="3" t="n">
        <x:v>7.5</x:v>
      </x:c>
      <x:c r="E265" s="3" t="n">
        <x:v>6.1</x:v>
      </x:c>
      <x:c r="F265" s="3" t="n">
        <x:v>1</x:v>
      </x:c>
      <x:c r="G265" s="3" t="str"/>
      <x:c r="H265" s="3" t="n">
        <x:v>262</x:v>
      </x:c>
      <x:c r="I265" s="5" t="n">
        <x:f>ROUND(D265*Rules!$B$5+E265*Rules!$B$6,1)</x:f>
        <x:v>6.7</x:v>
      </x:c>
      <x:c r="J265" s="5" t="n">
        <x:f>IF(I265&gt;=Rules!$B$13,Rules!$C$13,IF(I265&gt;=Rules!$B$14,Rules!$C$14,IF(I265&gt;=Rules!$B$15,Rules!$C$15,IF(I265&gt;=Rules!$B$16,Rules!$C$16,Rules!$C$17))))</x:f>
        <x:v>2</x:v>
      </x:c>
      <x:c r="K265" s="5" t="n">
        <x:f>VLOOKUP(B265,Courses!$A$5:$D$14,3,FALSE)</x:f>
        <x:v>3</x:v>
      </x:c>
      <x:c r="L265" s="5" t="n">
        <x:f>J265*K265</x:f>
        <x:v>6</x:v>
      </x:c>
      <x:c r="M265" s="5" t="str">
        <x:f>VLOOKUP(A265,Students!$A$5:$H$45,5,FALSE)</x:f>
        <x:v>BA02</x:v>
      </x:c>
      <x:c r="N265" s="5" t="str">
        <x:f>'Sections'!E12</x:f>
        <x:v>T012</x:v>
      </x:c>
      <x:c r="O265" s="5" t="n">
        <x:f>IF(J265&gt;0,1,0)</x:f>
        <x:v>1</x:v>
      </x:c>
    </x:row>
    <x:row r="266" ht="21" customHeight="1">
      <x:c r="A266" s="3" t="str">
        <x:v>2201002</x:v>
      </x:c>
      <x:c r="B266" s="3" t="str">
        <x:v>CS101</x:v>
      </x:c>
      <x:c r="C266" s="3" t="str">
        <x:v>2025-1</x:v>
      </x:c>
      <x:c r="D266" s="3" t="n">
        <x:v>11.5</x:v>
      </x:c>
      <x:c r="E266" s="3" t="n">
        <x:v>8</x:v>
      </x:c>
      <x:c r="F266" s="3" t="n">
        <x:v>0</x:v>
      </x:c>
      <x:c r="G266" s="3" t="str">
        <x:v>score outside 0..10</x:v>
      </x:c>
      <x:c r="H266" s="3" t="n">
        <x:v>263</x:v>
      </x:c>
      <x:c r="I266" s="3"/>
      <x:c r="J266" s="3"/>
      <x:c r="K266" s="3"/>
      <x:c r="L266" s="3"/>
      <x:c r="M266" s="3"/>
      <x:c r="N266" s="3"/>
      <x:c r="O266" s="3"/>
    </x:row>
    <x:row r="267" ht="21" customHeight="1">
      <x:c r="A267" s="3" t="str">
        <x:v>2201003</x:v>
      </x:c>
      <x:c r="B267" s="3" t="str">
        <x:v>CS202</x:v>
      </x:c>
      <x:c r="C267" s="3" t="str">
        <x:v>2025-2</x:v>
      </x:c>
      <x:c r="D267" s="3" t="n">
        <x:v>7</x:v>
      </x:c>
      <x:c r="E267" s="3" t="str"/>
      <x:c r="F267" s="3" t="n">
        <x:v>0</x:v>
      </x:c>
      <x:c r="G267" s="3" t="str">
        <x:v>missing score</x:v>
      </x:c>
      <x:c r="H267" s="3" t="n">
        <x:v>264</x:v>
      </x:c>
      <x:c r="I267" s="3"/>
      <x:c r="J267" s="3"/>
      <x:c r="K267" s="3"/>
      <x:c r="L267" s="3"/>
      <x:c r="M267" s="3"/>
      <x:c r="N267" s="3"/>
      <x:c r="O267" s="3"/>
    </x:row>
    <x:row r="268" ht="21" customHeight="1">
      <x:c r="A268" s="3" t="str">
        <x:v>2299999</x:v>
      </x:c>
      <x:c r="B268" s="3" t="str">
        <x:v>CS101</x:v>
      </x:c>
      <x:c r="C268" s="3" t="str">
        <x:v>2024-1</x:v>
      </x:c>
      <x:c r="D268" s="3" t="n">
        <x:v>8</x:v>
      </x:c>
      <x:c r="E268" s="3" t="n">
        <x:v>8</x:v>
      </x:c>
      <x:c r="F268" s="3" t="n">
        <x:v>0</x:v>
      </x:c>
      <x:c r="G268" s="3" t="str">
        <x:v>unknown student</x:v>
      </x:c>
      <x:c r="H268" s="3" t="n">
        <x:v>265</x:v>
      </x:c>
      <x:c r="I268" s="3"/>
      <x:c r="J268" s="3"/>
      <x:c r="K268" s="3"/>
      <x:c r="L268" s="3"/>
      <x:c r="M268" s="3"/>
      <x:c r="N268" s="3"/>
      <x:c r="O268" s="3"/>
    </x:row>
    <x:row r="269" ht="21" customHeight="1">
      <x:c r="A269" s="3" t="str">
        <x:v>2202004</x:v>
      </x:c>
      <x:c r="B269" s="3" t="str">
        <x:v>CS999</x:v>
      </x:c>
      <x:c r="C269" s="3" t="str">
        <x:v>2024-1</x:v>
      </x:c>
      <x:c r="D269" s="3" t="n">
        <x:v>6</x:v>
      </x:c>
      <x:c r="E269" s="3" t="n">
        <x:v>7</x:v>
      </x:c>
      <x:c r="F269" s="3" t="n">
        <x:v>0</x:v>
      </x:c>
      <x:c r="G269" s="3" t="str">
        <x:v>unknown course</x:v>
      </x:c>
      <x:c r="H269" s="3" t="n">
        <x:v>266</x:v>
      </x:c>
      <x:c r="I269" s="3"/>
      <x:c r="J269" s="3"/>
      <x:c r="K269" s="3"/>
      <x:c r="L269" s="3"/>
      <x:c r="M269" s="3"/>
      <x:c r="N269" s="3"/>
      <x:c r="O269" s="3"/>
    </x:row>
    <x:row r="270" ht="21" customHeight="1">
      <x:c r="A270" s="3" t="str">
        <x:v>2202005</x:v>
      </x:c>
      <x:c r="B270" s="3" t="str">
        <x:v>BA202</x:v>
      </x:c>
      <x:c r="C270" s="3" t="str">
        <x:v>2025-2</x:v>
      </x:c>
      <x:c r="D270" s="3" t="n">
        <x:v>-1</x:v>
      </x:c>
      <x:c r="E270" s="3" t="n">
        <x:v>6</x:v>
      </x:c>
      <x:c r="F270" s="3" t="n">
        <x:v>0</x:v>
      </x:c>
      <x:c r="G270" s="3" t="str">
        <x:v>score outside 0..10</x:v>
      </x:c>
      <x:c r="H270" s="3" t="n">
        <x:v>267</x:v>
      </x:c>
      <x:c r="I270" s="3"/>
      <x:c r="J270" s="3"/>
      <x:c r="K270" s="3"/>
      <x:c r="L270" s="3"/>
      <x:c r="M270" s="3"/>
      <x:c r="N270" s="3"/>
      <x:c r="O270" s="3"/>
    </x:row>
    <x:row r="271" ht="21" customHeight="1">
      <x:c r="A271" s="3" t="str">
        <x:v>2201001</x:v>
      </x:c>
      <x:c r="B271" s="3" t="str">
        <x:v>GE101</x:v>
      </x:c>
      <x:c r="C271" s="3" t="str">
        <x:v>2024-1</x:v>
      </x:c>
      <x:c r="D271" s="3" t="n">
        <x:v>8.5</x:v>
      </x:c>
      <x:c r="E271" s="3" t="n">
        <x:v>8.6</x:v>
      </x:c>
      <x:c r="F271" s="3" t="n">
        <x:v>0</x:v>
      </x:c>
      <x:c r="G271" s="3" t="str">
        <x:v>duplicate attempt</x:v>
      </x:c>
      <x:c r="H271" s="3" t="n">
        <x:v>268</x:v>
      </x:c>
      <x:c r="I271" s="3"/>
      <x:c r="J271" s="3"/>
      <x:c r="K271" s="3"/>
      <x:c r="L271" s="3"/>
      <x:c r="M271" s="3"/>
      <x:c r="N271" s="3"/>
      <x:c r="O271" s="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19" hidden="0" customWidth="1"/>
    <x:col min="5" max="5" width="19" hidden="0" customWidth="1"/>
  </x:cols>
  <x:sheetData>
    <x:row r="1">
      <x:c r="A1" s="1" t="str">
        <x:v>Attendance</x:v>
      </x:c>
    </x:row>
    <x:row r="2">
      <x:c r="A2" t="str">
        <x:v>2c4110a:mcp-academic/data/sample/attendance.csv</x:v>
      </x:c>
    </x:row>
    <x:row r="3">
      <x:c r="A3" t="str">
        <x:v>CSV values start on row 5. Blue inputs, black calculations. Sources and hashes: reference-manifest.json.</x:v>
      </x:c>
    </x:row>
    <x:row r="4" ht="21" customHeight="1">
      <x:c r="A4" s="7" t="str">
        <x:v>student_id</x:v>
      </x:c>
      <x:c r="B4" s="7" t="str">
        <x:v>section_id</x:v>
      </x:c>
      <x:c r="C4" s="7" t="str">
        <x:v>week</x:v>
      </x:c>
      <x:c r="D4" s="7" t="str">
        <x:v>status</x:v>
      </x:c>
      <x:c r="E4" s="7" t="str">
        <x:v>semester</x:v>
      </x:c>
    </x:row>
    <x:row r="5" ht="21" customHeight="1">
      <x:c r="A5" s="3" t="str">
        <x:v>2202001</x:v>
      </x:c>
      <x:c r="B5" s="3" t="str">
        <x:v>SEC001</x:v>
      </x:c>
      <x:c r="C5" s="3" t="n">
        <x:v>1</x:v>
      </x:c>
      <x:c r="D5" s="3" t="str">
        <x:v>present</x:v>
      </x:c>
      <x:c r="E5" s="5" t="str">
        <x:f>VLOOKUP(B5,Sections!$A$5:$I$45,3,FALSE)</x:f>
        <x:v>2024-1</x:v>
      </x:c>
    </x:row>
    <x:row r="6" ht="21" customHeight="1">
      <x:c r="A6" s="3" t="str">
        <x:v>2202001</x:v>
      </x:c>
      <x:c r="B6" s="3" t="str">
        <x:v>SEC001</x:v>
      </x:c>
      <x:c r="C6" s="3" t="n">
        <x:v>2</x:v>
      </x:c>
      <x:c r="D6" s="3" t="str">
        <x:v>excused</x:v>
      </x:c>
      <x:c r="E6" s="5" t="str">
        <x:f>VLOOKUP(B6,Sections!$A$5:$I$45,3,FALSE)</x:f>
        <x:v>2024-1</x:v>
      </x:c>
    </x:row>
    <x:row r="7" ht="21" customHeight="1">
      <x:c r="A7" s="3" t="str">
        <x:v>2202001</x:v>
      </x:c>
      <x:c r="B7" s="3" t="str">
        <x:v>SEC001</x:v>
      </x:c>
      <x:c r="C7" s="3" t="n">
        <x:v>3</x:v>
      </x:c>
      <x:c r="D7" s="3" t="str">
        <x:v>present</x:v>
      </x:c>
      <x:c r="E7" s="5" t="str">
        <x:f>VLOOKUP(B7,Sections!$A$5:$I$45,3,FALSE)</x:f>
        <x:v>2024-1</x:v>
      </x:c>
    </x:row>
    <x:row r="8" ht="21" customHeight="1">
      <x:c r="A8" s="3" t="str">
        <x:v>2202001</x:v>
      </x:c>
      <x:c r="B8" s="3" t="str">
        <x:v>SEC001</x:v>
      </x:c>
      <x:c r="C8" s="3" t="n">
        <x:v>4</x:v>
      </x:c>
      <x:c r="D8" s="3" t="str">
        <x:v>present</x:v>
      </x:c>
      <x:c r="E8" s="5" t="str">
        <x:f>VLOOKUP(B8,Sections!$A$5:$I$45,3,FALSE)</x:f>
        <x:v>2024-1</x:v>
      </x:c>
    </x:row>
    <x:row r="9" ht="21" customHeight="1">
      <x:c r="A9" s="3" t="str">
        <x:v>2202001</x:v>
      </x:c>
      <x:c r="B9" s="3" t="str">
        <x:v>SEC001</x:v>
      </x:c>
      <x:c r="C9" s="3" t="n">
        <x:v>5</x:v>
      </x:c>
      <x:c r="D9" s="3" t="str">
        <x:v>present</x:v>
      </x:c>
      <x:c r="E9" s="5" t="str">
        <x:f>VLOOKUP(B9,Sections!$A$5:$I$45,3,FALSE)</x:f>
        <x:v>2024-1</x:v>
      </x:c>
    </x:row>
    <x:row r="10" ht="21" customHeight="1">
      <x:c r="A10" s="3" t="str">
        <x:v>2202001</x:v>
      </x:c>
      <x:c r="B10" s="3" t="str">
        <x:v>SEC001</x:v>
      </x:c>
      <x:c r="C10" s="3" t="n">
        <x:v>6</x:v>
      </x:c>
      <x:c r="D10" s="3" t="str">
        <x:v>present</x:v>
      </x:c>
      <x:c r="E10" s="5" t="str">
        <x:f>VLOOKUP(B10,Sections!$A$5:$I$45,3,FALSE)</x:f>
        <x:v>2024-1</x:v>
      </x:c>
    </x:row>
    <x:row r="11" ht="21" customHeight="1">
      <x:c r="A11" s="3" t="str">
        <x:v>2202001</x:v>
      </x:c>
      <x:c r="B11" s="3" t="str">
        <x:v>SEC001</x:v>
      </x:c>
      <x:c r="C11" s="3" t="n">
        <x:v>7</x:v>
      </x:c>
      <x:c r="D11" s="3" t="str">
        <x:v>excused</x:v>
      </x:c>
      <x:c r="E11" s="5" t="str">
        <x:f>VLOOKUP(B11,Sections!$A$5:$I$45,3,FALSE)</x:f>
        <x:v>2024-1</x:v>
      </x:c>
    </x:row>
    <x:row r="12" ht="21" customHeight="1">
      <x:c r="A12" s="3" t="str">
        <x:v>2202001</x:v>
      </x:c>
      <x:c r="B12" s="3" t="str">
        <x:v>SEC001</x:v>
      </x:c>
      <x:c r="C12" s="3" t="n">
        <x:v>8</x:v>
      </x:c>
      <x:c r="D12" s="3" t="str">
        <x:v>present</x:v>
      </x:c>
      <x:c r="E12" s="5" t="str">
        <x:f>VLOOKUP(B12,Sections!$A$5:$I$45,3,FALSE)</x:f>
        <x:v>2024-1</x:v>
      </x:c>
    </x:row>
    <x:row r="13" ht="21" customHeight="1">
      <x:c r="A13" s="3" t="str">
        <x:v>2202001</x:v>
      </x:c>
      <x:c r="B13" s="3" t="str">
        <x:v>SEC001</x:v>
      </x:c>
      <x:c r="C13" s="3" t="n">
        <x:v>9</x:v>
      </x:c>
      <x:c r="D13" s="3" t="str">
        <x:v>present</x:v>
      </x:c>
      <x:c r="E13" s="5" t="str">
        <x:f>VLOOKUP(B13,Sections!$A$5:$I$45,3,FALSE)</x:f>
        <x:v>2024-1</x:v>
      </x:c>
    </x:row>
    <x:row r="14" ht="21" customHeight="1">
      <x:c r="A14" s="3" t="str">
        <x:v>2202001</x:v>
      </x:c>
      <x:c r="B14" s="3" t="str">
        <x:v>SEC001</x:v>
      </x:c>
      <x:c r="C14" s="3" t="n">
        <x:v>10</x:v>
      </x:c>
      <x:c r="D14" s="3" t="str">
        <x:v>present</x:v>
      </x:c>
      <x:c r="E14" s="5" t="str">
        <x:f>VLOOKUP(B14,Sections!$A$5:$I$45,3,FALSE)</x:f>
        <x:v>2024-1</x:v>
      </x:c>
    </x:row>
    <x:row r="15" ht="21" customHeight="1">
      <x:c r="A15" s="3" t="str">
        <x:v>2202001</x:v>
      </x:c>
      <x:c r="B15" s="3" t="str">
        <x:v>SEC001</x:v>
      </x:c>
      <x:c r="C15" s="3" t="n">
        <x:v>11</x:v>
      </x:c>
      <x:c r="D15" s="3" t="str">
        <x:v>present</x:v>
      </x:c>
      <x:c r="E15" s="5" t="str">
        <x:f>VLOOKUP(B15,Sections!$A$5:$I$45,3,FALSE)</x:f>
        <x:v>2024-1</x:v>
      </x:c>
    </x:row>
    <x:row r="16" ht="21" customHeight="1">
      <x:c r="A16" s="3" t="str">
        <x:v>2202001</x:v>
      </x:c>
      <x:c r="B16" s="3" t="str">
        <x:v>SEC001</x:v>
      </x:c>
      <x:c r="C16" s="3" t="n">
        <x:v>12</x:v>
      </x:c>
      <x:c r="D16" s="3" t="str">
        <x:v>present</x:v>
      </x:c>
      <x:c r="E16" s="5" t="str">
        <x:f>VLOOKUP(B16,Sections!$A$5:$I$45,3,FALSE)</x:f>
        <x:v>2024-1</x:v>
      </x:c>
    </x:row>
    <x:row r="17" ht="21" customHeight="1">
      <x:c r="A17" s="3" t="str">
        <x:v>2202001</x:v>
      </x:c>
      <x:c r="B17" s="3" t="str">
        <x:v>SEC001</x:v>
      </x:c>
      <x:c r="C17" s="3" t="n">
        <x:v>13</x:v>
      </x:c>
      <x:c r="D17" s="3" t="str">
        <x:v>present</x:v>
      </x:c>
      <x:c r="E17" s="5" t="str">
        <x:f>VLOOKUP(B17,Sections!$A$5:$I$45,3,FALSE)</x:f>
        <x:v>2024-1</x:v>
      </x:c>
    </x:row>
    <x:row r="18" ht="21" customHeight="1">
      <x:c r="A18" s="3" t="str">
        <x:v>2202001</x:v>
      </x:c>
      <x:c r="B18" s="3" t="str">
        <x:v>SEC001</x:v>
      </x:c>
      <x:c r="C18" s="3" t="n">
        <x:v>14</x:v>
      </x:c>
      <x:c r="D18" s="3" t="str">
        <x:v>present</x:v>
      </x:c>
      <x:c r="E18" s="5" t="str">
        <x:f>VLOOKUP(B18,Sections!$A$5:$I$45,3,FALSE)</x:f>
        <x:v>2024-1</x:v>
      </x:c>
    </x:row>
    <x:row r="19" ht="21" customHeight="1">
      <x:c r="A19" s="3" t="str">
        <x:v>2202001</x:v>
      </x:c>
      <x:c r="B19" s="3" t="str">
        <x:v>SEC001</x:v>
      </x:c>
      <x:c r="C19" s="3" t="n">
        <x:v>15</x:v>
      </x:c>
      <x:c r="D19" s="3" t="str">
        <x:v>present</x:v>
      </x:c>
      <x:c r="E19" s="5" t="str">
        <x:f>VLOOKUP(B19,Sections!$A$5:$I$45,3,FALSE)</x:f>
        <x:v>2024-1</x:v>
      </x:c>
    </x:row>
    <x:row r="20" ht="21" customHeight="1">
      <x:c r="A20" s="3" t="str">
        <x:v>2202002</x:v>
      </x:c>
      <x:c r="B20" s="3" t="str">
        <x:v>SEC001</x:v>
      </x:c>
      <x:c r="C20" s="3" t="n">
        <x:v>1</x:v>
      </x:c>
      <x:c r="D20" s="3" t="str">
        <x:v>present</x:v>
      </x:c>
      <x:c r="E20" s="5" t="str">
        <x:f>VLOOKUP(B20,Sections!$A$5:$I$45,3,FALSE)</x:f>
        <x:v>2024-1</x:v>
      </x:c>
    </x:row>
    <x:row r="21" ht="21" customHeight="1">
      <x:c r="A21" s="3" t="str">
        <x:v>2202002</x:v>
      </x:c>
      <x:c r="B21" s="3" t="str">
        <x:v>SEC001</x:v>
      </x:c>
      <x:c r="C21" s="3" t="n">
        <x:v>2</x:v>
      </x:c>
      <x:c r="D21" s="3" t="str">
        <x:v>present</x:v>
      </x:c>
      <x:c r="E21" s="5" t="str">
        <x:f>VLOOKUP(B21,Sections!$A$5:$I$45,3,FALSE)</x:f>
        <x:v>2024-1</x:v>
      </x:c>
    </x:row>
    <x:row r="22" ht="21" customHeight="1">
      <x:c r="A22" s="3" t="str">
        <x:v>2202002</x:v>
      </x:c>
      <x:c r="B22" s="3" t="str">
        <x:v>SEC001</x:v>
      </x:c>
      <x:c r="C22" s="3" t="n">
        <x:v>3</x:v>
      </x:c>
      <x:c r="D22" s="3" t="str">
        <x:v>present</x:v>
      </x:c>
      <x:c r="E22" s="5" t="str">
        <x:f>VLOOKUP(B22,Sections!$A$5:$I$45,3,FALSE)</x:f>
        <x:v>2024-1</x:v>
      </x:c>
    </x:row>
    <x:row r="23" ht="21" customHeight="1">
      <x:c r="A23" s="3" t="str">
        <x:v>2202002</x:v>
      </x:c>
      <x:c r="B23" s="3" t="str">
        <x:v>SEC001</x:v>
      </x:c>
      <x:c r="C23" s="3" t="n">
        <x:v>4</x:v>
      </x:c>
      <x:c r="D23" s="3" t="str">
        <x:v>present</x:v>
      </x:c>
      <x:c r="E23" s="5" t="str">
        <x:f>VLOOKUP(B23,Sections!$A$5:$I$45,3,FALSE)</x:f>
        <x:v>2024-1</x:v>
      </x:c>
    </x:row>
    <x:row r="24" ht="21" customHeight="1">
      <x:c r="A24" s="3" t="str">
        <x:v>2202002</x:v>
      </x:c>
      <x:c r="B24" s="3" t="str">
        <x:v>SEC001</x:v>
      </x:c>
      <x:c r="C24" s="3" t="n">
        <x:v>5</x:v>
      </x:c>
      <x:c r="D24" s="3" t="str">
        <x:v>present</x:v>
      </x:c>
      <x:c r="E24" s="5" t="str">
        <x:f>VLOOKUP(B24,Sections!$A$5:$I$45,3,FALSE)</x:f>
        <x:v>2024-1</x:v>
      </x:c>
    </x:row>
    <x:row r="25" ht="21" customHeight="1">
      <x:c r="A25" s="3" t="str">
        <x:v>2202002</x:v>
      </x:c>
      <x:c r="B25" s="3" t="str">
        <x:v>SEC001</x:v>
      </x:c>
      <x:c r="C25" s="3" t="n">
        <x:v>6</x:v>
      </x:c>
      <x:c r="D25" s="3" t="str">
        <x:v>present</x:v>
      </x:c>
      <x:c r="E25" s="5" t="str">
        <x:f>VLOOKUP(B25,Sections!$A$5:$I$45,3,FALSE)</x:f>
        <x:v>2024-1</x:v>
      </x:c>
    </x:row>
    <x:row r="26" ht="21" customHeight="1">
      <x:c r="A26" s="3" t="str">
        <x:v>2202002</x:v>
      </x:c>
      <x:c r="B26" s="3" t="str">
        <x:v>SEC001</x:v>
      </x:c>
      <x:c r="C26" s="3" t="n">
        <x:v>7</x:v>
      </x:c>
      <x:c r="D26" s="3" t="str">
        <x:v>late</x:v>
      </x:c>
      <x:c r="E26" s="5" t="str">
        <x:f>VLOOKUP(B26,Sections!$A$5:$I$45,3,FALSE)</x:f>
        <x:v>2024-1</x:v>
      </x:c>
    </x:row>
    <x:row r="27" ht="21" customHeight="1">
      <x:c r="A27" s="3" t="str">
        <x:v>2202002</x:v>
      </x:c>
      <x:c r="B27" s="3" t="str">
        <x:v>SEC001</x:v>
      </x:c>
      <x:c r="C27" s="3" t="n">
        <x:v>8</x:v>
      </x:c>
      <x:c r="D27" s="3" t="str">
        <x:v>present</x:v>
      </x:c>
      <x:c r="E27" s="5" t="str">
        <x:f>VLOOKUP(B27,Sections!$A$5:$I$45,3,FALSE)</x:f>
        <x:v>2024-1</x:v>
      </x:c>
    </x:row>
    <x:row r="28" ht="21" customHeight="1">
      <x:c r="A28" s="3" t="str">
        <x:v>2202002</x:v>
      </x:c>
      <x:c r="B28" s="3" t="str">
        <x:v>SEC001</x:v>
      </x:c>
      <x:c r="C28" s="3" t="n">
        <x:v>9</x:v>
      </x:c>
      <x:c r="D28" s="3" t="str">
        <x:v>present</x:v>
      </x:c>
      <x:c r="E28" s="5" t="str">
        <x:f>VLOOKUP(B28,Sections!$A$5:$I$45,3,FALSE)</x:f>
        <x:v>2024-1</x:v>
      </x:c>
    </x:row>
    <x:row r="29" ht="21" customHeight="1">
      <x:c r="A29" s="3" t="str">
        <x:v>2202002</x:v>
      </x:c>
      <x:c r="B29" s="3" t="str">
        <x:v>SEC001</x:v>
      </x:c>
      <x:c r="C29" s="3" t="n">
        <x:v>10</x:v>
      </x:c>
      <x:c r="D29" s="3" t="str">
        <x:v>present</x:v>
      </x:c>
      <x:c r="E29" s="5" t="str">
        <x:f>VLOOKUP(B29,Sections!$A$5:$I$45,3,FALSE)</x:f>
        <x:v>2024-1</x:v>
      </x:c>
    </x:row>
    <x:row r="30" ht="21" customHeight="1">
      <x:c r="A30" s="3" t="str">
        <x:v>2202002</x:v>
      </x:c>
      <x:c r="B30" s="3" t="str">
        <x:v>SEC001</x:v>
      </x:c>
      <x:c r="C30" s="3" t="n">
        <x:v>11</x:v>
      </x:c>
      <x:c r="D30" s="3" t="str">
        <x:v>present</x:v>
      </x:c>
      <x:c r="E30" s="5" t="str">
        <x:f>VLOOKUP(B30,Sections!$A$5:$I$45,3,FALSE)</x:f>
        <x:v>2024-1</x:v>
      </x:c>
    </x:row>
    <x:row r="31" ht="21" customHeight="1">
      <x:c r="A31" s="3" t="str">
        <x:v>2202002</x:v>
      </x:c>
      <x:c r="B31" s="3" t="str">
        <x:v>SEC001</x:v>
      </x:c>
      <x:c r="C31" s="3" t="n">
        <x:v>12</x:v>
      </x:c>
      <x:c r="D31" s="3" t="str">
        <x:v>present</x:v>
      </x:c>
      <x:c r="E31" s="5" t="str">
        <x:f>VLOOKUP(B31,Sections!$A$5:$I$45,3,FALSE)</x:f>
        <x:v>2024-1</x:v>
      </x:c>
    </x:row>
    <x:row r="32" ht="21" customHeight="1">
      <x:c r="A32" s="3" t="str">
        <x:v>2202002</x:v>
      </x:c>
      <x:c r="B32" s="3" t="str">
        <x:v>SEC001</x:v>
      </x:c>
      <x:c r="C32" s="3" t="n">
        <x:v>13</x:v>
      </x:c>
      <x:c r="D32" s="3" t="str">
        <x:v>present</x:v>
      </x:c>
      <x:c r="E32" s="5" t="str">
        <x:f>VLOOKUP(B32,Sections!$A$5:$I$45,3,FALSE)</x:f>
        <x:v>2024-1</x:v>
      </x:c>
    </x:row>
    <x:row r="33" ht="21" customHeight="1">
      <x:c r="A33" s="3" t="str">
        <x:v>2202002</x:v>
      </x:c>
      <x:c r="B33" s="3" t="str">
        <x:v>SEC001</x:v>
      </x:c>
      <x:c r="C33" s="3" t="n">
        <x:v>14</x:v>
      </x:c>
      <x:c r="D33" s="3" t="str">
        <x:v>present</x:v>
      </x:c>
      <x:c r="E33" s="5" t="str">
        <x:f>VLOOKUP(B33,Sections!$A$5:$I$45,3,FALSE)</x:f>
        <x:v>2024-1</x:v>
      </x:c>
    </x:row>
    <x:row r="34" ht="21" customHeight="1">
      <x:c r="A34" s="3" t="str">
        <x:v>2202002</x:v>
      </x:c>
      <x:c r="B34" s="3" t="str">
        <x:v>SEC001</x:v>
      </x:c>
      <x:c r="C34" s="3" t="n">
        <x:v>15</x:v>
      </x:c>
      <x:c r="D34" s="3" t="str">
        <x:v>present</x:v>
      </x:c>
      <x:c r="E34" s="5" t="str">
        <x:f>VLOOKUP(B34,Sections!$A$5:$I$45,3,FALSE)</x:f>
        <x:v>2024-1</x:v>
      </x:c>
    </x:row>
    <x:row r="35" ht="21" customHeight="1">
      <x:c r="A35" s="3" t="str">
        <x:v>2202003</x:v>
      </x:c>
      <x:c r="B35" s="3" t="str">
        <x:v>SEC001</x:v>
      </x:c>
      <x:c r="C35" s="3" t="n">
        <x:v>1</x:v>
      </x:c>
      <x:c r="D35" s="3" t="str">
        <x:v>present</x:v>
      </x:c>
      <x:c r="E35" s="5" t="str">
        <x:f>VLOOKUP(B35,Sections!$A$5:$I$45,3,FALSE)</x:f>
        <x:v>2024-1</x:v>
      </x:c>
    </x:row>
    <x:row r="36" ht="21" customHeight="1">
      <x:c r="A36" s="3" t="str">
        <x:v>2202003</x:v>
      </x:c>
      <x:c r="B36" s="3" t="str">
        <x:v>SEC001</x:v>
      </x:c>
      <x:c r="C36" s="3" t="n">
        <x:v>2</x:v>
      </x:c>
      <x:c r="D36" s="3" t="str">
        <x:v>present</x:v>
      </x:c>
      <x:c r="E36" s="5" t="str">
        <x:f>VLOOKUP(B36,Sections!$A$5:$I$45,3,FALSE)</x:f>
        <x:v>2024-1</x:v>
      </x:c>
    </x:row>
    <x:row r="37" ht="21" customHeight="1">
      <x:c r="A37" s="3" t="str">
        <x:v>2202003</x:v>
      </x:c>
      <x:c r="B37" s="3" t="str">
        <x:v>SEC001</x:v>
      </x:c>
      <x:c r="C37" s="3" t="n">
        <x:v>3</x:v>
      </x:c>
      <x:c r="D37" s="3" t="str">
        <x:v>present</x:v>
      </x:c>
      <x:c r="E37" s="5" t="str">
        <x:f>VLOOKUP(B37,Sections!$A$5:$I$45,3,FALSE)</x:f>
        <x:v>2024-1</x:v>
      </x:c>
    </x:row>
    <x:row r="38" ht="21" customHeight="1">
      <x:c r="A38" s="3" t="str">
        <x:v>2202003</x:v>
      </x:c>
      <x:c r="B38" s="3" t="str">
        <x:v>SEC001</x:v>
      </x:c>
      <x:c r="C38" s="3" t="n">
        <x:v>4</x:v>
      </x:c>
      <x:c r="D38" s="3" t="str">
        <x:v>present</x:v>
      </x:c>
      <x:c r="E38" s="5" t="str">
        <x:f>VLOOKUP(B38,Sections!$A$5:$I$45,3,FALSE)</x:f>
        <x:v>2024-1</x:v>
      </x:c>
    </x:row>
    <x:row r="39" ht="21" customHeight="1">
      <x:c r="A39" s="3" t="str">
        <x:v>2202003</x:v>
      </x:c>
      <x:c r="B39" s="3" t="str">
        <x:v>SEC001</x:v>
      </x:c>
      <x:c r="C39" s="3" t="n">
        <x:v>5</x:v>
      </x:c>
      <x:c r="D39" s="3" t="str">
        <x:v>present</x:v>
      </x:c>
      <x:c r="E39" s="5" t="str">
        <x:f>VLOOKUP(B39,Sections!$A$5:$I$45,3,FALSE)</x:f>
        <x:v>2024-1</x:v>
      </x:c>
    </x:row>
    <x:row r="40" ht="21" customHeight="1">
      <x:c r="A40" s="3" t="str">
        <x:v>2202003</x:v>
      </x:c>
      <x:c r="B40" s="3" t="str">
        <x:v>SEC001</x:v>
      </x:c>
      <x:c r="C40" s="3" t="n">
        <x:v>6</x:v>
      </x:c>
      <x:c r="D40" s="3" t="str">
        <x:v>present</x:v>
      </x:c>
      <x:c r="E40" s="5" t="str">
        <x:f>VLOOKUP(B40,Sections!$A$5:$I$45,3,FALSE)</x:f>
        <x:v>2024-1</x:v>
      </x:c>
    </x:row>
    <x:row r="41" ht="21" customHeight="1">
      <x:c r="A41" s="3" t="str">
        <x:v>2202003</x:v>
      </x:c>
      <x:c r="B41" s="3" t="str">
        <x:v>SEC001</x:v>
      </x:c>
      <x:c r="C41" s="3" t="n">
        <x:v>7</x:v>
      </x:c>
      <x:c r="D41" s="3" t="str">
        <x:v>present</x:v>
      </x:c>
      <x:c r="E41" s="5" t="str">
        <x:f>VLOOKUP(B41,Sections!$A$5:$I$45,3,FALSE)</x:f>
        <x:v>2024-1</x:v>
      </x:c>
    </x:row>
    <x:row r="42" ht="21" customHeight="1">
      <x:c r="A42" s="3" t="str">
        <x:v>2202003</x:v>
      </x:c>
      <x:c r="B42" s="3" t="str">
        <x:v>SEC001</x:v>
      </x:c>
      <x:c r="C42" s="3" t="n">
        <x:v>8</x:v>
      </x:c>
      <x:c r="D42" s="3" t="str">
        <x:v>present</x:v>
      </x:c>
      <x:c r="E42" s="5" t="str">
        <x:f>VLOOKUP(B42,Sections!$A$5:$I$45,3,FALSE)</x:f>
        <x:v>2024-1</x:v>
      </x:c>
    </x:row>
    <x:row r="43" ht="21" customHeight="1">
      <x:c r="A43" s="3" t="str">
        <x:v>2202003</x:v>
      </x:c>
      <x:c r="B43" s="3" t="str">
        <x:v>SEC001</x:v>
      </x:c>
      <x:c r="C43" s="3" t="n">
        <x:v>9</x:v>
      </x:c>
      <x:c r="D43" s="3" t="str">
        <x:v>present</x:v>
      </x:c>
      <x:c r="E43" s="5" t="str">
        <x:f>VLOOKUP(B43,Sections!$A$5:$I$45,3,FALSE)</x:f>
        <x:v>2024-1</x:v>
      </x:c>
    </x:row>
    <x:row r="44" ht="21" customHeight="1">
      <x:c r="A44" s="3" t="str">
        <x:v>2202003</x:v>
      </x:c>
      <x:c r="B44" s="3" t="str">
        <x:v>SEC001</x:v>
      </x:c>
      <x:c r="C44" s="3" t="n">
        <x:v>10</x:v>
      </x:c>
      <x:c r="D44" s="3" t="str">
        <x:v>present</x:v>
      </x:c>
      <x:c r="E44" s="5" t="str">
        <x:f>VLOOKUP(B44,Sections!$A$5:$I$45,3,FALSE)</x:f>
        <x:v>2024-1</x:v>
      </x:c>
    </x:row>
    <x:row r="45" ht="21" customHeight="1">
      <x:c r="A45" s="3" t="str">
        <x:v>2202003</x:v>
      </x:c>
      <x:c r="B45" s="3" t="str">
        <x:v>SEC001</x:v>
      </x:c>
      <x:c r="C45" s="3" t="n">
        <x:v>11</x:v>
      </x:c>
      <x:c r="D45" s="3" t="str">
        <x:v>present</x:v>
      </x:c>
      <x:c r="E45" s="5" t="str">
        <x:f>VLOOKUP(B45,Sections!$A$5:$I$45,3,FALSE)</x:f>
        <x:v>2024-1</x:v>
      </x:c>
    </x:row>
    <x:row r="46" ht="21" customHeight="1">
      <x:c r="A46" s="3" t="str">
        <x:v>2202003</x:v>
      </x:c>
      <x:c r="B46" s="3" t="str">
        <x:v>SEC001</x:v>
      </x:c>
      <x:c r="C46" s="3" t="n">
        <x:v>12</x:v>
      </x:c>
      <x:c r="D46" s="3" t="str">
        <x:v>present</x:v>
      </x:c>
      <x:c r="E46" s="5" t="str">
        <x:f>VLOOKUP(B46,Sections!$A$5:$I$45,3,FALSE)</x:f>
        <x:v>2024-1</x:v>
      </x:c>
    </x:row>
    <x:row r="47" ht="21" customHeight="1">
      <x:c r="A47" s="3" t="str">
        <x:v>2202003</x:v>
      </x:c>
      <x:c r="B47" s="3" t="str">
        <x:v>SEC001</x:v>
      </x:c>
      <x:c r="C47" s="3" t="n">
        <x:v>13</x:v>
      </x:c>
      <x:c r="D47" s="3" t="str">
        <x:v>present</x:v>
      </x:c>
      <x:c r="E47" s="5" t="str">
        <x:f>VLOOKUP(B47,Sections!$A$5:$I$45,3,FALSE)</x:f>
        <x:v>2024-1</x:v>
      </x:c>
    </x:row>
    <x:row r="48" ht="21" customHeight="1">
      <x:c r="A48" s="3" t="str">
        <x:v>2202003</x:v>
      </x:c>
      <x:c r="B48" s="3" t="str">
        <x:v>SEC001</x:v>
      </x:c>
      <x:c r="C48" s="3" t="n">
        <x:v>14</x:v>
      </x:c>
      <x:c r="D48" s="3" t="str">
        <x:v>present</x:v>
      </x:c>
      <x:c r="E48" s="5" t="str">
        <x:f>VLOOKUP(B48,Sections!$A$5:$I$45,3,FALSE)</x:f>
        <x:v>2024-1</x:v>
      </x:c>
    </x:row>
    <x:row r="49" ht="21" customHeight="1">
      <x:c r="A49" s="3" t="str">
        <x:v>2202003</x:v>
      </x:c>
      <x:c r="B49" s="3" t="str">
        <x:v>SEC001</x:v>
      </x:c>
      <x:c r="C49" s="3" t="n">
        <x:v>15</x:v>
      </x:c>
      <x:c r="D49" s="3" t="str">
        <x:v>present</x:v>
      </x:c>
      <x:c r="E49" s="5" t="str">
        <x:f>VLOOKUP(B49,Sections!$A$5:$I$45,3,FALSE)</x:f>
        <x:v>2024-1</x:v>
      </x:c>
    </x:row>
    <x:row r="50" ht="21" customHeight="1">
      <x:c r="A50" s="3" t="str">
        <x:v>2202004</x:v>
      </x:c>
      <x:c r="B50" s="3" t="str">
        <x:v>SEC001</x:v>
      </x:c>
      <x:c r="C50" s="3" t="n">
        <x:v>1</x:v>
      </x:c>
      <x:c r="D50" s="3" t="str">
        <x:v>present</x:v>
      </x:c>
      <x:c r="E50" s="5" t="str">
        <x:f>VLOOKUP(B50,Sections!$A$5:$I$45,3,FALSE)</x:f>
        <x:v>2024-1</x:v>
      </x:c>
    </x:row>
    <x:row r="51" ht="21" customHeight="1">
      <x:c r="A51" s="3" t="str">
        <x:v>2202004</x:v>
      </x:c>
      <x:c r="B51" s="3" t="str">
        <x:v>SEC001</x:v>
      </x:c>
      <x:c r="C51" s="3" t="n">
        <x:v>2</x:v>
      </x:c>
      <x:c r="D51" s="3" t="str">
        <x:v>present</x:v>
      </x:c>
      <x:c r="E51" s="5" t="str">
        <x:f>VLOOKUP(B51,Sections!$A$5:$I$45,3,FALSE)</x:f>
        <x:v>2024-1</x:v>
      </x:c>
    </x:row>
    <x:row r="52" ht="21" customHeight="1">
      <x:c r="A52" s="3" t="str">
        <x:v>2202004</x:v>
      </x:c>
      <x:c r="B52" s="3" t="str">
        <x:v>SEC001</x:v>
      </x:c>
      <x:c r="C52" s="3" t="n">
        <x:v>3</x:v>
      </x:c>
      <x:c r="D52" s="3" t="str">
        <x:v>absent</x:v>
      </x:c>
      <x:c r="E52" s="5" t="str">
        <x:f>VLOOKUP(B52,Sections!$A$5:$I$45,3,FALSE)</x:f>
        <x:v>2024-1</x:v>
      </x:c>
    </x:row>
    <x:row r="53" ht="21" customHeight="1">
      <x:c r="A53" s="3" t="str">
        <x:v>2202004</x:v>
      </x:c>
      <x:c r="B53" s="3" t="str">
        <x:v>SEC001</x:v>
      </x:c>
      <x:c r="C53" s="3" t="n">
        <x:v>4</x:v>
      </x:c>
      <x:c r="D53" s="3" t="str">
        <x:v>present</x:v>
      </x:c>
      <x:c r="E53" s="5" t="str">
        <x:f>VLOOKUP(B53,Sections!$A$5:$I$45,3,FALSE)</x:f>
        <x:v>2024-1</x:v>
      </x:c>
    </x:row>
    <x:row r="54" ht="21" customHeight="1">
      <x:c r="A54" s="3" t="str">
        <x:v>2202004</x:v>
      </x:c>
      <x:c r="B54" s="3" t="str">
        <x:v>SEC001</x:v>
      </x:c>
      <x:c r="C54" s="3" t="n">
        <x:v>5</x:v>
      </x:c>
      <x:c r="D54" s="3" t="str">
        <x:v>absent</x:v>
      </x:c>
      <x:c r="E54" s="5" t="str">
        <x:f>VLOOKUP(B54,Sections!$A$5:$I$45,3,FALSE)</x:f>
        <x:v>2024-1</x:v>
      </x:c>
    </x:row>
    <x:row r="55" ht="21" customHeight="1">
      <x:c r="A55" s="3" t="str">
        <x:v>2202004</x:v>
      </x:c>
      <x:c r="B55" s="3" t="str">
        <x:v>SEC001</x:v>
      </x:c>
      <x:c r="C55" s="3" t="n">
        <x:v>6</x:v>
      </x:c>
      <x:c r="D55" s="3" t="str">
        <x:v>present</x:v>
      </x:c>
      <x:c r="E55" s="5" t="str">
        <x:f>VLOOKUP(B55,Sections!$A$5:$I$45,3,FALSE)</x:f>
        <x:v>2024-1</x:v>
      </x:c>
    </x:row>
    <x:row r="56" ht="21" customHeight="1">
      <x:c r="A56" s="3" t="str">
        <x:v>2202004</x:v>
      </x:c>
      <x:c r="B56" s="3" t="str">
        <x:v>SEC001</x:v>
      </x:c>
      <x:c r="C56" s="3" t="n">
        <x:v>7</x:v>
      </x:c>
      <x:c r="D56" s="3" t="str">
        <x:v>present</x:v>
      </x:c>
      <x:c r="E56" s="5" t="str">
        <x:f>VLOOKUP(B56,Sections!$A$5:$I$45,3,FALSE)</x:f>
        <x:v>2024-1</x:v>
      </x:c>
    </x:row>
    <x:row r="57" ht="21" customHeight="1">
      <x:c r="A57" s="3" t="str">
        <x:v>2202004</x:v>
      </x:c>
      <x:c r="B57" s="3" t="str">
        <x:v>SEC001</x:v>
      </x:c>
      <x:c r="C57" s="3" t="n">
        <x:v>8</x:v>
      </x:c>
      <x:c r="D57" s="3" t="str">
        <x:v>present</x:v>
      </x:c>
      <x:c r="E57" s="5" t="str">
        <x:f>VLOOKUP(B57,Sections!$A$5:$I$45,3,FALSE)</x:f>
        <x:v>2024-1</x:v>
      </x:c>
    </x:row>
    <x:row r="58" ht="21" customHeight="1">
      <x:c r="A58" s="3" t="str">
        <x:v>2202004</x:v>
      </x:c>
      <x:c r="B58" s="3" t="str">
        <x:v>SEC001</x:v>
      </x:c>
      <x:c r="C58" s="3" t="n">
        <x:v>9</x:v>
      </x:c>
      <x:c r="D58" s="3" t="str">
        <x:v>present</x:v>
      </x:c>
      <x:c r="E58" s="5" t="str">
        <x:f>VLOOKUP(B58,Sections!$A$5:$I$45,3,FALSE)</x:f>
        <x:v>2024-1</x:v>
      </x:c>
    </x:row>
    <x:row r="59" ht="21" customHeight="1">
      <x:c r="A59" s="3" t="str">
        <x:v>2202004</x:v>
      </x:c>
      <x:c r="B59" s="3" t="str">
        <x:v>SEC001</x:v>
      </x:c>
      <x:c r="C59" s="3" t="n">
        <x:v>10</x:v>
      </x:c>
      <x:c r="D59" s="3" t="str">
        <x:v>present</x:v>
      </x:c>
      <x:c r="E59" s="5" t="str">
        <x:f>VLOOKUP(B59,Sections!$A$5:$I$45,3,FALSE)</x:f>
        <x:v>2024-1</x:v>
      </x:c>
    </x:row>
    <x:row r="60" ht="21" customHeight="1">
      <x:c r="A60" s="3" t="str">
        <x:v>2202004</x:v>
      </x:c>
      <x:c r="B60" s="3" t="str">
        <x:v>SEC001</x:v>
      </x:c>
      <x:c r="C60" s="3" t="n">
        <x:v>11</x:v>
      </x:c>
      <x:c r="D60" s="3" t="str">
        <x:v>present</x:v>
      </x:c>
      <x:c r="E60" s="5" t="str">
        <x:f>VLOOKUP(B60,Sections!$A$5:$I$45,3,FALSE)</x:f>
        <x:v>2024-1</x:v>
      </x:c>
    </x:row>
    <x:row r="61" ht="21" customHeight="1">
      <x:c r="A61" s="3" t="str">
        <x:v>2202004</x:v>
      </x:c>
      <x:c r="B61" s="3" t="str">
        <x:v>SEC001</x:v>
      </x:c>
      <x:c r="C61" s="3" t="n">
        <x:v>12</x:v>
      </x:c>
      <x:c r="D61" s="3" t="str">
        <x:v>present</x:v>
      </x:c>
      <x:c r="E61" s="5" t="str">
        <x:f>VLOOKUP(B61,Sections!$A$5:$I$45,3,FALSE)</x:f>
        <x:v>2024-1</x:v>
      </x:c>
    </x:row>
    <x:row r="62" ht="21" customHeight="1">
      <x:c r="A62" s="3" t="str">
        <x:v>2202004</x:v>
      </x:c>
      <x:c r="B62" s="3" t="str">
        <x:v>SEC001</x:v>
      </x:c>
      <x:c r="C62" s="3" t="n">
        <x:v>13</x:v>
      </x:c>
      <x:c r="D62" s="3" t="str">
        <x:v>present</x:v>
      </x:c>
      <x:c r="E62" s="5" t="str">
        <x:f>VLOOKUP(B62,Sections!$A$5:$I$45,3,FALSE)</x:f>
        <x:v>2024-1</x:v>
      </x:c>
    </x:row>
    <x:row r="63" ht="21" customHeight="1">
      <x:c r="A63" s="3" t="str">
        <x:v>2202004</x:v>
      </x:c>
      <x:c r="B63" s="3" t="str">
        <x:v>SEC001</x:v>
      </x:c>
      <x:c r="C63" s="3" t="n">
        <x:v>14</x:v>
      </x:c>
      <x:c r="D63" s="3" t="str">
        <x:v>present</x:v>
      </x:c>
      <x:c r="E63" s="5" t="str">
        <x:f>VLOOKUP(B63,Sections!$A$5:$I$45,3,FALSE)</x:f>
        <x:v>2024-1</x:v>
      </x:c>
    </x:row>
    <x:row r="64" ht="21" customHeight="1">
      <x:c r="A64" s="3" t="str">
        <x:v>2202004</x:v>
      </x:c>
      <x:c r="B64" s="3" t="str">
        <x:v>SEC001</x:v>
      </x:c>
      <x:c r="C64" s="3" t="n">
        <x:v>15</x:v>
      </x:c>
      <x:c r="D64" s="3" t="str">
        <x:v>present</x:v>
      </x:c>
      <x:c r="E64" s="5" t="str">
        <x:f>VLOOKUP(B64,Sections!$A$5:$I$45,3,FALSE)</x:f>
        <x:v>2024-1</x:v>
      </x:c>
    </x:row>
    <x:row r="65" ht="21" customHeight="1">
      <x:c r="A65" s="3" t="str">
        <x:v>2202005</x:v>
      </x:c>
      <x:c r="B65" s="3" t="str">
        <x:v>SEC001</x:v>
      </x:c>
      <x:c r="C65" s="3" t="n">
        <x:v>1</x:v>
      </x:c>
      <x:c r="D65" s="3" t="str">
        <x:v>absent</x:v>
      </x:c>
      <x:c r="E65" s="5" t="str">
        <x:f>VLOOKUP(B65,Sections!$A$5:$I$45,3,FALSE)</x:f>
        <x:v>2024-1</x:v>
      </x:c>
    </x:row>
    <x:row r="66" ht="21" customHeight="1">
      <x:c r="A66" s="3" t="str">
        <x:v>2202005</x:v>
      </x:c>
      <x:c r="B66" s="3" t="str">
        <x:v>SEC001</x:v>
      </x:c>
      <x:c r="C66" s="3" t="n">
        <x:v>2</x:v>
      </x:c>
      <x:c r="D66" s="3" t="str">
        <x:v>present</x:v>
      </x:c>
      <x:c r="E66" s="5" t="str">
        <x:f>VLOOKUP(B66,Sections!$A$5:$I$45,3,FALSE)</x:f>
        <x:v>2024-1</x:v>
      </x:c>
    </x:row>
    <x:row r="67" ht="21" customHeight="1">
      <x:c r="A67" s="3" t="str">
        <x:v>2202005</x:v>
      </x:c>
      <x:c r="B67" s="3" t="str">
        <x:v>SEC001</x:v>
      </x:c>
      <x:c r="C67" s="3" t="n">
        <x:v>3</x:v>
      </x:c>
      <x:c r="D67" s="3" t="str">
        <x:v>present</x:v>
      </x:c>
      <x:c r="E67" s="5" t="str">
        <x:f>VLOOKUP(B67,Sections!$A$5:$I$45,3,FALSE)</x:f>
        <x:v>2024-1</x:v>
      </x:c>
    </x:row>
    <x:row r="68" ht="21" customHeight="1">
      <x:c r="A68" s="3" t="str">
        <x:v>2202005</x:v>
      </x:c>
      <x:c r="B68" s="3" t="str">
        <x:v>SEC001</x:v>
      </x:c>
      <x:c r="C68" s="3" t="n">
        <x:v>4</x:v>
      </x:c>
      <x:c r="D68" s="3" t="str">
        <x:v>late</x:v>
      </x:c>
      <x:c r="E68" s="5" t="str">
        <x:f>VLOOKUP(B68,Sections!$A$5:$I$45,3,FALSE)</x:f>
        <x:v>2024-1</x:v>
      </x:c>
    </x:row>
    <x:row r="69" ht="21" customHeight="1">
      <x:c r="A69" s="3" t="str">
        <x:v>2202005</x:v>
      </x:c>
      <x:c r="B69" s="3" t="str">
        <x:v>SEC001</x:v>
      </x:c>
      <x:c r="C69" s="3" t="n">
        <x:v>5</x:v>
      </x:c>
      <x:c r="D69" s="3" t="str">
        <x:v>late</x:v>
      </x:c>
      <x:c r="E69" s="5" t="str">
        <x:f>VLOOKUP(B69,Sections!$A$5:$I$45,3,FALSE)</x:f>
        <x:v>2024-1</x:v>
      </x:c>
    </x:row>
    <x:row r="70" ht="21" customHeight="1">
      <x:c r="A70" s="3" t="str">
        <x:v>2202005</x:v>
      </x:c>
      <x:c r="B70" s="3" t="str">
        <x:v>SEC001</x:v>
      </x:c>
      <x:c r="C70" s="3" t="n">
        <x:v>6</x:v>
      </x:c>
      <x:c r="D70" s="3" t="str">
        <x:v>absent</x:v>
      </x:c>
      <x:c r="E70" s="5" t="str">
        <x:f>VLOOKUP(B70,Sections!$A$5:$I$45,3,FALSE)</x:f>
        <x:v>2024-1</x:v>
      </x:c>
    </x:row>
    <x:row r="71" ht="21" customHeight="1">
      <x:c r="A71" s="3" t="str">
        <x:v>2202005</x:v>
      </x:c>
      <x:c r="B71" s="3" t="str">
        <x:v>SEC001</x:v>
      </x:c>
      <x:c r="C71" s="3" t="n">
        <x:v>7</x:v>
      </x:c>
      <x:c r="D71" s="3" t="str">
        <x:v>present</x:v>
      </x:c>
      <x:c r="E71" s="5" t="str">
        <x:f>VLOOKUP(B71,Sections!$A$5:$I$45,3,FALSE)</x:f>
        <x:v>2024-1</x:v>
      </x:c>
    </x:row>
    <x:row r="72" ht="21" customHeight="1">
      <x:c r="A72" s="3" t="str">
        <x:v>2202005</x:v>
      </x:c>
      <x:c r="B72" s="3" t="str">
        <x:v>SEC001</x:v>
      </x:c>
      <x:c r="C72" s="3" t="n">
        <x:v>8</x:v>
      </x:c>
      <x:c r="D72" s="3" t="str">
        <x:v>present</x:v>
      </x:c>
      <x:c r="E72" s="5" t="str">
        <x:f>VLOOKUP(B72,Sections!$A$5:$I$45,3,FALSE)</x:f>
        <x:v>2024-1</x:v>
      </x:c>
    </x:row>
    <x:row r="73" ht="21" customHeight="1">
      <x:c r="A73" s="3" t="str">
        <x:v>2202005</x:v>
      </x:c>
      <x:c r="B73" s="3" t="str">
        <x:v>SEC001</x:v>
      </x:c>
      <x:c r="C73" s="3" t="n">
        <x:v>9</x:v>
      </x:c>
      <x:c r="D73" s="3" t="str">
        <x:v>absent</x:v>
      </x:c>
      <x:c r="E73" s="5" t="str">
        <x:f>VLOOKUP(B73,Sections!$A$5:$I$45,3,FALSE)</x:f>
        <x:v>2024-1</x:v>
      </x:c>
    </x:row>
    <x:row r="74" ht="21" customHeight="1">
      <x:c r="A74" s="3" t="str">
        <x:v>2202005</x:v>
      </x:c>
      <x:c r="B74" s="3" t="str">
        <x:v>SEC001</x:v>
      </x:c>
      <x:c r="C74" s="3" t="n">
        <x:v>10</x:v>
      </x:c>
      <x:c r="D74" s="3" t="str">
        <x:v>present</x:v>
      </x:c>
      <x:c r="E74" s="5" t="str">
        <x:f>VLOOKUP(B74,Sections!$A$5:$I$45,3,FALSE)</x:f>
        <x:v>2024-1</x:v>
      </x:c>
    </x:row>
    <x:row r="75" ht="21" customHeight="1">
      <x:c r="A75" s="3" t="str">
        <x:v>2202005</x:v>
      </x:c>
      <x:c r="B75" s="3" t="str">
        <x:v>SEC001</x:v>
      </x:c>
      <x:c r="C75" s="3" t="n">
        <x:v>11</x:v>
      </x:c>
      <x:c r="D75" s="3" t="str">
        <x:v>absent</x:v>
      </x:c>
      <x:c r="E75" s="5" t="str">
        <x:f>VLOOKUP(B75,Sections!$A$5:$I$45,3,FALSE)</x:f>
        <x:v>2024-1</x:v>
      </x:c>
    </x:row>
    <x:row r="76" ht="21" customHeight="1">
      <x:c r="A76" s="3" t="str">
        <x:v>2202005</x:v>
      </x:c>
      <x:c r="B76" s="3" t="str">
        <x:v>SEC001</x:v>
      </x:c>
      <x:c r="C76" s="3" t="n">
        <x:v>12</x:v>
      </x:c>
      <x:c r="D76" s="3" t="str">
        <x:v>present</x:v>
      </x:c>
      <x:c r="E76" s="5" t="str">
        <x:f>VLOOKUP(B76,Sections!$A$5:$I$45,3,FALSE)</x:f>
        <x:v>2024-1</x:v>
      </x:c>
    </x:row>
    <x:row r="77" ht="21" customHeight="1">
      <x:c r="A77" s="3" t="str">
        <x:v>2202005</x:v>
      </x:c>
      <x:c r="B77" s="3" t="str">
        <x:v>SEC001</x:v>
      </x:c>
      <x:c r="C77" s="3" t="n">
        <x:v>13</x:v>
      </x:c>
      <x:c r="D77" s="3" t="str">
        <x:v>absent</x:v>
      </x:c>
      <x:c r="E77" s="5" t="str">
        <x:f>VLOOKUP(B77,Sections!$A$5:$I$45,3,FALSE)</x:f>
        <x:v>2024-1</x:v>
      </x:c>
    </x:row>
    <x:row r="78" ht="21" customHeight="1">
      <x:c r="A78" s="3" t="str">
        <x:v>2202005</x:v>
      </x:c>
      <x:c r="B78" s="3" t="str">
        <x:v>SEC001</x:v>
      </x:c>
      <x:c r="C78" s="3" t="n">
        <x:v>14</x:v>
      </x:c>
      <x:c r="D78" s="3" t="str">
        <x:v>present</x:v>
      </x:c>
      <x:c r="E78" s="5" t="str">
        <x:f>VLOOKUP(B78,Sections!$A$5:$I$45,3,FALSE)</x:f>
        <x:v>2024-1</x:v>
      </x:c>
    </x:row>
    <x:row r="79" ht="21" customHeight="1">
      <x:c r="A79" s="3" t="str">
        <x:v>2202005</x:v>
      </x:c>
      <x:c r="B79" s="3" t="str">
        <x:v>SEC001</x:v>
      </x:c>
      <x:c r="C79" s="3" t="n">
        <x:v>15</x:v>
      </x:c>
      <x:c r="D79" s="3" t="str">
        <x:v>present</x:v>
      </x:c>
      <x:c r="E79" s="5" t="str">
        <x:f>VLOOKUP(B79,Sections!$A$5:$I$45,3,FALSE)</x:f>
        <x:v>2024-1</x:v>
      </x:c>
    </x:row>
    <x:row r="80" ht="21" customHeight="1">
      <x:c r="A80" s="3" t="str">
        <x:v>2202006</x:v>
      </x:c>
      <x:c r="B80" s="3" t="str">
        <x:v>SEC001</x:v>
      </x:c>
      <x:c r="C80" s="3" t="n">
        <x:v>1</x:v>
      </x:c>
      <x:c r="D80" s="3" t="str">
        <x:v>present</x:v>
      </x:c>
      <x:c r="E80" s="5" t="str">
        <x:f>VLOOKUP(B80,Sections!$A$5:$I$45,3,FALSE)</x:f>
        <x:v>2024-1</x:v>
      </x:c>
    </x:row>
    <x:row r="81" ht="21" customHeight="1">
      <x:c r="A81" s="3" t="str">
        <x:v>2202006</x:v>
      </x:c>
      <x:c r="B81" s="3" t="str">
        <x:v>SEC001</x:v>
      </x:c>
      <x:c r="C81" s="3" t="n">
        <x:v>2</x:v>
      </x:c>
      <x:c r="D81" s="3" t="str">
        <x:v>present</x:v>
      </x:c>
      <x:c r="E81" s="5" t="str">
        <x:f>VLOOKUP(B81,Sections!$A$5:$I$45,3,FALSE)</x:f>
        <x:v>2024-1</x:v>
      </x:c>
    </x:row>
    <x:row r="82" ht="21" customHeight="1">
      <x:c r="A82" s="3" t="str">
        <x:v>2202006</x:v>
      </x:c>
      <x:c r="B82" s="3" t="str">
        <x:v>SEC001</x:v>
      </x:c>
      <x:c r="C82" s="3" t="n">
        <x:v>3</x:v>
      </x:c>
      <x:c r="D82" s="3" t="str">
        <x:v>present</x:v>
      </x:c>
      <x:c r="E82" s="5" t="str">
        <x:f>VLOOKUP(B82,Sections!$A$5:$I$45,3,FALSE)</x:f>
        <x:v>2024-1</x:v>
      </x:c>
    </x:row>
    <x:row r="83" ht="21" customHeight="1">
      <x:c r="A83" s="3" t="str">
        <x:v>2202006</x:v>
      </x:c>
      <x:c r="B83" s="3" t="str">
        <x:v>SEC001</x:v>
      </x:c>
      <x:c r="C83" s="3" t="n">
        <x:v>4</x:v>
      </x:c>
      <x:c r="D83" s="3" t="str">
        <x:v>absent</x:v>
      </x:c>
      <x:c r="E83" s="5" t="str">
        <x:f>VLOOKUP(B83,Sections!$A$5:$I$45,3,FALSE)</x:f>
        <x:v>2024-1</x:v>
      </x:c>
    </x:row>
    <x:row r="84" ht="21" customHeight="1">
      <x:c r="A84" s="3" t="str">
        <x:v>2202006</x:v>
      </x:c>
      <x:c r="B84" s="3" t="str">
        <x:v>SEC001</x:v>
      </x:c>
      <x:c r="C84" s="3" t="n">
        <x:v>5</x:v>
      </x:c>
      <x:c r="D84" s="3" t="str">
        <x:v>present</x:v>
      </x:c>
      <x:c r="E84" s="5" t="str">
        <x:f>VLOOKUP(B84,Sections!$A$5:$I$45,3,FALSE)</x:f>
        <x:v>2024-1</x:v>
      </x:c>
    </x:row>
    <x:row r="85" ht="21" customHeight="1">
      <x:c r="A85" s="3" t="str">
        <x:v>2202006</x:v>
      </x:c>
      <x:c r="B85" s="3" t="str">
        <x:v>SEC001</x:v>
      </x:c>
      <x:c r="C85" s="3" t="n">
        <x:v>6</x:v>
      </x:c>
      <x:c r="D85" s="3" t="str">
        <x:v>present</x:v>
      </x:c>
      <x:c r="E85" s="5" t="str">
        <x:f>VLOOKUP(B85,Sections!$A$5:$I$45,3,FALSE)</x:f>
        <x:v>2024-1</x:v>
      </x:c>
    </x:row>
    <x:row r="86" ht="21" customHeight="1">
      <x:c r="A86" s="3" t="str">
        <x:v>2202006</x:v>
      </x:c>
      <x:c r="B86" s="3" t="str">
        <x:v>SEC001</x:v>
      </x:c>
      <x:c r="C86" s="3" t="n">
        <x:v>7</x:v>
      </x:c>
      <x:c r="D86" s="3" t="str">
        <x:v>present</x:v>
      </x:c>
      <x:c r="E86" s="5" t="str">
        <x:f>VLOOKUP(B86,Sections!$A$5:$I$45,3,FALSE)</x:f>
        <x:v>2024-1</x:v>
      </x:c>
    </x:row>
    <x:row r="87" ht="21" customHeight="1">
      <x:c r="A87" s="3" t="str">
        <x:v>2202006</x:v>
      </x:c>
      <x:c r="B87" s="3" t="str">
        <x:v>SEC001</x:v>
      </x:c>
      <x:c r="C87" s="3" t="n">
        <x:v>8</x:v>
      </x:c>
      <x:c r="D87" s="3" t="str">
        <x:v>present</x:v>
      </x:c>
      <x:c r="E87" s="5" t="str">
        <x:f>VLOOKUP(B87,Sections!$A$5:$I$45,3,FALSE)</x:f>
        <x:v>2024-1</x:v>
      </x:c>
    </x:row>
    <x:row r="88" ht="21" customHeight="1">
      <x:c r="A88" s="3" t="str">
        <x:v>2202006</x:v>
      </x:c>
      <x:c r="B88" s="3" t="str">
        <x:v>SEC001</x:v>
      </x:c>
      <x:c r="C88" s="3" t="n">
        <x:v>9</x:v>
      </x:c>
      <x:c r="D88" s="3" t="str">
        <x:v>present</x:v>
      </x:c>
      <x:c r="E88" s="5" t="str">
        <x:f>VLOOKUP(B88,Sections!$A$5:$I$45,3,FALSE)</x:f>
        <x:v>2024-1</x:v>
      </x:c>
    </x:row>
    <x:row r="89" ht="21" customHeight="1">
      <x:c r="A89" s="3" t="str">
        <x:v>2202006</x:v>
      </x:c>
      <x:c r="B89" s="3" t="str">
        <x:v>SEC001</x:v>
      </x:c>
      <x:c r="C89" s="3" t="n">
        <x:v>10</x:v>
      </x:c>
      <x:c r="D89" s="3" t="str">
        <x:v>present</x:v>
      </x:c>
      <x:c r="E89" s="5" t="str">
        <x:f>VLOOKUP(B89,Sections!$A$5:$I$45,3,FALSE)</x:f>
        <x:v>2024-1</x:v>
      </x:c>
    </x:row>
    <x:row r="90" ht="21" customHeight="1">
      <x:c r="A90" s="3" t="str">
        <x:v>2202006</x:v>
      </x:c>
      <x:c r="B90" s="3" t="str">
        <x:v>SEC001</x:v>
      </x:c>
      <x:c r="C90" s="3" t="n">
        <x:v>11</x:v>
      </x:c>
      <x:c r="D90" s="3" t="str">
        <x:v>present</x:v>
      </x:c>
      <x:c r="E90" s="5" t="str">
        <x:f>VLOOKUP(B90,Sections!$A$5:$I$45,3,FALSE)</x:f>
        <x:v>2024-1</x:v>
      </x:c>
    </x:row>
    <x:row r="91" ht="21" customHeight="1">
      <x:c r="A91" s="3" t="str">
        <x:v>2202006</x:v>
      </x:c>
      <x:c r="B91" s="3" t="str">
        <x:v>SEC001</x:v>
      </x:c>
      <x:c r="C91" s="3" t="n">
        <x:v>12</x:v>
      </x:c>
      <x:c r="D91" s="3" t="str">
        <x:v>late</x:v>
      </x:c>
      <x:c r="E91" s="5" t="str">
        <x:f>VLOOKUP(B91,Sections!$A$5:$I$45,3,FALSE)</x:f>
        <x:v>2024-1</x:v>
      </x:c>
    </x:row>
    <x:row r="92" ht="21" customHeight="1">
      <x:c r="A92" s="3" t="str">
        <x:v>2202006</x:v>
      </x:c>
      <x:c r="B92" s="3" t="str">
        <x:v>SEC001</x:v>
      </x:c>
      <x:c r="C92" s="3" t="n">
        <x:v>13</x:v>
      </x:c>
      <x:c r="D92" s="3" t="str">
        <x:v>present</x:v>
      </x:c>
      <x:c r="E92" s="5" t="str">
        <x:f>VLOOKUP(B92,Sections!$A$5:$I$45,3,FALSE)</x:f>
        <x:v>2024-1</x:v>
      </x:c>
    </x:row>
    <x:row r="93" ht="21" customHeight="1">
      <x:c r="A93" s="3" t="str">
        <x:v>2202006</x:v>
      </x:c>
      <x:c r="B93" s="3" t="str">
        <x:v>SEC001</x:v>
      </x:c>
      <x:c r="C93" s="3" t="n">
        <x:v>14</x:v>
      </x:c>
      <x:c r="D93" s="3" t="str">
        <x:v>present</x:v>
      </x:c>
      <x:c r="E93" s="5" t="str">
        <x:f>VLOOKUP(B93,Sections!$A$5:$I$45,3,FALSE)</x:f>
        <x:v>2024-1</x:v>
      </x:c>
    </x:row>
    <x:row r="94" ht="21" customHeight="1">
      <x:c r="A94" s="3" t="str">
        <x:v>2202006</x:v>
      </x:c>
      <x:c r="B94" s="3" t="str">
        <x:v>SEC001</x:v>
      </x:c>
      <x:c r="C94" s="3" t="n">
        <x:v>15</x:v>
      </x:c>
      <x:c r="D94" s="3" t="str">
        <x:v>present</x:v>
      </x:c>
      <x:c r="E94" s="5" t="str">
        <x:f>VLOOKUP(B94,Sections!$A$5:$I$45,3,FALSE)</x:f>
        <x:v>2024-1</x:v>
      </x:c>
    </x:row>
    <x:row r="95" ht="21" customHeight="1">
      <x:c r="A95" s="3" t="str">
        <x:v>2202007</x:v>
      </x:c>
      <x:c r="B95" s="3" t="str">
        <x:v>SEC001</x:v>
      </x:c>
      <x:c r="C95" s="3" t="n">
        <x:v>1</x:v>
      </x:c>
      <x:c r="D95" s="3" t="str">
        <x:v>present</x:v>
      </x:c>
      <x:c r="E95" s="5" t="str">
        <x:f>VLOOKUP(B95,Sections!$A$5:$I$45,3,FALSE)</x:f>
        <x:v>2024-1</x:v>
      </x:c>
    </x:row>
    <x:row r="96" ht="21" customHeight="1">
      <x:c r="A96" s="3" t="str">
        <x:v>2202007</x:v>
      </x:c>
      <x:c r="B96" s="3" t="str">
        <x:v>SEC001</x:v>
      </x:c>
      <x:c r="C96" s="3" t="n">
        <x:v>2</x:v>
      </x:c>
      <x:c r="D96" s="3" t="str">
        <x:v>present</x:v>
      </x:c>
      <x:c r="E96" s="5" t="str">
        <x:f>VLOOKUP(B96,Sections!$A$5:$I$45,3,FALSE)</x:f>
        <x:v>2024-1</x:v>
      </x:c>
    </x:row>
    <x:row r="97" ht="21" customHeight="1">
      <x:c r="A97" s="3" t="str">
        <x:v>2202007</x:v>
      </x:c>
      <x:c r="B97" s="3" t="str">
        <x:v>SEC001</x:v>
      </x:c>
      <x:c r="C97" s="3" t="n">
        <x:v>3</x:v>
      </x:c>
      <x:c r="D97" s="3" t="str">
        <x:v>present</x:v>
      </x:c>
      <x:c r="E97" s="5" t="str">
        <x:f>VLOOKUP(B97,Sections!$A$5:$I$45,3,FALSE)</x:f>
        <x:v>2024-1</x:v>
      </x:c>
    </x:row>
    <x:row r="98" ht="21" customHeight="1">
      <x:c r="A98" s="3" t="str">
        <x:v>2202007</x:v>
      </x:c>
      <x:c r="B98" s="3" t="str">
        <x:v>SEC001</x:v>
      </x:c>
      <x:c r="C98" s="3" t="n">
        <x:v>4</x:v>
      </x:c>
      <x:c r="D98" s="3" t="str">
        <x:v>present</x:v>
      </x:c>
      <x:c r="E98" s="5" t="str">
        <x:f>VLOOKUP(B98,Sections!$A$5:$I$45,3,FALSE)</x:f>
        <x:v>2024-1</x:v>
      </x:c>
    </x:row>
    <x:row r="99" ht="21" customHeight="1">
      <x:c r="A99" s="3" t="str">
        <x:v>2202007</x:v>
      </x:c>
      <x:c r="B99" s="3" t="str">
        <x:v>SEC001</x:v>
      </x:c>
      <x:c r="C99" s="3" t="n">
        <x:v>5</x:v>
      </x:c>
      <x:c r="D99" s="3" t="str">
        <x:v>present</x:v>
      </x:c>
      <x:c r="E99" s="5" t="str">
        <x:f>VLOOKUP(B99,Sections!$A$5:$I$45,3,FALSE)</x:f>
        <x:v>2024-1</x:v>
      </x:c>
    </x:row>
    <x:row r="100" ht="21" customHeight="1">
      <x:c r="A100" s="3" t="str">
        <x:v>2202007</x:v>
      </x:c>
      <x:c r="B100" s="3" t="str">
        <x:v>SEC001</x:v>
      </x:c>
      <x:c r="C100" s="3" t="n">
        <x:v>6</x:v>
      </x:c>
      <x:c r="D100" s="3" t="str">
        <x:v>present</x:v>
      </x:c>
      <x:c r="E100" s="5" t="str">
        <x:f>VLOOKUP(B100,Sections!$A$5:$I$45,3,FALSE)</x:f>
        <x:v>2024-1</x:v>
      </x:c>
    </x:row>
    <x:row r="101" ht="21" customHeight="1">
      <x:c r="A101" s="3" t="str">
        <x:v>2202007</x:v>
      </x:c>
      <x:c r="B101" s="3" t="str">
        <x:v>SEC001</x:v>
      </x:c>
      <x:c r="C101" s="3" t="n">
        <x:v>7</x:v>
      </x:c>
      <x:c r="D101" s="3" t="str">
        <x:v>present</x:v>
      </x:c>
      <x:c r="E101" s="5" t="str">
        <x:f>VLOOKUP(B101,Sections!$A$5:$I$45,3,FALSE)</x:f>
        <x:v>2024-1</x:v>
      </x:c>
    </x:row>
    <x:row r="102" ht="21" customHeight="1">
      <x:c r="A102" s="3" t="str">
        <x:v>2202007</x:v>
      </x:c>
      <x:c r="B102" s="3" t="str">
        <x:v>SEC001</x:v>
      </x:c>
      <x:c r="C102" s="3" t="n">
        <x:v>8</x:v>
      </x:c>
      <x:c r="D102" s="3" t="str">
        <x:v>present</x:v>
      </x:c>
      <x:c r="E102" s="5" t="str">
        <x:f>VLOOKUP(B102,Sections!$A$5:$I$45,3,FALSE)</x:f>
        <x:v>2024-1</x:v>
      </x:c>
    </x:row>
    <x:row r="103" ht="21" customHeight="1">
      <x:c r="A103" s="3" t="str">
        <x:v>2202007</x:v>
      </x:c>
      <x:c r="B103" s="3" t="str">
        <x:v>SEC001</x:v>
      </x:c>
      <x:c r="C103" s="3" t="n">
        <x:v>9</x:v>
      </x:c>
      <x:c r="D103" s="3" t="str">
        <x:v>present</x:v>
      </x:c>
      <x:c r="E103" s="5" t="str">
        <x:f>VLOOKUP(B103,Sections!$A$5:$I$45,3,FALSE)</x:f>
        <x:v>2024-1</x:v>
      </x:c>
    </x:row>
    <x:row r="104" ht="21" customHeight="1">
      <x:c r="A104" s="3" t="str">
        <x:v>2202007</x:v>
      </x:c>
      <x:c r="B104" s="3" t="str">
        <x:v>SEC001</x:v>
      </x:c>
      <x:c r="C104" s="3" t="n">
        <x:v>10</x:v>
      </x:c>
      <x:c r="D104" s="3" t="str">
        <x:v>present</x:v>
      </x:c>
      <x:c r="E104" s="5" t="str">
        <x:f>VLOOKUP(B104,Sections!$A$5:$I$45,3,FALSE)</x:f>
        <x:v>2024-1</x:v>
      </x:c>
    </x:row>
    <x:row r="105" ht="21" customHeight="1">
      <x:c r="A105" s="3" t="str">
        <x:v>2202007</x:v>
      </x:c>
      <x:c r="B105" s="3" t="str">
        <x:v>SEC001</x:v>
      </x:c>
      <x:c r="C105" s="3" t="n">
        <x:v>11</x:v>
      </x:c>
      <x:c r="D105" s="3" t="str">
        <x:v>present</x:v>
      </x:c>
      <x:c r="E105" s="5" t="str">
        <x:f>VLOOKUP(B105,Sections!$A$5:$I$45,3,FALSE)</x:f>
        <x:v>2024-1</x:v>
      </x:c>
    </x:row>
    <x:row r="106" ht="21" customHeight="1">
      <x:c r="A106" s="3" t="str">
        <x:v>2202007</x:v>
      </x:c>
      <x:c r="B106" s="3" t="str">
        <x:v>SEC001</x:v>
      </x:c>
      <x:c r="C106" s="3" t="n">
        <x:v>12</x:v>
      </x:c>
      <x:c r="D106" s="3" t="str">
        <x:v>present</x:v>
      </x:c>
      <x:c r="E106" s="5" t="str">
        <x:f>VLOOKUP(B106,Sections!$A$5:$I$45,3,FALSE)</x:f>
        <x:v>2024-1</x:v>
      </x:c>
    </x:row>
    <x:row r="107" ht="21" customHeight="1">
      <x:c r="A107" s="3" t="str">
        <x:v>2202007</x:v>
      </x:c>
      <x:c r="B107" s="3" t="str">
        <x:v>SEC001</x:v>
      </x:c>
      <x:c r="C107" s="3" t="n">
        <x:v>13</x:v>
      </x:c>
      <x:c r="D107" s="3" t="str">
        <x:v>present</x:v>
      </x:c>
      <x:c r="E107" s="5" t="str">
        <x:f>VLOOKUP(B107,Sections!$A$5:$I$45,3,FALSE)</x:f>
        <x:v>2024-1</x:v>
      </x:c>
    </x:row>
    <x:row r="108" ht="21" customHeight="1">
      <x:c r="A108" s="3" t="str">
        <x:v>2202007</x:v>
      </x:c>
      <x:c r="B108" s="3" t="str">
        <x:v>SEC001</x:v>
      </x:c>
      <x:c r="C108" s="3" t="n">
        <x:v>14</x:v>
      </x:c>
      <x:c r="D108" s="3" t="str">
        <x:v>present</x:v>
      </x:c>
      <x:c r="E108" s="5" t="str">
        <x:f>VLOOKUP(B108,Sections!$A$5:$I$45,3,FALSE)</x:f>
        <x:v>2024-1</x:v>
      </x:c>
    </x:row>
    <x:row r="109" ht="21" customHeight="1">
      <x:c r="A109" s="3" t="str">
        <x:v>2202007</x:v>
      </x:c>
      <x:c r="B109" s="3" t="str">
        <x:v>SEC001</x:v>
      </x:c>
      <x:c r="C109" s="3" t="n">
        <x:v>15</x:v>
      </x:c>
      <x:c r="D109" s="3" t="str">
        <x:v>present</x:v>
      </x:c>
      <x:c r="E109" s="5" t="str">
        <x:f>VLOOKUP(B109,Sections!$A$5:$I$45,3,FALSE)</x:f>
        <x:v>2024-1</x:v>
      </x:c>
    </x:row>
    <x:row r="110" ht="21" customHeight="1">
      <x:c r="A110" s="3" t="str">
        <x:v>2202008</x:v>
      </x:c>
      <x:c r="B110" s="3" t="str">
        <x:v>SEC001</x:v>
      </x:c>
      <x:c r="C110" s="3" t="n">
        <x:v>1</x:v>
      </x:c>
      <x:c r="D110" s="3" t="str">
        <x:v>present</x:v>
      </x:c>
      <x:c r="E110" s="5" t="str">
        <x:f>VLOOKUP(B110,Sections!$A$5:$I$45,3,FALSE)</x:f>
        <x:v>2024-1</x:v>
      </x:c>
    </x:row>
    <x:row r="111" ht="21" customHeight="1">
      <x:c r="A111" s="3" t="str">
        <x:v>2202008</x:v>
      </x:c>
      <x:c r="B111" s="3" t="str">
        <x:v>SEC001</x:v>
      </x:c>
      <x:c r="C111" s="3" t="n">
        <x:v>2</x:v>
      </x:c>
      <x:c r="D111" s="3" t="str">
        <x:v>present</x:v>
      </x:c>
      <x:c r="E111" s="5" t="str">
        <x:f>VLOOKUP(B111,Sections!$A$5:$I$45,3,FALSE)</x:f>
        <x:v>2024-1</x:v>
      </x:c>
    </x:row>
    <x:row r="112" ht="21" customHeight="1">
      <x:c r="A112" s="3" t="str">
        <x:v>2202008</x:v>
      </x:c>
      <x:c r="B112" s="3" t="str">
        <x:v>SEC001</x:v>
      </x:c>
      <x:c r="C112" s="3" t="n">
        <x:v>3</x:v>
      </x:c>
      <x:c r="D112" s="3" t="str">
        <x:v>present</x:v>
      </x:c>
      <x:c r="E112" s="5" t="str">
        <x:f>VLOOKUP(B112,Sections!$A$5:$I$45,3,FALSE)</x:f>
        <x:v>2024-1</x:v>
      </x:c>
    </x:row>
    <x:row r="113" ht="21" customHeight="1">
      <x:c r="A113" s="3" t="str">
        <x:v>2202008</x:v>
      </x:c>
      <x:c r="B113" s="3" t="str">
        <x:v>SEC001</x:v>
      </x:c>
      <x:c r="C113" s="3" t="n">
        <x:v>4</x:v>
      </x:c>
      <x:c r="D113" s="3" t="str">
        <x:v>present</x:v>
      </x:c>
      <x:c r="E113" s="5" t="str">
        <x:f>VLOOKUP(B113,Sections!$A$5:$I$45,3,FALSE)</x:f>
        <x:v>2024-1</x:v>
      </x:c>
    </x:row>
    <x:row r="114" ht="21" customHeight="1">
      <x:c r="A114" s="3" t="str">
        <x:v>2202008</x:v>
      </x:c>
      <x:c r="B114" s="3" t="str">
        <x:v>SEC001</x:v>
      </x:c>
      <x:c r="C114" s="3" t="n">
        <x:v>5</x:v>
      </x:c>
      <x:c r="D114" s="3" t="str">
        <x:v>present</x:v>
      </x:c>
      <x:c r="E114" s="5" t="str">
        <x:f>VLOOKUP(B114,Sections!$A$5:$I$45,3,FALSE)</x:f>
        <x:v>2024-1</x:v>
      </x:c>
    </x:row>
    <x:row r="115" ht="21" customHeight="1">
      <x:c r="A115" s="3" t="str">
        <x:v>2202008</x:v>
      </x:c>
      <x:c r="B115" s="3" t="str">
        <x:v>SEC001</x:v>
      </x:c>
      <x:c r="C115" s="3" t="n">
        <x:v>6</x:v>
      </x:c>
      <x:c r="D115" s="3" t="str">
        <x:v>present</x:v>
      </x:c>
      <x:c r="E115" s="5" t="str">
        <x:f>VLOOKUP(B115,Sections!$A$5:$I$45,3,FALSE)</x:f>
        <x:v>2024-1</x:v>
      </x:c>
    </x:row>
    <x:row r="116" ht="21" customHeight="1">
      <x:c r="A116" s="3" t="str">
        <x:v>2202008</x:v>
      </x:c>
      <x:c r="B116" s="3" t="str">
        <x:v>SEC001</x:v>
      </x:c>
      <x:c r="C116" s="3" t="n">
        <x:v>7</x:v>
      </x:c>
      <x:c r="D116" s="3" t="str">
        <x:v>present</x:v>
      </x:c>
      <x:c r="E116" s="5" t="str">
        <x:f>VLOOKUP(B116,Sections!$A$5:$I$45,3,FALSE)</x:f>
        <x:v>2024-1</x:v>
      </x:c>
    </x:row>
    <x:row r="117" ht="21" customHeight="1">
      <x:c r="A117" s="3" t="str">
        <x:v>2202008</x:v>
      </x:c>
      <x:c r="B117" s="3" t="str">
        <x:v>SEC001</x:v>
      </x:c>
      <x:c r="C117" s="3" t="n">
        <x:v>8</x:v>
      </x:c>
      <x:c r="D117" s="3" t="str">
        <x:v>present</x:v>
      </x:c>
      <x:c r="E117" s="5" t="str">
        <x:f>VLOOKUP(B117,Sections!$A$5:$I$45,3,FALSE)</x:f>
        <x:v>2024-1</x:v>
      </x:c>
    </x:row>
    <x:row r="118" ht="21" customHeight="1">
      <x:c r="A118" s="3" t="str">
        <x:v>2202008</x:v>
      </x:c>
      <x:c r="B118" s="3" t="str">
        <x:v>SEC001</x:v>
      </x:c>
      <x:c r="C118" s="3" t="n">
        <x:v>9</x:v>
      </x:c>
      <x:c r="D118" s="3" t="str">
        <x:v>present</x:v>
      </x:c>
      <x:c r="E118" s="5" t="str">
        <x:f>VLOOKUP(B118,Sections!$A$5:$I$45,3,FALSE)</x:f>
        <x:v>2024-1</x:v>
      </x:c>
    </x:row>
    <x:row r="119" ht="21" customHeight="1">
      <x:c r="A119" s="3" t="str">
        <x:v>2202008</x:v>
      </x:c>
      <x:c r="B119" s="3" t="str">
        <x:v>SEC001</x:v>
      </x:c>
      <x:c r="C119" s="3" t="n">
        <x:v>10</x:v>
      </x:c>
      <x:c r="D119" s="3" t="str">
        <x:v>present</x:v>
      </x:c>
      <x:c r="E119" s="5" t="str">
        <x:f>VLOOKUP(B119,Sections!$A$5:$I$45,3,FALSE)</x:f>
        <x:v>2024-1</x:v>
      </x:c>
    </x:row>
    <x:row r="120" ht="21" customHeight="1">
      <x:c r="A120" s="3" t="str">
        <x:v>2202008</x:v>
      </x:c>
      <x:c r="B120" s="3" t="str">
        <x:v>SEC001</x:v>
      </x:c>
      <x:c r="C120" s="3" t="n">
        <x:v>11</x:v>
      </x:c>
      <x:c r="D120" s="3" t="str">
        <x:v>present</x:v>
      </x:c>
      <x:c r="E120" s="5" t="str">
        <x:f>VLOOKUP(B120,Sections!$A$5:$I$45,3,FALSE)</x:f>
        <x:v>2024-1</x:v>
      </x:c>
    </x:row>
    <x:row r="121" ht="21" customHeight="1">
      <x:c r="A121" s="3" t="str">
        <x:v>2202008</x:v>
      </x:c>
      <x:c r="B121" s="3" t="str">
        <x:v>SEC001</x:v>
      </x:c>
      <x:c r="C121" s="3" t="n">
        <x:v>12</x:v>
      </x:c>
      <x:c r="D121" s="3" t="str">
        <x:v>present</x:v>
      </x:c>
      <x:c r="E121" s="5" t="str">
        <x:f>VLOOKUP(B121,Sections!$A$5:$I$45,3,FALSE)</x:f>
        <x:v>2024-1</x:v>
      </x:c>
    </x:row>
    <x:row r="122" ht="21" customHeight="1">
      <x:c r="A122" s="3" t="str">
        <x:v>2202008</x:v>
      </x:c>
      <x:c r="B122" s="3" t="str">
        <x:v>SEC001</x:v>
      </x:c>
      <x:c r="C122" s="3" t="n">
        <x:v>13</x:v>
      </x:c>
      <x:c r="D122" s="3" t="str">
        <x:v>present</x:v>
      </x:c>
      <x:c r="E122" s="5" t="str">
        <x:f>VLOOKUP(B122,Sections!$A$5:$I$45,3,FALSE)</x:f>
        <x:v>2024-1</x:v>
      </x:c>
    </x:row>
    <x:row r="123" ht="21" customHeight="1">
      <x:c r="A123" s="3" t="str">
        <x:v>2202008</x:v>
      </x:c>
      <x:c r="B123" s="3" t="str">
        <x:v>SEC001</x:v>
      </x:c>
      <x:c r="C123" s="3" t="n">
        <x:v>14</x:v>
      </x:c>
      <x:c r="D123" s="3" t="str">
        <x:v>present</x:v>
      </x:c>
      <x:c r="E123" s="5" t="str">
        <x:f>VLOOKUP(B123,Sections!$A$5:$I$45,3,FALSE)</x:f>
        <x:v>2024-1</x:v>
      </x:c>
    </x:row>
    <x:row r="124" ht="21" customHeight="1">
      <x:c r="A124" s="3" t="str">
        <x:v>2202008</x:v>
      </x:c>
      <x:c r="B124" s="3" t="str">
        <x:v>SEC001</x:v>
      </x:c>
      <x:c r="C124" s="3" t="n">
        <x:v>15</x:v>
      </x:c>
      <x:c r="D124" s="3" t="str">
        <x:v>present</x:v>
      </x:c>
      <x:c r="E124" s="5" t="str">
        <x:f>VLOOKUP(B124,Sections!$A$5:$I$45,3,FALSE)</x:f>
        <x:v>2024-1</x:v>
      </x:c>
    </x:row>
    <x:row r="125" ht="21" customHeight="1">
      <x:c r="A125" s="3" t="str">
        <x:v>2202009</x:v>
      </x:c>
      <x:c r="B125" s="3" t="str">
        <x:v>SEC001</x:v>
      </x:c>
      <x:c r="C125" s="3" t="n">
        <x:v>1</x:v>
      </x:c>
      <x:c r="D125" s="3" t="str">
        <x:v>present</x:v>
      </x:c>
      <x:c r="E125" s="5" t="str">
        <x:f>VLOOKUP(B125,Sections!$A$5:$I$45,3,FALSE)</x:f>
        <x:v>2024-1</x:v>
      </x:c>
    </x:row>
    <x:row r="126" ht="21" customHeight="1">
      <x:c r="A126" s="3" t="str">
        <x:v>2202009</x:v>
      </x:c>
      <x:c r="B126" s="3" t="str">
        <x:v>SEC001</x:v>
      </x:c>
      <x:c r="C126" s="3" t="n">
        <x:v>2</x:v>
      </x:c>
      <x:c r="D126" s="3" t="str">
        <x:v>late</x:v>
      </x:c>
      <x:c r="E126" s="5" t="str">
        <x:f>VLOOKUP(B126,Sections!$A$5:$I$45,3,FALSE)</x:f>
        <x:v>2024-1</x:v>
      </x:c>
    </x:row>
    <x:row r="127" ht="21" customHeight="1">
      <x:c r="A127" s="3" t="str">
        <x:v>2202009</x:v>
      </x:c>
      <x:c r="B127" s="3" t="str">
        <x:v>SEC001</x:v>
      </x:c>
      <x:c r="C127" s="3" t="n">
        <x:v>3</x:v>
      </x:c>
      <x:c r="D127" s="3" t="str">
        <x:v>present</x:v>
      </x:c>
      <x:c r="E127" s="5" t="str">
        <x:f>VLOOKUP(B127,Sections!$A$5:$I$45,3,FALSE)</x:f>
        <x:v>2024-1</x:v>
      </x:c>
    </x:row>
    <x:row r="128" ht="21" customHeight="1">
      <x:c r="A128" s="3" t="str">
        <x:v>2202009</x:v>
      </x:c>
      <x:c r="B128" s="3" t="str">
        <x:v>SEC001</x:v>
      </x:c>
      <x:c r="C128" s="3" t="n">
        <x:v>4</x:v>
      </x:c>
      <x:c r="D128" s="3" t="str">
        <x:v>present</x:v>
      </x:c>
      <x:c r="E128" s="5" t="str">
        <x:f>VLOOKUP(B128,Sections!$A$5:$I$45,3,FALSE)</x:f>
        <x:v>2024-1</x:v>
      </x:c>
    </x:row>
    <x:row r="129" ht="21" customHeight="1">
      <x:c r="A129" s="3" t="str">
        <x:v>2202009</x:v>
      </x:c>
      <x:c r="B129" s="3" t="str">
        <x:v>SEC001</x:v>
      </x:c>
      <x:c r="C129" s="3" t="n">
        <x:v>5</x:v>
      </x:c>
      <x:c r="D129" s="3" t="str">
        <x:v>present</x:v>
      </x:c>
      <x:c r="E129" s="5" t="str">
        <x:f>VLOOKUP(B129,Sections!$A$5:$I$45,3,FALSE)</x:f>
        <x:v>2024-1</x:v>
      </x:c>
    </x:row>
    <x:row r="130" ht="21" customHeight="1">
      <x:c r="A130" s="3" t="str">
        <x:v>2202009</x:v>
      </x:c>
      <x:c r="B130" s="3" t="str">
        <x:v>SEC001</x:v>
      </x:c>
      <x:c r="C130" s="3" t="n">
        <x:v>6</x:v>
      </x:c>
      <x:c r="D130" s="3" t="str">
        <x:v>present</x:v>
      </x:c>
      <x:c r="E130" s="5" t="str">
        <x:f>VLOOKUP(B130,Sections!$A$5:$I$45,3,FALSE)</x:f>
        <x:v>2024-1</x:v>
      </x:c>
    </x:row>
    <x:row r="131" ht="21" customHeight="1">
      <x:c r="A131" s="3" t="str">
        <x:v>2202009</x:v>
      </x:c>
      <x:c r="B131" s="3" t="str">
        <x:v>SEC001</x:v>
      </x:c>
      <x:c r="C131" s="3" t="n">
        <x:v>7</x:v>
      </x:c>
      <x:c r="D131" s="3" t="str">
        <x:v>present</x:v>
      </x:c>
      <x:c r="E131" s="5" t="str">
        <x:f>VLOOKUP(B131,Sections!$A$5:$I$45,3,FALSE)</x:f>
        <x:v>2024-1</x:v>
      </x:c>
    </x:row>
    <x:row r="132" ht="21" customHeight="1">
      <x:c r="A132" s="3" t="str">
        <x:v>2202009</x:v>
      </x:c>
      <x:c r="B132" s="3" t="str">
        <x:v>SEC001</x:v>
      </x:c>
      <x:c r="C132" s="3" t="n">
        <x:v>8</x:v>
      </x:c>
      <x:c r="D132" s="3" t="str">
        <x:v>present</x:v>
      </x:c>
      <x:c r="E132" s="5" t="str">
        <x:f>VLOOKUP(B132,Sections!$A$5:$I$45,3,FALSE)</x:f>
        <x:v>2024-1</x:v>
      </x:c>
    </x:row>
    <x:row r="133" ht="21" customHeight="1">
      <x:c r="A133" s="3" t="str">
        <x:v>2202009</x:v>
      </x:c>
      <x:c r="B133" s="3" t="str">
        <x:v>SEC001</x:v>
      </x:c>
      <x:c r="C133" s="3" t="n">
        <x:v>9</x:v>
      </x:c>
      <x:c r="D133" s="3" t="str">
        <x:v>present</x:v>
      </x:c>
      <x:c r="E133" s="5" t="str">
        <x:f>VLOOKUP(B133,Sections!$A$5:$I$45,3,FALSE)</x:f>
        <x:v>2024-1</x:v>
      </x:c>
    </x:row>
    <x:row r="134" ht="21" customHeight="1">
      <x:c r="A134" s="3" t="str">
        <x:v>2202009</x:v>
      </x:c>
      <x:c r="B134" s="3" t="str">
        <x:v>SEC001</x:v>
      </x:c>
      <x:c r="C134" s="3" t="n">
        <x:v>10</x:v>
      </x:c>
      <x:c r="D134" s="3" t="str">
        <x:v>present</x:v>
      </x:c>
      <x:c r="E134" s="5" t="str">
        <x:f>VLOOKUP(B134,Sections!$A$5:$I$45,3,FALSE)</x:f>
        <x:v>2024-1</x:v>
      </x:c>
    </x:row>
    <x:row r="135" ht="21" customHeight="1">
      <x:c r="A135" s="3" t="str">
        <x:v>2202009</x:v>
      </x:c>
      <x:c r="B135" s="3" t="str">
        <x:v>SEC001</x:v>
      </x:c>
      <x:c r="C135" s="3" t="n">
        <x:v>11</x:v>
      </x:c>
      <x:c r="D135" s="3" t="str">
        <x:v>present</x:v>
      </x:c>
      <x:c r="E135" s="5" t="str">
        <x:f>VLOOKUP(B135,Sections!$A$5:$I$45,3,FALSE)</x:f>
        <x:v>2024-1</x:v>
      </x:c>
    </x:row>
    <x:row r="136" ht="21" customHeight="1">
      <x:c r="A136" s="3" t="str">
        <x:v>2202009</x:v>
      </x:c>
      <x:c r="B136" s="3" t="str">
        <x:v>SEC001</x:v>
      </x:c>
      <x:c r="C136" s="3" t="n">
        <x:v>12</x:v>
      </x:c>
      <x:c r="D136" s="3" t="str">
        <x:v>present</x:v>
      </x:c>
      <x:c r="E136" s="5" t="str">
        <x:f>VLOOKUP(B136,Sections!$A$5:$I$45,3,FALSE)</x:f>
        <x:v>2024-1</x:v>
      </x:c>
    </x:row>
    <x:row r="137" ht="21" customHeight="1">
      <x:c r="A137" s="3" t="str">
        <x:v>2202009</x:v>
      </x:c>
      <x:c r="B137" s="3" t="str">
        <x:v>SEC001</x:v>
      </x:c>
      <x:c r="C137" s="3" t="n">
        <x:v>13</x:v>
      </x:c>
      <x:c r="D137" s="3" t="str">
        <x:v>present</x:v>
      </x:c>
      <x:c r="E137" s="5" t="str">
        <x:f>VLOOKUP(B137,Sections!$A$5:$I$45,3,FALSE)</x:f>
        <x:v>2024-1</x:v>
      </x:c>
    </x:row>
    <x:row r="138" ht="21" customHeight="1">
      <x:c r="A138" s="3" t="str">
        <x:v>2202009</x:v>
      </x:c>
      <x:c r="B138" s="3" t="str">
        <x:v>SEC001</x:v>
      </x:c>
      <x:c r="C138" s="3" t="n">
        <x:v>14</x:v>
      </x:c>
      <x:c r="D138" s="3" t="str">
        <x:v>present</x:v>
      </x:c>
      <x:c r="E138" s="5" t="str">
        <x:f>VLOOKUP(B138,Sections!$A$5:$I$45,3,FALSE)</x:f>
        <x:v>2024-1</x:v>
      </x:c>
    </x:row>
    <x:row r="139" ht="21" customHeight="1">
      <x:c r="A139" s="3" t="str">
        <x:v>2202009</x:v>
      </x:c>
      <x:c r="B139" s="3" t="str">
        <x:v>SEC001</x:v>
      </x:c>
      <x:c r="C139" s="3" t="n">
        <x:v>15</x:v>
      </x:c>
      <x:c r="D139" s="3" t="str">
        <x:v>present</x:v>
      </x:c>
      <x:c r="E139" s="5" t="str">
        <x:f>VLOOKUP(B139,Sections!$A$5:$I$45,3,FALSE)</x:f>
        <x:v>2024-1</x:v>
      </x:c>
    </x:row>
    <x:row r="140" ht="21" customHeight="1">
      <x:c r="A140" s="3" t="str">
        <x:v>2202010</x:v>
      </x:c>
      <x:c r="B140" s="3" t="str">
        <x:v>SEC001</x:v>
      </x:c>
      <x:c r="C140" s="3" t="n">
        <x:v>1</x:v>
      </x:c>
      <x:c r="D140" s="3" t="str">
        <x:v>present</x:v>
      </x:c>
      <x:c r="E140" s="5" t="str">
        <x:f>VLOOKUP(B140,Sections!$A$5:$I$45,3,FALSE)</x:f>
        <x:v>2024-1</x:v>
      </x:c>
    </x:row>
    <x:row r="141" ht="21" customHeight="1">
      <x:c r="A141" s="3" t="str">
        <x:v>2202010</x:v>
      </x:c>
      <x:c r="B141" s="3" t="str">
        <x:v>SEC001</x:v>
      </x:c>
      <x:c r="C141" s="3" t="n">
        <x:v>2</x:v>
      </x:c>
      <x:c r="D141" s="3" t="str">
        <x:v>absent</x:v>
      </x:c>
      <x:c r="E141" s="5" t="str">
        <x:f>VLOOKUP(B141,Sections!$A$5:$I$45,3,FALSE)</x:f>
        <x:v>2024-1</x:v>
      </x:c>
    </x:row>
    <x:row r="142" ht="21" customHeight="1">
      <x:c r="A142" s="3" t="str">
        <x:v>2202010</x:v>
      </x:c>
      <x:c r="B142" s="3" t="str">
        <x:v>SEC001</x:v>
      </x:c>
      <x:c r="C142" s="3" t="n">
        <x:v>3</x:v>
      </x:c>
      <x:c r="D142" s="3" t="str">
        <x:v>present</x:v>
      </x:c>
      <x:c r="E142" s="5" t="str">
        <x:f>VLOOKUP(B142,Sections!$A$5:$I$45,3,FALSE)</x:f>
        <x:v>2024-1</x:v>
      </x:c>
    </x:row>
    <x:row r="143" ht="21" customHeight="1">
      <x:c r="A143" s="3" t="str">
        <x:v>2202010</x:v>
      </x:c>
      <x:c r="B143" s="3" t="str">
        <x:v>SEC001</x:v>
      </x:c>
      <x:c r="C143" s="3" t="n">
        <x:v>4</x:v>
      </x:c>
      <x:c r="D143" s="3" t="str">
        <x:v>absent</x:v>
      </x:c>
      <x:c r="E143" s="5" t="str">
        <x:f>VLOOKUP(B143,Sections!$A$5:$I$45,3,FALSE)</x:f>
        <x:v>2024-1</x:v>
      </x:c>
    </x:row>
    <x:row r="144" ht="21" customHeight="1">
      <x:c r="A144" s="3" t="str">
        <x:v>2202010</x:v>
      </x:c>
      <x:c r="B144" s="3" t="str">
        <x:v>SEC001</x:v>
      </x:c>
      <x:c r="C144" s="3" t="n">
        <x:v>5</x:v>
      </x:c>
      <x:c r="D144" s="3" t="str">
        <x:v>late</x:v>
      </x:c>
      <x:c r="E144" s="5" t="str">
        <x:f>VLOOKUP(B144,Sections!$A$5:$I$45,3,FALSE)</x:f>
        <x:v>2024-1</x:v>
      </x:c>
    </x:row>
    <x:row r="145" ht="21" customHeight="1">
      <x:c r="A145" s="3" t="str">
        <x:v>2202010</x:v>
      </x:c>
      <x:c r="B145" s="3" t="str">
        <x:v>SEC001</x:v>
      </x:c>
      <x:c r="C145" s="3" t="n">
        <x:v>6</x:v>
      </x:c>
      <x:c r="D145" s="3" t="str">
        <x:v>present</x:v>
      </x:c>
      <x:c r="E145" s="5" t="str">
        <x:f>VLOOKUP(B145,Sections!$A$5:$I$45,3,FALSE)</x:f>
        <x:v>2024-1</x:v>
      </x:c>
    </x:row>
    <x:row r="146" ht="21" customHeight="1">
      <x:c r="A146" s="3" t="str">
        <x:v>2202010</x:v>
      </x:c>
      <x:c r="B146" s="3" t="str">
        <x:v>SEC001</x:v>
      </x:c>
      <x:c r="C146" s="3" t="n">
        <x:v>7</x:v>
      </x:c>
      <x:c r="D146" s="3" t="str">
        <x:v>present</x:v>
      </x:c>
      <x:c r="E146" s="5" t="str">
        <x:f>VLOOKUP(B146,Sections!$A$5:$I$45,3,FALSE)</x:f>
        <x:v>2024-1</x:v>
      </x:c>
    </x:row>
    <x:row r="147" ht="21" customHeight="1">
      <x:c r="A147" s="3" t="str">
        <x:v>2202010</x:v>
      </x:c>
      <x:c r="B147" s="3" t="str">
        <x:v>SEC001</x:v>
      </x:c>
      <x:c r="C147" s="3" t="n">
        <x:v>8</x:v>
      </x:c>
      <x:c r="D147" s="3" t="str">
        <x:v>late</x:v>
      </x:c>
      <x:c r="E147" s="5" t="str">
        <x:f>VLOOKUP(B147,Sections!$A$5:$I$45,3,FALSE)</x:f>
        <x:v>2024-1</x:v>
      </x:c>
    </x:row>
    <x:row r="148" ht="21" customHeight="1">
      <x:c r="A148" s="3" t="str">
        <x:v>2202010</x:v>
      </x:c>
      <x:c r="B148" s="3" t="str">
        <x:v>SEC001</x:v>
      </x:c>
      <x:c r="C148" s="3" t="n">
        <x:v>9</x:v>
      </x:c>
      <x:c r="D148" s="3" t="str">
        <x:v>present</x:v>
      </x:c>
      <x:c r="E148" s="5" t="str">
        <x:f>VLOOKUP(B148,Sections!$A$5:$I$45,3,FALSE)</x:f>
        <x:v>2024-1</x:v>
      </x:c>
    </x:row>
    <x:row r="149" ht="21" customHeight="1">
      <x:c r="A149" s="3" t="str">
        <x:v>2202010</x:v>
      </x:c>
      <x:c r="B149" s="3" t="str">
        <x:v>SEC001</x:v>
      </x:c>
      <x:c r="C149" s="3" t="n">
        <x:v>10</x:v>
      </x:c>
      <x:c r="D149" s="3" t="str">
        <x:v>present</x:v>
      </x:c>
      <x:c r="E149" s="5" t="str">
        <x:f>VLOOKUP(B149,Sections!$A$5:$I$45,3,FALSE)</x:f>
        <x:v>2024-1</x:v>
      </x:c>
    </x:row>
    <x:row r="150" ht="21" customHeight="1">
      <x:c r="A150" s="3" t="str">
        <x:v>2202010</x:v>
      </x:c>
      <x:c r="B150" s="3" t="str">
        <x:v>SEC001</x:v>
      </x:c>
      <x:c r="C150" s="3" t="n">
        <x:v>11</x:v>
      </x:c>
      <x:c r="D150" s="3" t="str">
        <x:v>late</x:v>
      </x:c>
      <x:c r="E150" s="5" t="str">
        <x:f>VLOOKUP(B150,Sections!$A$5:$I$45,3,FALSE)</x:f>
        <x:v>2024-1</x:v>
      </x:c>
    </x:row>
    <x:row r="151" ht="21" customHeight="1">
      <x:c r="A151" s="3" t="str">
        <x:v>2202010</x:v>
      </x:c>
      <x:c r="B151" s="3" t="str">
        <x:v>SEC001</x:v>
      </x:c>
      <x:c r="C151" s="3" t="n">
        <x:v>12</x:v>
      </x:c>
      <x:c r="D151" s="3" t="str">
        <x:v>present</x:v>
      </x:c>
      <x:c r="E151" s="5" t="str">
        <x:f>VLOOKUP(B151,Sections!$A$5:$I$45,3,FALSE)</x:f>
        <x:v>2024-1</x:v>
      </x:c>
    </x:row>
    <x:row r="152" ht="21" customHeight="1">
      <x:c r="A152" s="3" t="str">
        <x:v>2202010</x:v>
      </x:c>
      <x:c r="B152" s="3" t="str">
        <x:v>SEC001</x:v>
      </x:c>
      <x:c r="C152" s="3" t="n">
        <x:v>13</x:v>
      </x:c>
      <x:c r="D152" s="3" t="str">
        <x:v>absent</x:v>
      </x:c>
      <x:c r="E152" s="5" t="str">
        <x:f>VLOOKUP(B152,Sections!$A$5:$I$45,3,FALSE)</x:f>
        <x:v>2024-1</x:v>
      </x:c>
    </x:row>
    <x:row r="153" ht="21" customHeight="1">
      <x:c r="A153" s="3" t="str">
        <x:v>2202010</x:v>
      </x:c>
      <x:c r="B153" s="3" t="str">
        <x:v>SEC001</x:v>
      </x:c>
      <x:c r="C153" s="3" t="n">
        <x:v>14</x:v>
      </x:c>
      <x:c r="D153" s="3" t="str">
        <x:v>absent</x:v>
      </x:c>
      <x:c r="E153" s="5" t="str">
        <x:f>VLOOKUP(B153,Sections!$A$5:$I$45,3,FALSE)</x:f>
        <x:v>2024-1</x:v>
      </x:c>
    </x:row>
    <x:row r="154" ht="21" customHeight="1">
      <x:c r="A154" s="3" t="str">
        <x:v>2202010</x:v>
      </x:c>
      <x:c r="B154" s="3" t="str">
        <x:v>SEC001</x:v>
      </x:c>
      <x:c r="C154" s="3" t="n">
        <x:v>15</x:v>
      </x:c>
      <x:c r="D154" s="3" t="str">
        <x:v>present</x:v>
      </x:c>
      <x:c r="E154" s="5" t="str">
        <x:f>VLOOKUP(B154,Sections!$A$5:$I$45,3,FALSE)</x:f>
        <x:v>2024-1</x:v>
      </x:c>
    </x:row>
    <x:row r="155" ht="21" customHeight="1">
      <x:c r="A155" s="3" t="str">
        <x:v>2202011</x:v>
      </x:c>
      <x:c r="B155" s="3" t="str">
        <x:v>SEC002</x:v>
      </x:c>
      <x:c r="C155" s="3" t="n">
        <x:v>1</x:v>
      </x:c>
      <x:c r="D155" s="3" t="str">
        <x:v>present</x:v>
      </x:c>
      <x:c r="E155" s="5" t="str">
        <x:f>VLOOKUP(B155,Sections!$A$5:$I$45,3,FALSE)</x:f>
        <x:v>2024-1</x:v>
      </x:c>
    </x:row>
    <x:row r="156" ht="21" customHeight="1">
      <x:c r="A156" s="3" t="str">
        <x:v>2202011</x:v>
      </x:c>
      <x:c r="B156" s="3" t="str">
        <x:v>SEC002</x:v>
      </x:c>
      <x:c r="C156" s="3" t="n">
        <x:v>2</x:v>
      </x:c>
      <x:c r="D156" s="3" t="str">
        <x:v>present</x:v>
      </x:c>
      <x:c r="E156" s="5" t="str">
        <x:f>VLOOKUP(B156,Sections!$A$5:$I$45,3,FALSE)</x:f>
        <x:v>2024-1</x:v>
      </x:c>
    </x:row>
    <x:row r="157" ht="21" customHeight="1">
      <x:c r="A157" s="3" t="str">
        <x:v>2202011</x:v>
      </x:c>
      <x:c r="B157" s="3" t="str">
        <x:v>SEC002</x:v>
      </x:c>
      <x:c r="C157" s="3" t="n">
        <x:v>3</x:v>
      </x:c>
      <x:c r="D157" s="3" t="str">
        <x:v>present</x:v>
      </x:c>
      <x:c r="E157" s="5" t="str">
        <x:f>VLOOKUP(B157,Sections!$A$5:$I$45,3,FALSE)</x:f>
        <x:v>2024-1</x:v>
      </x:c>
    </x:row>
    <x:row r="158" ht="21" customHeight="1">
      <x:c r="A158" s="3" t="str">
        <x:v>2202011</x:v>
      </x:c>
      <x:c r="B158" s="3" t="str">
        <x:v>SEC002</x:v>
      </x:c>
      <x:c r="C158" s="3" t="n">
        <x:v>4</x:v>
      </x:c>
      <x:c r="D158" s="3" t="str">
        <x:v>present</x:v>
      </x:c>
      <x:c r="E158" s="5" t="str">
        <x:f>VLOOKUP(B158,Sections!$A$5:$I$45,3,FALSE)</x:f>
        <x:v>2024-1</x:v>
      </x:c>
    </x:row>
    <x:row r="159" ht="21" customHeight="1">
      <x:c r="A159" s="3" t="str">
        <x:v>2202011</x:v>
      </x:c>
      <x:c r="B159" s="3" t="str">
        <x:v>SEC002</x:v>
      </x:c>
      <x:c r="C159" s="3" t="n">
        <x:v>5</x:v>
      </x:c>
      <x:c r="D159" s="3" t="str">
        <x:v>present</x:v>
      </x:c>
      <x:c r="E159" s="5" t="str">
        <x:f>VLOOKUP(B159,Sections!$A$5:$I$45,3,FALSE)</x:f>
        <x:v>2024-1</x:v>
      </x:c>
    </x:row>
    <x:row r="160" ht="21" customHeight="1">
      <x:c r="A160" s="3" t="str">
        <x:v>2202011</x:v>
      </x:c>
      <x:c r="B160" s="3" t="str">
        <x:v>SEC002</x:v>
      </x:c>
      <x:c r="C160" s="3" t="n">
        <x:v>6</x:v>
      </x:c>
      <x:c r="D160" s="3" t="str">
        <x:v>present</x:v>
      </x:c>
      <x:c r="E160" s="5" t="str">
        <x:f>VLOOKUP(B160,Sections!$A$5:$I$45,3,FALSE)</x:f>
        <x:v>2024-1</x:v>
      </x:c>
    </x:row>
    <x:row r="161" ht="21" customHeight="1">
      <x:c r="A161" s="3" t="str">
        <x:v>2202011</x:v>
      </x:c>
      <x:c r="B161" s="3" t="str">
        <x:v>SEC002</x:v>
      </x:c>
      <x:c r="C161" s="3" t="n">
        <x:v>7</x:v>
      </x:c>
      <x:c r="D161" s="3" t="str">
        <x:v>present</x:v>
      </x:c>
      <x:c r="E161" s="5" t="str">
        <x:f>VLOOKUP(B161,Sections!$A$5:$I$45,3,FALSE)</x:f>
        <x:v>2024-1</x:v>
      </x:c>
    </x:row>
    <x:row r="162" ht="21" customHeight="1">
      <x:c r="A162" s="3" t="str">
        <x:v>2202011</x:v>
      </x:c>
      <x:c r="B162" s="3" t="str">
        <x:v>SEC002</x:v>
      </x:c>
      <x:c r="C162" s="3" t="n">
        <x:v>8</x:v>
      </x:c>
      <x:c r="D162" s="3" t="str">
        <x:v>present</x:v>
      </x:c>
      <x:c r="E162" s="5" t="str">
        <x:f>VLOOKUP(B162,Sections!$A$5:$I$45,3,FALSE)</x:f>
        <x:v>2024-1</x:v>
      </x:c>
    </x:row>
    <x:row r="163" ht="21" customHeight="1">
      <x:c r="A163" s="3" t="str">
        <x:v>2202011</x:v>
      </x:c>
      <x:c r="B163" s="3" t="str">
        <x:v>SEC002</x:v>
      </x:c>
      <x:c r="C163" s="3" t="n">
        <x:v>9</x:v>
      </x:c>
      <x:c r="D163" s="3" t="str">
        <x:v>present</x:v>
      </x:c>
      <x:c r="E163" s="5" t="str">
        <x:f>VLOOKUP(B163,Sections!$A$5:$I$45,3,FALSE)</x:f>
        <x:v>2024-1</x:v>
      </x:c>
    </x:row>
    <x:row r="164" ht="21" customHeight="1">
      <x:c r="A164" s="3" t="str">
        <x:v>2202011</x:v>
      </x:c>
      <x:c r="B164" s="3" t="str">
        <x:v>SEC002</x:v>
      </x:c>
      <x:c r="C164" s="3" t="n">
        <x:v>10</x:v>
      </x:c>
      <x:c r="D164" s="3" t="str">
        <x:v>present</x:v>
      </x:c>
      <x:c r="E164" s="5" t="str">
        <x:f>VLOOKUP(B164,Sections!$A$5:$I$45,3,FALSE)</x:f>
        <x:v>2024-1</x:v>
      </x:c>
    </x:row>
    <x:row r="165" ht="21" customHeight="1">
      <x:c r="A165" s="3" t="str">
        <x:v>2202011</x:v>
      </x:c>
      <x:c r="B165" s="3" t="str">
        <x:v>SEC002</x:v>
      </x:c>
      <x:c r="C165" s="3" t="n">
        <x:v>11</x:v>
      </x:c>
      <x:c r="D165" s="3" t="str">
        <x:v>present</x:v>
      </x:c>
      <x:c r="E165" s="5" t="str">
        <x:f>VLOOKUP(B165,Sections!$A$5:$I$45,3,FALSE)</x:f>
        <x:v>2024-1</x:v>
      </x:c>
    </x:row>
    <x:row r="166" ht="21" customHeight="1">
      <x:c r="A166" s="3" t="str">
        <x:v>2202011</x:v>
      </x:c>
      <x:c r="B166" s="3" t="str">
        <x:v>SEC002</x:v>
      </x:c>
      <x:c r="C166" s="3" t="n">
        <x:v>12</x:v>
      </x:c>
      <x:c r="D166" s="3" t="str">
        <x:v>present</x:v>
      </x:c>
      <x:c r="E166" s="5" t="str">
        <x:f>VLOOKUP(B166,Sections!$A$5:$I$45,3,FALSE)</x:f>
        <x:v>2024-1</x:v>
      </x:c>
    </x:row>
    <x:row r="167" ht="21" customHeight="1">
      <x:c r="A167" s="3" t="str">
        <x:v>2202011</x:v>
      </x:c>
      <x:c r="B167" s="3" t="str">
        <x:v>SEC002</x:v>
      </x:c>
      <x:c r="C167" s="3" t="n">
        <x:v>13</x:v>
      </x:c>
      <x:c r="D167" s="3" t="str">
        <x:v>present</x:v>
      </x:c>
      <x:c r="E167" s="5" t="str">
        <x:f>VLOOKUP(B167,Sections!$A$5:$I$45,3,FALSE)</x:f>
        <x:v>2024-1</x:v>
      </x:c>
    </x:row>
    <x:row r="168" ht="21" customHeight="1">
      <x:c r="A168" s="3" t="str">
        <x:v>2202011</x:v>
      </x:c>
      <x:c r="B168" s="3" t="str">
        <x:v>SEC002</x:v>
      </x:c>
      <x:c r="C168" s="3" t="n">
        <x:v>14</x:v>
      </x:c>
      <x:c r="D168" s="3" t="str">
        <x:v>present</x:v>
      </x:c>
      <x:c r="E168" s="5" t="str">
        <x:f>VLOOKUP(B168,Sections!$A$5:$I$45,3,FALSE)</x:f>
        <x:v>2024-1</x:v>
      </x:c>
    </x:row>
    <x:row r="169" ht="21" customHeight="1">
      <x:c r="A169" s="3" t="str">
        <x:v>2202011</x:v>
      </x:c>
      <x:c r="B169" s="3" t="str">
        <x:v>SEC002</x:v>
      </x:c>
      <x:c r="C169" s="3" t="n">
        <x:v>15</x:v>
      </x:c>
      <x:c r="D169" s="3" t="str">
        <x:v>present</x:v>
      </x:c>
      <x:c r="E169" s="5" t="str">
        <x:f>VLOOKUP(B169,Sections!$A$5:$I$45,3,FALSE)</x:f>
        <x:v>2024-1</x:v>
      </x:c>
    </x:row>
    <x:row r="170" ht="21" customHeight="1">
      <x:c r="A170" s="3" t="str">
        <x:v>2202012</x:v>
      </x:c>
      <x:c r="B170" s="3" t="str">
        <x:v>SEC002</x:v>
      </x:c>
      <x:c r="C170" s="3" t="n">
        <x:v>1</x:v>
      </x:c>
      <x:c r="D170" s="3" t="str">
        <x:v>excused</x:v>
      </x:c>
      <x:c r="E170" s="5" t="str">
        <x:f>VLOOKUP(B170,Sections!$A$5:$I$45,3,FALSE)</x:f>
        <x:v>2024-1</x:v>
      </x:c>
    </x:row>
    <x:row r="171" ht="21" customHeight="1">
      <x:c r="A171" s="3" t="str">
        <x:v>2202012</x:v>
      </x:c>
      <x:c r="B171" s="3" t="str">
        <x:v>SEC002</x:v>
      </x:c>
      <x:c r="C171" s="3" t="n">
        <x:v>2</x:v>
      </x:c>
      <x:c r="D171" s="3" t="str">
        <x:v>late</x:v>
      </x:c>
      <x:c r="E171" s="5" t="str">
        <x:f>VLOOKUP(B171,Sections!$A$5:$I$45,3,FALSE)</x:f>
        <x:v>2024-1</x:v>
      </x:c>
    </x:row>
    <x:row r="172" ht="21" customHeight="1">
      <x:c r="A172" s="3" t="str">
        <x:v>2202012</x:v>
      </x:c>
      <x:c r="B172" s="3" t="str">
        <x:v>SEC002</x:v>
      </x:c>
      <x:c r="C172" s="3" t="n">
        <x:v>3</x:v>
      </x:c>
      <x:c r="D172" s="3" t="str">
        <x:v>present</x:v>
      </x:c>
      <x:c r="E172" s="5" t="str">
        <x:f>VLOOKUP(B172,Sections!$A$5:$I$45,3,FALSE)</x:f>
        <x:v>2024-1</x:v>
      </x:c>
    </x:row>
    <x:row r="173" ht="21" customHeight="1">
      <x:c r="A173" s="3" t="str">
        <x:v>2202012</x:v>
      </x:c>
      <x:c r="B173" s="3" t="str">
        <x:v>SEC002</x:v>
      </x:c>
      <x:c r="C173" s="3" t="n">
        <x:v>4</x:v>
      </x:c>
      <x:c r="D173" s="3" t="str">
        <x:v>present</x:v>
      </x:c>
      <x:c r="E173" s="5" t="str">
        <x:f>VLOOKUP(B173,Sections!$A$5:$I$45,3,FALSE)</x:f>
        <x:v>2024-1</x:v>
      </x:c>
    </x:row>
    <x:row r="174" ht="21" customHeight="1">
      <x:c r="A174" s="3" t="str">
        <x:v>2202012</x:v>
      </x:c>
      <x:c r="B174" s="3" t="str">
        <x:v>SEC002</x:v>
      </x:c>
      <x:c r="C174" s="3" t="n">
        <x:v>5</x:v>
      </x:c>
      <x:c r="D174" s="3" t="str">
        <x:v>present</x:v>
      </x:c>
      <x:c r="E174" s="5" t="str">
        <x:f>VLOOKUP(B174,Sections!$A$5:$I$45,3,FALSE)</x:f>
        <x:v>2024-1</x:v>
      </x:c>
    </x:row>
    <x:row r="175" ht="21" customHeight="1">
      <x:c r="A175" s="3" t="str">
        <x:v>2202012</x:v>
      </x:c>
      <x:c r="B175" s="3" t="str">
        <x:v>SEC002</x:v>
      </x:c>
      <x:c r="C175" s="3" t="n">
        <x:v>6</x:v>
      </x:c>
      <x:c r="D175" s="3" t="str">
        <x:v>present</x:v>
      </x:c>
      <x:c r="E175" s="5" t="str">
        <x:f>VLOOKUP(B175,Sections!$A$5:$I$45,3,FALSE)</x:f>
        <x:v>2024-1</x:v>
      </x:c>
    </x:row>
    <x:row r="176" ht="21" customHeight="1">
      <x:c r="A176" s="3" t="str">
        <x:v>2202012</x:v>
      </x:c>
      <x:c r="B176" s="3" t="str">
        <x:v>SEC002</x:v>
      </x:c>
      <x:c r="C176" s="3" t="n">
        <x:v>7</x:v>
      </x:c>
      <x:c r="D176" s="3" t="str">
        <x:v>present</x:v>
      </x:c>
      <x:c r="E176" s="5" t="str">
        <x:f>VLOOKUP(B176,Sections!$A$5:$I$45,3,FALSE)</x:f>
        <x:v>2024-1</x:v>
      </x:c>
    </x:row>
    <x:row r="177" ht="21" customHeight="1">
      <x:c r="A177" s="3" t="str">
        <x:v>2202012</x:v>
      </x:c>
      <x:c r="B177" s="3" t="str">
        <x:v>SEC002</x:v>
      </x:c>
      <x:c r="C177" s="3" t="n">
        <x:v>8</x:v>
      </x:c>
      <x:c r="D177" s="3" t="str">
        <x:v>present</x:v>
      </x:c>
      <x:c r="E177" s="5" t="str">
        <x:f>VLOOKUP(B177,Sections!$A$5:$I$45,3,FALSE)</x:f>
        <x:v>2024-1</x:v>
      </x:c>
    </x:row>
    <x:row r="178" ht="21" customHeight="1">
      <x:c r="A178" s="3" t="str">
        <x:v>2202012</x:v>
      </x:c>
      <x:c r="B178" s="3" t="str">
        <x:v>SEC002</x:v>
      </x:c>
      <x:c r="C178" s="3" t="n">
        <x:v>9</x:v>
      </x:c>
      <x:c r="D178" s="3" t="str">
        <x:v>present</x:v>
      </x:c>
      <x:c r="E178" s="5" t="str">
        <x:f>VLOOKUP(B178,Sections!$A$5:$I$45,3,FALSE)</x:f>
        <x:v>2024-1</x:v>
      </x:c>
    </x:row>
    <x:row r="179" ht="21" customHeight="1">
      <x:c r="A179" s="3" t="str">
        <x:v>2202012</x:v>
      </x:c>
      <x:c r="B179" s="3" t="str">
        <x:v>SEC002</x:v>
      </x:c>
      <x:c r="C179" s="3" t="n">
        <x:v>10</x:v>
      </x:c>
      <x:c r="D179" s="3" t="str">
        <x:v>excused</x:v>
      </x:c>
      <x:c r="E179" s="5" t="str">
        <x:f>VLOOKUP(B179,Sections!$A$5:$I$45,3,FALSE)</x:f>
        <x:v>2024-1</x:v>
      </x:c>
    </x:row>
    <x:row r="180" ht="21" customHeight="1">
      <x:c r="A180" s="3" t="str">
        <x:v>2202012</x:v>
      </x:c>
      <x:c r="B180" s="3" t="str">
        <x:v>SEC002</x:v>
      </x:c>
      <x:c r="C180" s="3" t="n">
        <x:v>11</x:v>
      </x:c>
      <x:c r="D180" s="3" t="str">
        <x:v>present</x:v>
      </x:c>
      <x:c r="E180" s="5" t="str">
        <x:f>VLOOKUP(B180,Sections!$A$5:$I$45,3,FALSE)</x:f>
        <x:v>2024-1</x:v>
      </x:c>
    </x:row>
    <x:row r="181" ht="21" customHeight="1">
      <x:c r="A181" s="3" t="str">
        <x:v>2202012</x:v>
      </x:c>
      <x:c r="B181" s="3" t="str">
        <x:v>SEC002</x:v>
      </x:c>
      <x:c r="C181" s="3" t="n">
        <x:v>12</x:v>
      </x:c>
      <x:c r="D181" s="3" t="str">
        <x:v>present</x:v>
      </x:c>
      <x:c r="E181" s="5" t="str">
        <x:f>VLOOKUP(B181,Sections!$A$5:$I$45,3,FALSE)</x:f>
        <x:v>2024-1</x:v>
      </x:c>
    </x:row>
    <x:row r="182" ht="21" customHeight="1">
      <x:c r="A182" s="3" t="str">
        <x:v>2202012</x:v>
      </x:c>
      <x:c r="B182" s="3" t="str">
        <x:v>SEC002</x:v>
      </x:c>
      <x:c r="C182" s="3" t="n">
        <x:v>13</x:v>
      </x:c>
      <x:c r="D182" s="3" t="str">
        <x:v>absent</x:v>
      </x:c>
      <x:c r="E182" s="5" t="str">
        <x:f>VLOOKUP(B182,Sections!$A$5:$I$45,3,FALSE)</x:f>
        <x:v>2024-1</x:v>
      </x:c>
    </x:row>
    <x:row r="183" ht="21" customHeight="1">
      <x:c r="A183" s="3" t="str">
        <x:v>2202012</x:v>
      </x:c>
      <x:c r="B183" s="3" t="str">
        <x:v>SEC002</x:v>
      </x:c>
      <x:c r="C183" s="3" t="n">
        <x:v>14</x:v>
      </x:c>
      <x:c r="D183" s="3" t="str">
        <x:v>absent</x:v>
      </x:c>
      <x:c r="E183" s="5" t="str">
        <x:f>VLOOKUP(B183,Sections!$A$5:$I$45,3,FALSE)</x:f>
        <x:v>2024-1</x:v>
      </x:c>
    </x:row>
    <x:row r="184" ht="21" customHeight="1">
      <x:c r="A184" s="3" t="str">
        <x:v>2202012</x:v>
      </x:c>
      <x:c r="B184" s="3" t="str">
        <x:v>SEC002</x:v>
      </x:c>
      <x:c r="C184" s="3" t="n">
        <x:v>15</x:v>
      </x:c>
      <x:c r="D184" s="3" t="str">
        <x:v>present</x:v>
      </x:c>
      <x:c r="E184" s="5" t="str">
        <x:f>VLOOKUP(B184,Sections!$A$5:$I$45,3,FALSE)</x:f>
        <x:v>2024-1</x:v>
      </x:c>
    </x:row>
    <x:row r="185" ht="21" customHeight="1">
      <x:c r="A185" s="3" t="str">
        <x:v>2202013</x:v>
      </x:c>
      <x:c r="B185" s="3" t="str">
        <x:v>SEC002</x:v>
      </x:c>
      <x:c r="C185" s="3" t="n">
        <x:v>1</x:v>
      </x:c>
      <x:c r="D185" s="3" t="str">
        <x:v>present</x:v>
      </x:c>
      <x:c r="E185" s="5" t="str">
        <x:f>VLOOKUP(B185,Sections!$A$5:$I$45,3,FALSE)</x:f>
        <x:v>2024-1</x:v>
      </x:c>
    </x:row>
    <x:row r="186" ht="21" customHeight="1">
      <x:c r="A186" s="3" t="str">
        <x:v>2202013</x:v>
      </x:c>
      <x:c r="B186" s="3" t="str">
        <x:v>SEC002</x:v>
      </x:c>
      <x:c r="C186" s="3" t="n">
        <x:v>2</x:v>
      </x:c>
      <x:c r="D186" s="3" t="str">
        <x:v>present</x:v>
      </x:c>
      <x:c r="E186" s="5" t="str">
        <x:f>VLOOKUP(B186,Sections!$A$5:$I$45,3,FALSE)</x:f>
        <x:v>2024-1</x:v>
      </x:c>
    </x:row>
    <x:row r="187" ht="21" customHeight="1">
      <x:c r="A187" s="3" t="str">
        <x:v>2202013</x:v>
      </x:c>
      <x:c r="B187" s="3" t="str">
        <x:v>SEC002</x:v>
      </x:c>
      <x:c r="C187" s="3" t="n">
        <x:v>3</x:v>
      </x:c>
      <x:c r="D187" s="3" t="str">
        <x:v>absent</x:v>
      </x:c>
      <x:c r="E187" s="5" t="str">
        <x:f>VLOOKUP(B187,Sections!$A$5:$I$45,3,FALSE)</x:f>
        <x:v>2024-1</x:v>
      </x:c>
    </x:row>
    <x:row r="188" ht="21" customHeight="1">
      <x:c r="A188" s="3" t="str">
        <x:v>2202013</x:v>
      </x:c>
      <x:c r="B188" s="3" t="str">
        <x:v>SEC002</x:v>
      </x:c>
      <x:c r="C188" s="3" t="n">
        <x:v>4</x:v>
      </x:c>
      <x:c r="D188" s="3" t="str">
        <x:v>present</x:v>
      </x:c>
      <x:c r="E188" s="5" t="str">
        <x:f>VLOOKUP(B188,Sections!$A$5:$I$45,3,FALSE)</x:f>
        <x:v>2024-1</x:v>
      </x:c>
    </x:row>
    <x:row r="189" ht="21" customHeight="1">
      <x:c r="A189" s="3" t="str">
        <x:v>2202013</x:v>
      </x:c>
      <x:c r="B189" s="3" t="str">
        <x:v>SEC002</x:v>
      </x:c>
      <x:c r="C189" s="3" t="n">
        <x:v>5</x:v>
      </x:c>
      <x:c r="D189" s="3" t="str">
        <x:v>absent</x:v>
      </x:c>
      <x:c r="E189" s="5" t="str">
        <x:f>VLOOKUP(B189,Sections!$A$5:$I$45,3,FALSE)</x:f>
        <x:v>2024-1</x:v>
      </x:c>
    </x:row>
    <x:row r="190" ht="21" customHeight="1">
      <x:c r="A190" s="3" t="str">
        <x:v>2202013</x:v>
      </x:c>
      <x:c r="B190" s="3" t="str">
        <x:v>SEC002</x:v>
      </x:c>
      <x:c r="C190" s="3" t="n">
        <x:v>6</x:v>
      </x:c>
      <x:c r="D190" s="3" t="str">
        <x:v>present</x:v>
      </x:c>
      <x:c r="E190" s="5" t="str">
        <x:f>VLOOKUP(B190,Sections!$A$5:$I$45,3,FALSE)</x:f>
        <x:v>2024-1</x:v>
      </x:c>
    </x:row>
    <x:row r="191" ht="21" customHeight="1">
      <x:c r="A191" s="3" t="str">
        <x:v>2202013</x:v>
      </x:c>
      <x:c r="B191" s="3" t="str">
        <x:v>SEC002</x:v>
      </x:c>
      <x:c r="C191" s="3" t="n">
        <x:v>7</x:v>
      </x:c>
      <x:c r="D191" s="3" t="str">
        <x:v>present</x:v>
      </x:c>
      <x:c r="E191" s="5" t="str">
        <x:f>VLOOKUP(B191,Sections!$A$5:$I$45,3,FALSE)</x:f>
        <x:v>2024-1</x:v>
      </x:c>
    </x:row>
    <x:row r="192" ht="21" customHeight="1">
      <x:c r="A192" s="3" t="str">
        <x:v>2202013</x:v>
      </x:c>
      <x:c r="B192" s="3" t="str">
        <x:v>SEC002</x:v>
      </x:c>
      <x:c r="C192" s="3" t="n">
        <x:v>8</x:v>
      </x:c>
      <x:c r="D192" s="3" t="str">
        <x:v>present</x:v>
      </x:c>
      <x:c r="E192" s="5" t="str">
        <x:f>VLOOKUP(B192,Sections!$A$5:$I$45,3,FALSE)</x:f>
        <x:v>2024-1</x:v>
      </x:c>
    </x:row>
    <x:row r="193" ht="21" customHeight="1">
      <x:c r="A193" s="3" t="str">
        <x:v>2202013</x:v>
      </x:c>
      <x:c r="B193" s="3" t="str">
        <x:v>SEC002</x:v>
      </x:c>
      <x:c r="C193" s="3" t="n">
        <x:v>9</x:v>
      </x:c>
      <x:c r="D193" s="3" t="str">
        <x:v>present</x:v>
      </x:c>
      <x:c r="E193" s="5" t="str">
        <x:f>VLOOKUP(B193,Sections!$A$5:$I$45,3,FALSE)</x:f>
        <x:v>2024-1</x:v>
      </x:c>
    </x:row>
    <x:row r="194" ht="21" customHeight="1">
      <x:c r="A194" s="3" t="str">
        <x:v>2202013</x:v>
      </x:c>
      <x:c r="B194" s="3" t="str">
        <x:v>SEC002</x:v>
      </x:c>
      <x:c r="C194" s="3" t="n">
        <x:v>10</x:v>
      </x:c>
      <x:c r="D194" s="3" t="str">
        <x:v>present</x:v>
      </x:c>
      <x:c r="E194" s="5" t="str">
        <x:f>VLOOKUP(B194,Sections!$A$5:$I$45,3,FALSE)</x:f>
        <x:v>2024-1</x:v>
      </x:c>
    </x:row>
    <x:row r="195" ht="21" customHeight="1">
      <x:c r="A195" s="3" t="str">
        <x:v>2202013</x:v>
      </x:c>
      <x:c r="B195" s="3" t="str">
        <x:v>SEC002</x:v>
      </x:c>
      <x:c r="C195" s="3" t="n">
        <x:v>11</x:v>
      </x:c>
      <x:c r="D195" s="3" t="str">
        <x:v>present</x:v>
      </x:c>
      <x:c r="E195" s="5" t="str">
        <x:f>VLOOKUP(B195,Sections!$A$5:$I$45,3,FALSE)</x:f>
        <x:v>2024-1</x:v>
      </x:c>
    </x:row>
    <x:row r="196" ht="21" customHeight="1">
      <x:c r="A196" s="3" t="str">
        <x:v>2202013</x:v>
      </x:c>
      <x:c r="B196" s="3" t="str">
        <x:v>SEC002</x:v>
      </x:c>
      <x:c r="C196" s="3" t="n">
        <x:v>12</x:v>
      </x:c>
      <x:c r="D196" s="3" t="str">
        <x:v>present</x:v>
      </x:c>
      <x:c r="E196" s="5" t="str">
        <x:f>VLOOKUP(B196,Sections!$A$5:$I$45,3,FALSE)</x:f>
        <x:v>2024-1</x:v>
      </x:c>
    </x:row>
    <x:row r="197" ht="21" customHeight="1">
      <x:c r="A197" s="3" t="str">
        <x:v>2202013</x:v>
      </x:c>
      <x:c r="B197" s="3" t="str">
        <x:v>SEC002</x:v>
      </x:c>
      <x:c r="C197" s="3" t="n">
        <x:v>13</x:v>
      </x:c>
      <x:c r="D197" s="3" t="str">
        <x:v>present</x:v>
      </x:c>
      <x:c r="E197" s="5" t="str">
        <x:f>VLOOKUP(B197,Sections!$A$5:$I$45,3,FALSE)</x:f>
        <x:v>2024-1</x:v>
      </x:c>
    </x:row>
    <x:row r="198" ht="21" customHeight="1">
      <x:c r="A198" s="3" t="str">
        <x:v>2202013</x:v>
      </x:c>
      <x:c r="B198" s="3" t="str">
        <x:v>SEC002</x:v>
      </x:c>
      <x:c r="C198" s="3" t="n">
        <x:v>14</x:v>
      </x:c>
      <x:c r="D198" s="3" t="str">
        <x:v>present</x:v>
      </x:c>
      <x:c r="E198" s="5" t="str">
        <x:f>VLOOKUP(B198,Sections!$A$5:$I$45,3,FALSE)</x:f>
        <x:v>2024-1</x:v>
      </x:c>
    </x:row>
    <x:row r="199" ht="21" customHeight="1">
      <x:c r="A199" s="3" t="str">
        <x:v>2202013</x:v>
      </x:c>
      <x:c r="B199" s="3" t="str">
        <x:v>SEC002</x:v>
      </x:c>
      <x:c r="C199" s="3" t="n">
        <x:v>15</x:v>
      </x:c>
      <x:c r="D199" s="3" t="str">
        <x:v>present</x:v>
      </x:c>
      <x:c r="E199" s="5" t="str">
        <x:f>VLOOKUP(B199,Sections!$A$5:$I$45,3,FALSE)</x:f>
        <x:v>2024-1</x:v>
      </x:c>
    </x:row>
    <x:row r="200" ht="21" customHeight="1">
      <x:c r="A200" s="3" t="str">
        <x:v>2202014</x:v>
      </x:c>
      <x:c r="B200" s="3" t="str">
        <x:v>SEC002</x:v>
      </x:c>
      <x:c r="C200" s="3" t="n">
        <x:v>1</x:v>
      </x:c>
      <x:c r="D200" s="3" t="str">
        <x:v>present</x:v>
      </x:c>
      <x:c r="E200" s="5" t="str">
        <x:f>VLOOKUP(B200,Sections!$A$5:$I$45,3,FALSE)</x:f>
        <x:v>2024-1</x:v>
      </x:c>
    </x:row>
    <x:row r="201" ht="21" customHeight="1">
      <x:c r="A201" s="3" t="str">
        <x:v>2202014</x:v>
      </x:c>
      <x:c r="B201" s="3" t="str">
        <x:v>SEC002</x:v>
      </x:c>
      <x:c r="C201" s="3" t="n">
        <x:v>2</x:v>
      </x:c>
      <x:c r="D201" s="3" t="str">
        <x:v>present</x:v>
      </x:c>
      <x:c r="E201" s="5" t="str">
        <x:f>VLOOKUP(B201,Sections!$A$5:$I$45,3,FALSE)</x:f>
        <x:v>2024-1</x:v>
      </x:c>
    </x:row>
    <x:row r="202" ht="21" customHeight="1">
      <x:c r="A202" s="3" t="str">
        <x:v>2202014</x:v>
      </x:c>
      <x:c r="B202" s="3" t="str">
        <x:v>SEC002</x:v>
      </x:c>
      <x:c r="C202" s="3" t="n">
        <x:v>3</x:v>
      </x:c>
      <x:c r="D202" s="3" t="str">
        <x:v>excused</x:v>
      </x:c>
      <x:c r="E202" s="5" t="str">
        <x:f>VLOOKUP(B202,Sections!$A$5:$I$45,3,FALSE)</x:f>
        <x:v>2024-1</x:v>
      </x:c>
    </x:row>
    <x:row r="203" ht="21" customHeight="1">
      <x:c r="A203" s="3" t="str">
        <x:v>2202014</x:v>
      </x:c>
      <x:c r="B203" s="3" t="str">
        <x:v>SEC002</x:v>
      </x:c>
      <x:c r="C203" s="3" t="n">
        <x:v>4</x:v>
      </x:c>
      <x:c r="D203" s="3" t="str">
        <x:v>present</x:v>
      </x:c>
      <x:c r="E203" s="5" t="str">
        <x:f>VLOOKUP(B203,Sections!$A$5:$I$45,3,FALSE)</x:f>
        <x:v>2024-1</x:v>
      </x:c>
    </x:row>
    <x:row r="204" ht="21" customHeight="1">
      <x:c r="A204" s="3" t="str">
        <x:v>2202014</x:v>
      </x:c>
      <x:c r="B204" s="3" t="str">
        <x:v>SEC002</x:v>
      </x:c>
      <x:c r="C204" s="3" t="n">
        <x:v>5</x:v>
      </x:c>
      <x:c r="D204" s="3" t="str">
        <x:v>present</x:v>
      </x:c>
      <x:c r="E204" s="5" t="str">
        <x:f>VLOOKUP(B204,Sections!$A$5:$I$45,3,FALSE)</x:f>
        <x:v>2024-1</x:v>
      </x:c>
    </x:row>
    <x:row r="205" ht="21" customHeight="1">
      <x:c r="A205" s="3" t="str">
        <x:v>2202014</x:v>
      </x:c>
      <x:c r="B205" s="3" t="str">
        <x:v>SEC002</x:v>
      </x:c>
      <x:c r="C205" s="3" t="n">
        <x:v>6</x:v>
      </x:c>
      <x:c r="D205" s="3" t="str">
        <x:v>present</x:v>
      </x:c>
      <x:c r="E205" s="5" t="str">
        <x:f>VLOOKUP(B205,Sections!$A$5:$I$45,3,FALSE)</x:f>
        <x:v>2024-1</x:v>
      </x:c>
    </x:row>
    <x:row r="206" ht="21" customHeight="1">
      <x:c r="A206" s="3" t="str">
        <x:v>2202014</x:v>
      </x:c>
      <x:c r="B206" s="3" t="str">
        <x:v>SEC002</x:v>
      </x:c>
      <x:c r="C206" s="3" t="n">
        <x:v>7</x:v>
      </x:c>
      <x:c r="D206" s="3" t="str">
        <x:v>present</x:v>
      </x:c>
      <x:c r="E206" s="5" t="str">
        <x:f>VLOOKUP(B206,Sections!$A$5:$I$45,3,FALSE)</x:f>
        <x:v>2024-1</x:v>
      </x:c>
    </x:row>
    <x:row r="207" ht="21" customHeight="1">
      <x:c r="A207" s="3" t="str">
        <x:v>2202014</x:v>
      </x:c>
      <x:c r="B207" s="3" t="str">
        <x:v>SEC002</x:v>
      </x:c>
      <x:c r="C207" s="3" t="n">
        <x:v>8</x:v>
      </x:c>
      <x:c r="D207" s="3" t="str">
        <x:v>present</x:v>
      </x:c>
      <x:c r="E207" s="5" t="str">
        <x:f>VLOOKUP(B207,Sections!$A$5:$I$45,3,FALSE)</x:f>
        <x:v>2024-1</x:v>
      </x:c>
    </x:row>
    <x:row r="208" ht="21" customHeight="1">
      <x:c r="A208" s="3" t="str">
        <x:v>2202014</x:v>
      </x:c>
      <x:c r="B208" s="3" t="str">
        <x:v>SEC002</x:v>
      </x:c>
      <x:c r="C208" s="3" t="n">
        <x:v>9</x:v>
      </x:c>
      <x:c r="D208" s="3" t="str">
        <x:v>present</x:v>
      </x:c>
      <x:c r="E208" s="5" t="str">
        <x:f>VLOOKUP(B208,Sections!$A$5:$I$45,3,FALSE)</x:f>
        <x:v>2024-1</x:v>
      </x:c>
    </x:row>
    <x:row r="209" ht="21" customHeight="1">
      <x:c r="A209" s="3" t="str">
        <x:v>2202014</x:v>
      </x:c>
      <x:c r="B209" s="3" t="str">
        <x:v>SEC002</x:v>
      </x:c>
      <x:c r="C209" s="3" t="n">
        <x:v>10</x:v>
      </x:c>
      <x:c r="D209" s="3" t="str">
        <x:v>present</x:v>
      </x:c>
      <x:c r="E209" s="5" t="str">
        <x:f>VLOOKUP(B209,Sections!$A$5:$I$45,3,FALSE)</x:f>
        <x:v>2024-1</x:v>
      </x:c>
    </x:row>
    <x:row r="210" ht="21" customHeight="1">
      <x:c r="A210" s="3" t="str">
        <x:v>2202014</x:v>
      </x:c>
      <x:c r="B210" s="3" t="str">
        <x:v>SEC002</x:v>
      </x:c>
      <x:c r="C210" s="3" t="n">
        <x:v>11</x:v>
      </x:c>
      <x:c r="D210" s="3" t="str">
        <x:v>absent</x:v>
      </x:c>
      <x:c r="E210" s="5" t="str">
        <x:f>VLOOKUP(B210,Sections!$A$5:$I$45,3,FALSE)</x:f>
        <x:v>2024-1</x:v>
      </x:c>
    </x:row>
    <x:row r="211" ht="21" customHeight="1">
      <x:c r="A211" s="3" t="str">
        <x:v>2202014</x:v>
      </x:c>
      <x:c r="B211" s="3" t="str">
        <x:v>SEC002</x:v>
      </x:c>
      <x:c r="C211" s="3" t="n">
        <x:v>12</x:v>
      </x:c>
      <x:c r="D211" s="3" t="str">
        <x:v>present</x:v>
      </x:c>
      <x:c r="E211" s="5" t="str">
        <x:f>VLOOKUP(B211,Sections!$A$5:$I$45,3,FALSE)</x:f>
        <x:v>2024-1</x:v>
      </x:c>
    </x:row>
    <x:row r="212" ht="21" customHeight="1">
      <x:c r="A212" s="3" t="str">
        <x:v>2202014</x:v>
      </x:c>
      <x:c r="B212" s="3" t="str">
        <x:v>SEC002</x:v>
      </x:c>
      <x:c r="C212" s="3" t="n">
        <x:v>13</x:v>
      </x:c>
      <x:c r="D212" s="3" t="str">
        <x:v>absent</x:v>
      </x:c>
      <x:c r="E212" s="5" t="str">
        <x:f>VLOOKUP(B212,Sections!$A$5:$I$45,3,FALSE)</x:f>
        <x:v>2024-1</x:v>
      </x:c>
    </x:row>
    <x:row r="213" ht="21" customHeight="1">
      <x:c r="A213" s="3" t="str">
        <x:v>2202014</x:v>
      </x:c>
      <x:c r="B213" s="3" t="str">
        <x:v>SEC002</x:v>
      </x:c>
      <x:c r="C213" s="3" t="n">
        <x:v>14</x:v>
      </x:c>
      <x:c r="D213" s="3" t="str">
        <x:v>present</x:v>
      </x:c>
      <x:c r="E213" s="5" t="str">
        <x:f>VLOOKUP(B213,Sections!$A$5:$I$45,3,FALSE)</x:f>
        <x:v>2024-1</x:v>
      </x:c>
    </x:row>
    <x:row r="214" ht="21" customHeight="1">
      <x:c r="A214" s="3" t="str">
        <x:v>2202014</x:v>
      </x:c>
      <x:c r="B214" s="3" t="str">
        <x:v>SEC002</x:v>
      </x:c>
      <x:c r="C214" s="3" t="n">
        <x:v>15</x:v>
      </x:c>
      <x:c r="D214" s="3" t="str">
        <x:v>present</x:v>
      </x:c>
      <x:c r="E214" s="5" t="str">
        <x:f>VLOOKUP(B214,Sections!$A$5:$I$45,3,FALSE)</x:f>
        <x:v>2024-1</x:v>
      </x:c>
    </x:row>
    <x:row r="215" ht="21" customHeight="1">
      <x:c r="A215" s="3" t="str">
        <x:v>2202015</x:v>
      </x:c>
      <x:c r="B215" s="3" t="str">
        <x:v>SEC002</x:v>
      </x:c>
      <x:c r="C215" s="3" t="n">
        <x:v>1</x:v>
      </x:c>
      <x:c r="D215" s="3" t="str">
        <x:v>present</x:v>
      </x:c>
      <x:c r="E215" s="5" t="str">
        <x:f>VLOOKUP(B215,Sections!$A$5:$I$45,3,FALSE)</x:f>
        <x:v>2024-1</x:v>
      </x:c>
    </x:row>
    <x:row r="216" ht="21" customHeight="1">
      <x:c r="A216" s="3" t="str">
        <x:v>2202015</x:v>
      </x:c>
      <x:c r="B216" s="3" t="str">
        <x:v>SEC002</x:v>
      </x:c>
      <x:c r="C216" s="3" t="n">
        <x:v>2</x:v>
      </x:c>
      <x:c r="D216" s="3" t="str">
        <x:v>excused</x:v>
      </x:c>
      <x:c r="E216" s="5" t="str">
        <x:f>VLOOKUP(B216,Sections!$A$5:$I$45,3,FALSE)</x:f>
        <x:v>2024-1</x:v>
      </x:c>
    </x:row>
    <x:row r="217" ht="21" customHeight="1">
      <x:c r="A217" s="3" t="str">
        <x:v>2202015</x:v>
      </x:c>
      <x:c r="B217" s="3" t="str">
        <x:v>SEC002</x:v>
      </x:c>
      <x:c r="C217" s="3" t="n">
        <x:v>3</x:v>
      </x:c>
      <x:c r="D217" s="3" t="str">
        <x:v>late</x:v>
      </x:c>
      <x:c r="E217" s="5" t="str">
        <x:f>VLOOKUP(B217,Sections!$A$5:$I$45,3,FALSE)</x:f>
        <x:v>2024-1</x:v>
      </x:c>
    </x:row>
    <x:row r="218" ht="21" customHeight="1">
      <x:c r="A218" s="3" t="str">
        <x:v>2202015</x:v>
      </x:c>
      <x:c r="B218" s="3" t="str">
        <x:v>SEC002</x:v>
      </x:c>
      <x:c r="C218" s="3" t="n">
        <x:v>4</x:v>
      </x:c>
      <x:c r="D218" s="3" t="str">
        <x:v>present</x:v>
      </x:c>
      <x:c r="E218" s="5" t="str">
        <x:f>VLOOKUP(B218,Sections!$A$5:$I$45,3,FALSE)</x:f>
        <x:v>2024-1</x:v>
      </x:c>
    </x:row>
    <x:row r="219" ht="21" customHeight="1">
      <x:c r="A219" s="3" t="str">
        <x:v>2202015</x:v>
      </x:c>
      <x:c r="B219" s="3" t="str">
        <x:v>SEC002</x:v>
      </x:c>
      <x:c r="C219" s="3" t="n">
        <x:v>5</x:v>
      </x:c>
      <x:c r="D219" s="3" t="str">
        <x:v>present</x:v>
      </x:c>
      <x:c r="E219" s="5" t="str">
        <x:f>VLOOKUP(B219,Sections!$A$5:$I$45,3,FALSE)</x:f>
        <x:v>2024-1</x:v>
      </x:c>
    </x:row>
    <x:row r="220" ht="21" customHeight="1">
      <x:c r="A220" s="3" t="str">
        <x:v>2202015</x:v>
      </x:c>
      <x:c r="B220" s="3" t="str">
        <x:v>SEC002</x:v>
      </x:c>
      <x:c r="C220" s="3" t="n">
        <x:v>6</x:v>
      </x:c>
      <x:c r="D220" s="3" t="str">
        <x:v>present</x:v>
      </x:c>
      <x:c r="E220" s="5" t="str">
        <x:f>VLOOKUP(B220,Sections!$A$5:$I$45,3,FALSE)</x:f>
        <x:v>2024-1</x:v>
      </x:c>
    </x:row>
    <x:row r="221" ht="21" customHeight="1">
      <x:c r="A221" s="3" t="str">
        <x:v>2202015</x:v>
      </x:c>
      <x:c r="B221" s="3" t="str">
        <x:v>SEC002</x:v>
      </x:c>
      <x:c r="C221" s="3" t="n">
        <x:v>7</x:v>
      </x:c>
      <x:c r="D221" s="3" t="str">
        <x:v>absent</x:v>
      </x:c>
      <x:c r="E221" s="5" t="str">
        <x:f>VLOOKUP(B221,Sections!$A$5:$I$45,3,FALSE)</x:f>
        <x:v>2024-1</x:v>
      </x:c>
    </x:row>
    <x:row r="222" ht="21" customHeight="1">
      <x:c r="A222" s="3" t="str">
        <x:v>2202015</x:v>
      </x:c>
      <x:c r="B222" s="3" t="str">
        <x:v>SEC002</x:v>
      </x:c>
      <x:c r="C222" s="3" t="n">
        <x:v>8</x:v>
      </x:c>
      <x:c r="D222" s="3" t="str">
        <x:v>present</x:v>
      </x:c>
      <x:c r="E222" s="5" t="str">
        <x:f>VLOOKUP(B222,Sections!$A$5:$I$45,3,FALSE)</x:f>
        <x:v>2024-1</x:v>
      </x:c>
    </x:row>
    <x:row r="223" ht="21" customHeight="1">
      <x:c r="A223" s="3" t="str">
        <x:v>2202015</x:v>
      </x:c>
      <x:c r="B223" s="3" t="str">
        <x:v>SEC002</x:v>
      </x:c>
      <x:c r="C223" s="3" t="n">
        <x:v>9</x:v>
      </x:c>
      <x:c r="D223" s="3" t="str">
        <x:v>absent</x:v>
      </x:c>
      <x:c r="E223" s="5" t="str">
        <x:f>VLOOKUP(B223,Sections!$A$5:$I$45,3,FALSE)</x:f>
        <x:v>2024-1</x:v>
      </x:c>
    </x:row>
    <x:row r="224" ht="21" customHeight="1">
      <x:c r="A224" s="3" t="str">
        <x:v>2202015</x:v>
      </x:c>
      <x:c r="B224" s="3" t="str">
        <x:v>SEC002</x:v>
      </x:c>
      <x:c r="C224" s="3" t="n">
        <x:v>10</x:v>
      </x:c>
      <x:c r="D224" s="3" t="str">
        <x:v>present</x:v>
      </x:c>
      <x:c r="E224" s="5" t="str">
        <x:f>VLOOKUP(B224,Sections!$A$5:$I$45,3,FALSE)</x:f>
        <x:v>2024-1</x:v>
      </x:c>
    </x:row>
    <x:row r="225" ht="21" customHeight="1">
      <x:c r="A225" s="3" t="str">
        <x:v>2202015</x:v>
      </x:c>
      <x:c r="B225" s="3" t="str">
        <x:v>SEC002</x:v>
      </x:c>
      <x:c r="C225" s="3" t="n">
        <x:v>11</x:v>
      </x:c>
      <x:c r="D225" s="3" t="str">
        <x:v>late</x:v>
      </x:c>
      <x:c r="E225" s="5" t="str">
        <x:f>VLOOKUP(B225,Sections!$A$5:$I$45,3,FALSE)</x:f>
        <x:v>2024-1</x:v>
      </x:c>
    </x:row>
    <x:row r="226" ht="21" customHeight="1">
      <x:c r="A226" s="3" t="str">
        <x:v>2202015</x:v>
      </x:c>
      <x:c r="B226" s="3" t="str">
        <x:v>SEC002</x:v>
      </x:c>
      <x:c r="C226" s="3" t="n">
        <x:v>12</x:v>
      </x:c>
      <x:c r="D226" s="3" t="str">
        <x:v>present</x:v>
      </x:c>
      <x:c r="E226" s="5" t="str">
        <x:f>VLOOKUP(B226,Sections!$A$5:$I$45,3,FALSE)</x:f>
        <x:v>2024-1</x:v>
      </x:c>
    </x:row>
    <x:row r="227" ht="21" customHeight="1">
      <x:c r="A227" s="3" t="str">
        <x:v>2202015</x:v>
      </x:c>
      <x:c r="B227" s="3" t="str">
        <x:v>SEC002</x:v>
      </x:c>
      <x:c r="C227" s="3" t="n">
        <x:v>13</x:v>
      </x:c>
      <x:c r="D227" s="3" t="str">
        <x:v>absent</x:v>
      </x:c>
      <x:c r="E227" s="5" t="str">
        <x:f>VLOOKUP(B227,Sections!$A$5:$I$45,3,FALSE)</x:f>
        <x:v>2024-1</x:v>
      </x:c>
    </x:row>
    <x:row r="228" ht="21" customHeight="1">
      <x:c r="A228" s="3" t="str">
        <x:v>2202015</x:v>
      </x:c>
      <x:c r="B228" s="3" t="str">
        <x:v>SEC002</x:v>
      </x:c>
      <x:c r="C228" s="3" t="n">
        <x:v>14</x:v>
      </x:c>
      <x:c r="D228" s="3" t="str">
        <x:v>present</x:v>
      </x:c>
      <x:c r="E228" s="5" t="str">
        <x:f>VLOOKUP(B228,Sections!$A$5:$I$45,3,FALSE)</x:f>
        <x:v>2024-1</x:v>
      </x:c>
    </x:row>
    <x:row r="229" ht="21" customHeight="1">
      <x:c r="A229" s="3" t="str">
        <x:v>2202015</x:v>
      </x:c>
      <x:c r="B229" s="3" t="str">
        <x:v>SEC002</x:v>
      </x:c>
      <x:c r="C229" s="3" t="n">
        <x:v>15</x:v>
      </x:c>
      <x:c r="D229" s="3" t="str">
        <x:v>present</x:v>
      </x:c>
      <x:c r="E229" s="5" t="str">
        <x:f>VLOOKUP(B229,Sections!$A$5:$I$45,3,FALSE)</x:f>
        <x:v>2024-1</x:v>
      </x:c>
    </x:row>
    <x:row r="230" ht="21" customHeight="1">
      <x:c r="A230" s="3" t="str">
        <x:v>2202016</x:v>
      </x:c>
      <x:c r="B230" s="3" t="str">
        <x:v>SEC002</x:v>
      </x:c>
      <x:c r="C230" s="3" t="n">
        <x:v>1</x:v>
      </x:c>
      <x:c r="D230" s="3" t="str">
        <x:v>present</x:v>
      </x:c>
      <x:c r="E230" s="5" t="str">
        <x:f>VLOOKUP(B230,Sections!$A$5:$I$45,3,FALSE)</x:f>
        <x:v>2024-1</x:v>
      </x:c>
    </x:row>
    <x:row r="231" ht="21" customHeight="1">
      <x:c r="A231" s="3" t="str">
        <x:v>2202016</x:v>
      </x:c>
      <x:c r="B231" s="3" t="str">
        <x:v>SEC002</x:v>
      </x:c>
      <x:c r="C231" s="3" t="n">
        <x:v>2</x:v>
      </x:c>
      <x:c r="D231" s="3" t="str">
        <x:v>present</x:v>
      </x:c>
      <x:c r="E231" s="5" t="str">
        <x:f>VLOOKUP(B231,Sections!$A$5:$I$45,3,FALSE)</x:f>
        <x:v>2024-1</x:v>
      </x:c>
    </x:row>
    <x:row r="232" ht="21" customHeight="1">
      <x:c r="A232" s="3" t="str">
        <x:v>2202016</x:v>
      </x:c>
      <x:c r="B232" s="3" t="str">
        <x:v>SEC002</x:v>
      </x:c>
      <x:c r="C232" s="3" t="n">
        <x:v>3</x:v>
      </x:c>
      <x:c r="D232" s="3" t="str">
        <x:v>present</x:v>
      </x:c>
      <x:c r="E232" s="5" t="str">
        <x:f>VLOOKUP(B232,Sections!$A$5:$I$45,3,FALSE)</x:f>
        <x:v>2024-1</x:v>
      </x:c>
    </x:row>
    <x:row r="233" ht="21" customHeight="1">
      <x:c r="A233" s="3" t="str">
        <x:v>2202016</x:v>
      </x:c>
      <x:c r="B233" s="3" t="str">
        <x:v>SEC002</x:v>
      </x:c>
      <x:c r="C233" s="3" t="n">
        <x:v>4</x:v>
      </x:c>
      <x:c r="D233" s="3" t="str">
        <x:v>absent</x:v>
      </x:c>
      <x:c r="E233" s="5" t="str">
        <x:f>VLOOKUP(B233,Sections!$A$5:$I$45,3,FALSE)</x:f>
        <x:v>2024-1</x:v>
      </x:c>
    </x:row>
    <x:row r="234" ht="21" customHeight="1">
      <x:c r="A234" s="3" t="str">
        <x:v>2202016</x:v>
      </x:c>
      <x:c r="B234" s="3" t="str">
        <x:v>SEC002</x:v>
      </x:c>
      <x:c r="C234" s="3" t="n">
        <x:v>5</x:v>
      </x:c>
      <x:c r="D234" s="3" t="str">
        <x:v>present</x:v>
      </x:c>
      <x:c r="E234" s="5" t="str">
        <x:f>VLOOKUP(B234,Sections!$A$5:$I$45,3,FALSE)</x:f>
        <x:v>2024-1</x:v>
      </x:c>
    </x:row>
    <x:row r="235" ht="21" customHeight="1">
      <x:c r="A235" s="3" t="str">
        <x:v>2202016</x:v>
      </x:c>
      <x:c r="B235" s="3" t="str">
        <x:v>SEC002</x:v>
      </x:c>
      <x:c r="C235" s="3" t="n">
        <x:v>6</x:v>
      </x:c>
      <x:c r="D235" s="3" t="str">
        <x:v>present</x:v>
      </x:c>
      <x:c r="E235" s="5" t="str">
        <x:f>VLOOKUP(B235,Sections!$A$5:$I$45,3,FALSE)</x:f>
        <x:v>2024-1</x:v>
      </x:c>
    </x:row>
    <x:row r="236" ht="21" customHeight="1">
      <x:c r="A236" s="3" t="str">
        <x:v>2202016</x:v>
      </x:c>
      <x:c r="B236" s="3" t="str">
        <x:v>SEC002</x:v>
      </x:c>
      <x:c r="C236" s="3" t="n">
        <x:v>7</x:v>
      </x:c>
      <x:c r="D236" s="3" t="str">
        <x:v>present</x:v>
      </x:c>
      <x:c r="E236" s="5" t="str">
        <x:f>VLOOKUP(B236,Sections!$A$5:$I$45,3,FALSE)</x:f>
        <x:v>2024-1</x:v>
      </x:c>
    </x:row>
    <x:row r="237" ht="21" customHeight="1">
      <x:c r="A237" s="3" t="str">
        <x:v>2202016</x:v>
      </x:c>
      <x:c r="B237" s="3" t="str">
        <x:v>SEC002</x:v>
      </x:c>
      <x:c r="C237" s="3" t="n">
        <x:v>8</x:v>
      </x:c>
      <x:c r="D237" s="3" t="str">
        <x:v>present</x:v>
      </x:c>
      <x:c r="E237" s="5" t="str">
        <x:f>VLOOKUP(B237,Sections!$A$5:$I$45,3,FALSE)</x:f>
        <x:v>2024-1</x:v>
      </x:c>
    </x:row>
    <x:row r="238" ht="21" customHeight="1">
      <x:c r="A238" s="3" t="str">
        <x:v>2202016</x:v>
      </x:c>
      <x:c r="B238" s="3" t="str">
        <x:v>SEC002</x:v>
      </x:c>
      <x:c r="C238" s="3" t="n">
        <x:v>9</x:v>
      </x:c>
      <x:c r="D238" s="3" t="str">
        <x:v>present</x:v>
      </x:c>
      <x:c r="E238" s="5" t="str">
        <x:f>VLOOKUP(B238,Sections!$A$5:$I$45,3,FALSE)</x:f>
        <x:v>2024-1</x:v>
      </x:c>
    </x:row>
    <x:row r="239" ht="21" customHeight="1">
      <x:c r="A239" s="3" t="str">
        <x:v>2202016</x:v>
      </x:c>
      <x:c r="B239" s="3" t="str">
        <x:v>SEC002</x:v>
      </x:c>
      <x:c r="C239" s="3" t="n">
        <x:v>10</x:v>
      </x:c>
      <x:c r="D239" s="3" t="str">
        <x:v>present</x:v>
      </x:c>
      <x:c r="E239" s="5" t="str">
        <x:f>VLOOKUP(B239,Sections!$A$5:$I$45,3,FALSE)</x:f>
        <x:v>2024-1</x:v>
      </x:c>
    </x:row>
    <x:row r="240" ht="21" customHeight="1">
      <x:c r="A240" s="3" t="str">
        <x:v>2202016</x:v>
      </x:c>
      <x:c r="B240" s="3" t="str">
        <x:v>SEC002</x:v>
      </x:c>
      <x:c r="C240" s="3" t="n">
        <x:v>11</x:v>
      </x:c>
      <x:c r="D240" s="3" t="str">
        <x:v>present</x:v>
      </x:c>
      <x:c r="E240" s="5" t="str">
        <x:f>VLOOKUP(B240,Sections!$A$5:$I$45,3,FALSE)</x:f>
        <x:v>2024-1</x:v>
      </x:c>
    </x:row>
    <x:row r="241" ht="21" customHeight="1">
      <x:c r="A241" s="3" t="str">
        <x:v>2202016</x:v>
      </x:c>
      <x:c r="B241" s="3" t="str">
        <x:v>SEC002</x:v>
      </x:c>
      <x:c r="C241" s="3" t="n">
        <x:v>12</x:v>
      </x:c>
      <x:c r="D241" s="3" t="str">
        <x:v>present</x:v>
      </x:c>
      <x:c r="E241" s="5" t="str">
        <x:f>VLOOKUP(B241,Sections!$A$5:$I$45,3,FALSE)</x:f>
        <x:v>2024-1</x:v>
      </x:c>
    </x:row>
    <x:row r="242" ht="21" customHeight="1">
      <x:c r="A242" s="3" t="str">
        <x:v>2202016</x:v>
      </x:c>
      <x:c r="B242" s="3" t="str">
        <x:v>SEC002</x:v>
      </x:c>
      <x:c r="C242" s="3" t="n">
        <x:v>13</x:v>
      </x:c>
      <x:c r="D242" s="3" t="str">
        <x:v>present</x:v>
      </x:c>
      <x:c r="E242" s="5" t="str">
        <x:f>VLOOKUP(B242,Sections!$A$5:$I$45,3,FALSE)</x:f>
        <x:v>2024-1</x:v>
      </x:c>
    </x:row>
    <x:row r="243" ht="21" customHeight="1">
      <x:c r="A243" s="3" t="str">
        <x:v>2202016</x:v>
      </x:c>
      <x:c r="B243" s="3" t="str">
        <x:v>SEC002</x:v>
      </x:c>
      <x:c r="C243" s="3" t="n">
        <x:v>14</x:v>
      </x:c>
      <x:c r="D243" s="3" t="str">
        <x:v>excused</x:v>
      </x:c>
      <x:c r="E243" s="5" t="str">
        <x:f>VLOOKUP(B243,Sections!$A$5:$I$45,3,FALSE)</x:f>
        <x:v>2024-1</x:v>
      </x:c>
    </x:row>
    <x:row r="244" ht="21" customHeight="1">
      <x:c r="A244" s="3" t="str">
        <x:v>2202016</x:v>
      </x:c>
      <x:c r="B244" s="3" t="str">
        <x:v>SEC002</x:v>
      </x:c>
      <x:c r="C244" s="3" t="n">
        <x:v>15</x:v>
      </x:c>
      <x:c r="D244" s="3" t="str">
        <x:v>present</x:v>
      </x:c>
      <x:c r="E244" s="5" t="str">
        <x:f>VLOOKUP(B244,Sections!$A$5:$I$45,3,FALSE)</x:f>
        <x:v>2024-1</x:v>
      </x:c>
    </x:row>
    <x:row r="245" ht="21" customHeight="1">
      <x:c r="A245" s="3" t="str">
        <x:v>2202017</x:v>
      </x:c>
      <x:c r="B245" s="3" t="str">
        <x:v>SEC002</x:v>
      </x:c>
      <x:c r="C245" s="3" t="n">
        <x:v>1</x:v>
      </x:c>
      <x:c r="D245" s="3" t="str">
        <x:v>present</x:v>
      </x:c>
      <x:c r="E245" s="5" t="str">
        <x:f>VLOOKUP(B245,Sections!$A$5:$I$45,3,FALSE)</x:f>
        <x:v>2024-1</x:v>
      </x:c>
    </x:row>
    <x:row r="246" ht="21" customHeight="1">
      <x:c r="A246" s="3" t="str">
        <x:v>2202017</x:v>
      </x:c>
      <x:c r="B246" s="3" t="str">
        <x:v>SEC002</x:v>
      </x:c>
      <x:c r="C246" s="3" t="n">
        <x:v>2</x:v>
      </x:c>
      <x:c r="D246" s="3" t="str">
        <x:v>absent</x:v>
      </x:c>
      <x:c r="E246" s="5" t="str">
        <x:f>VLOOKUP(B246,Sections!$A$5:$I$45,3,FALSE)</x:f>
        <x:v>2024-1</x:v>
      </x:c>
    </x:row>
    <x:row r="247" ht="21" customHeight="1">
      <x:c r="A247" s="3" t="str">
        <x:v>2202017</x:v>
      </x:c>
      <x:c r="B247" s="3" t="str">
        <x:v>SEC002</x:v>
      </x:c>
      <x:c r="C247" s="3" t="n">
        <x:v>3</x:v>
      </x:c>
      <x:c r="D247" s="3" t="str">
        <x:v>present</x:v>
      </x:c>
      <x:c r="E247" s="5" t="str">
        <x:f>VLOOKUP(B247,Sections!$A$5:$I$45,3,FALSE)</x:f>
        <x:v>2024-1</x:v>
      </x:c>
    </x:row>
    <x:row r="248" ht="21" customHeight="1">
      <x:c r="A248" s="3" t="str">
        <x:v>2202017</x:v>
      </x:c>
      <x:c r="B248" s="3" t="str">
        <x:v>SEC002</x:v>
      </x:c>
      <x:c r="C248" s="3" t="n">
        <x:v>4</x:v>
      </x:c>
      <x:c r="D248" s="3" t="str">
        <x:v>present</x:v>
      </x:c>
      <x:c r="E248" s="5" t="str">
        <x:f>VLOOKUP(B248,Sections!$A$5:$I$45,3,FALSE)</x:f>
        <x:v>2024-1</x:v>
      </x:c>
    </x:row>
    <x:row r="249" ht="21" customHeight="1">
      <x:c r="A249" s="3" t="str">
        <x:v>2202017</x:v>
      </x:c>
      <x:c r="B249" s="3" t="str">
        <x:v>SEC002</x:v>
      </x:c>
      <x:c r="C249" s="3" t="n">
        <x:v>5</x:v>
      </x:c>
      <x:c r="D249" s="3" t="str">
        <x:v>present</x:v>
      </x:c>
      <x:c r="E249" s="5" t="str">
        <x:f>VLOOKUP(B249,Sections!$A$5:$I$45,3,FALSE)</x:f>
        <x:v>2024-1</x:v>
      </x:c>
    </x:row>
    <x:row r="250" ht="21" customHeight="1">
      <x:c r="A250" s="3" t="str">
        <x:v>2202017</x:v>
      </x:c>
      <x:c r="B250" s="3" t="str">
        <x:v>SEC002</x:v>
      </x:c>
      <x:c r="C250" s="3" t="n">
        <x:v>6</x:v>
      </x:c>
      <x:c r="D250" s="3" t="str">
        <x:v>present</x:v>
      </x:c>
      <x:c r="E250" s="5" t="str">
        <x:f>VLOOKUP(B250,Sections!$A$5:$I$45,3,FALSE)</x:f>
        <x:v>2024-1</x:v>
      </x:c>
    </x:row>
    <x:row r="251" ht="21" customHeight="1">
      <x:c r="A251" s="3" t="str">
        <x:v>2202017</x:v>
      </x:c>
      <x:c r="B251" s="3" t="str">
        <x:v>SEC002</x:v>
      </x:c>
      <x:c r="C251" s="3" t="n">
        <x:v>7</x:v>
      </x:c>
      <x:c r="D251" s="3" t="str">
        <x:v>present</x:v>
      </x:c>
      <x:c r="E251" s="5" t="str">
        <x:f>VLOOKUP(B251,Sections!$A$5:$I$45,3,FALSE)</x:f>
        <x:v>2024-1</x:v>
      </x:c>
    </x:row>
    <x:row r="252" ht="21" customHeight="1">
      <x:c r="A252" s="3" t="str">
        <x:v>2202017</x:v>
      </x:c>
      <x:c r="B252" s="3" t="str">
        <x:v>SEC002</x:v>
      </x:c>
      <x:c r="C252" s="3" t="n">
        <x:v>8</x:v>
      </x:c>
      <x:c r="D252" s="3" t="str">
        <x:v>present</x:v>
      </x:c>
      <x:c r="E252" s="5" t="str">
        <x:f>VLOOKUP(B252,Sections!$A$5:$I$45,3,FALSE)</x:f>
        <x:v>2024-1</x:v>
      </x:c>
    </x:row>
    <x:row r="253" ht="21" customHeight="1">
      <x:c r="A253" s="3" t="str">
        <x:v>2202017</x:v>
      </x:c>
      <x:c r="B253" s="3" t="str">
        <x:v>SEC002</x:v>
      </x:c>
      <x:c r="C253" s="3" t="n">
        <x:v>9</x:v>
      </x:c>
      <x:c r="D253" s="3" t="str">
        <x:v>present</x:v>
      </x:c>
      <x:c r="E253" s="5" t="str">
        <x:f>VLOOKUP(B253,Sections!$A$5:$I$45,3,FALSE)</x:f>
        <x:v>2024-1</x:v>
      </x:c>
    </x:row>
    <x:row r="254" ht="21" customHeight="1">
      <x:c r="A254" s="3" t="str">
        <x:v>2202017</x:v>
      </x:c>
      <x:c r="B254" s="3" t="str">
        <x:v>SEC002</x:v>
      </x:c>
      <x:c r="C254" s="3" t="n">
        <x:v>10</x:v>
      </x:c>
      <x:c r="D254" s="3" t="str">
        <x:v>present</x:v>
      </x:c>
      <x:c r="E254" s="5" t="str">
        <x:f>VLOOKUP(B254,Sections!$A$5:$I$45,3,FALSE)</x:f>
        <x:v>2024-1</x:v>
      </x:c>
    </x:row>
    <x:row r="255" ht="21" customHeight="1">
      <x:c r="A255" s="3" t="str">
        <x:v>2202017</x:v>
      </x:c>
      <x:c r="B255" s="3" t="str">
        <x:v>SEC002</x:v>
      </x:c>
      <x:c r="C255" s="3" t="n">
        <x:v>11</x:v>
      </x:c>
      <x:c r="D255" s="3" t="str">
        <x:v>present</x:v>
      </x:c>
      <x:c r="E255" s="5" t="str">
        <x:f>VLOOKUP(B255,Sections!$A$5:$I$45,3,FALSE)</x:f>
        <x:v>2024-1</x:v>
      </x:c>
    </x:row>
    <x:row r="256" ht="21" customHeight="1">
      <x:c r="A256" s="3" t="str">
        <x:v>2202017</x:v>
      </x:c>
      <x:c r="B256" s="3" t="str">
        <x:v>SEC002</x:v>
      </x:c>
      <x:c r="C256" s="3" t="n">
        <x:v>12</x:v>
      </x:c>
      <x:c r="D256" s="3" t="str">
        <x:v>present</x:v>
      </x:c>
      <x:c r="E256" s="5" t="str">
        <x:f>VLOOKUP(B256,Sections!$A$5:$I$45,3,FALSE)</x:f>
        <x:v>2024-1</x:v>
      </x:c>
    </x:row>
    <x:row r="257" ht="21" customHeight="1">
      <x:c r="A257" s="3" t="str">
        <x:v>2202017</x:v>
      </x:c>
      <x:c r="B257" s="3" t="str">
        <x:v>SEC002</x:v>
      </x:c>
      <x:c r="C257" s="3" t="n">
        <x:v>13</x:v>
      </x:c>
      <x:c r="D257" s="3" t="str">
        <x:v>present</x:v>
      </x:c>
      <x:c r="E257" s="5" t="str">
        <x:f>VLOOKUP(B257,Sections!$A$5:$I$45,3,FALSE)</x:f>
        <x:v>2024-1</x:v>
      </x:c>
    </x:row>
    <x:row r="258" ht="21" customHeight="1">
      <x:c r="A258" s="3" t="str">
        <x:v>2202017</x:v>
      </x:c>
      <x:c r="B258" s="3" t="str">
        <x:v>SEC002</x:v>
      </x:c>
      <x:c r="C258" s="3" t="n">
        <x:v>14</x:v>
      </x:c>
      <x:c r="D258" s="3" t="str">
        <x:v>present</x:v>
      </x:c>
      <x:c r="E258" s="5" t="str">
        <x:f>VLOOKUP(B258,Sections!$A$5:$I$45,3,FALSE)</x:f>
        <x:v>2024-1</x:v>
      </x:c>
    </x:row>
    <x:row r="259" ht="21" customHeight="1">
      <x:c r="A259" s="3" t="str">
        <x:v>2202017</x:v>
      </x:c>
      <x:c r="B259" s="3" t="str">
        <x:v>SEC002</x:v>
      </x:c>
      <x:c r="C259" s="3" t="n">
        <x:v>15</x:v>
      </x:c>
      <x:c r="D259" s="3" t="str">
        <x:v>present</x:v>
      </x:c>
      <x:c r="E259" s="5" t="str">
        <x:f>VLOOKUP(B259,Sections!$A$5:$I$45,3,FALSE)</x:f>
        <x:v>2024-1</x:v>
      </x:c>
    </x:row>
    <x:row r="260" ht="21" customHeight="1">
      <x:c r="A260" s="3" t="str">
        <x:v>2202018</x:v>
      </x:c>
      <x:c r="B260" s="3" t="str">
        <x:v>SEC002</x:v>
      </x:c>
      <x:c r="C260" s="3" t="n">
        <x:v>1</x:v>
      </x:c>
      <x:c r="D260" s="3" t="str">
        <x:v>present</x:v>
      </x:c>
      <x:c r="E260" s="5" t="str">
        <x:f>VLOOKUP(B260,Sections!$A$5:$I$45,3,FALSE)</x:f>
        <x:v>2024-1</x:v>
      </x:c>
    </x:row>
    <x:row r="261" ht="21" customHeight="1">
      <x:c r="A261" s="3" t="str">
        <x:v>2202018</x:v>
      </x:c>
      <x:c r="B261" s="3" t="str">
        <x:v>SEC002</x:v>
      </x:c>
      <x:c r="C261" s="3" t="n">
        <x:v>2</x:v>
      </x:c>
      <x:c r="D261" s="3" t="str">
        <x:v>present</x:v>
      </x:c>
      <x:c r="E261" s="5" t="str">
        <x:f>VLOOKUP(B261,Sections!$A$5:$I$45,3,FALSE)</x:f>
        <x:v>2024-1</x:v>
      </x:c>
    </x:row>
    <x:row r="262" ht="21" customHeight="1">
      <x:c r="A262" s="3" t="str">
        <x:v>2202018</x:v>
      </x:c>
      <x:c r="B262" s="3" t="str">
        <x:v>SEC002</x:v>
      </x:c>
      <x:c r="C262" s="3" t="n">
        <x:v>3</x:v>
      </x:c>
      <x:c r="D262" s="3" t="str">
        <x:v>present</x:v>
      </x:c>
      <x:c r="E262" s="5" t="str">
        <x:f>VLOOKUP(B262,Sections!$A$5:$I$45,3,FALSE)</x:f>
        <x:v>2024-1</x:v>
      </x:c>
    </x:row>
    <x:row r="263" ht="21" customHeight="1">
      <x:c r="A263" s="3" t="str">
        <x:v>2202018</x:v>
      </x:c>
      <x:c r="B263" s="3" t="str">
        <x:v>SEC002</x:v>
      </x:c>
      <x:c r="C263" s="3" t="n">
        <x:v>4</x:v>
      </x:c>
      <x:c r="D263" s="3" t="str">
        <x:v>present</x:v>
      </x:c>
      <x:c r="E263" s="5" t="str">
        <x:f>VLOOKUP(B263,Sections!$A$5:$I$45,3,FALSE)</x:f>
        <x:v>2024-1</x:v>
      </x:c>
    </x:row>
    <x:row r="264" ht="21" customHeight="1">
      <x:c r="A264" s="3" t="str">
        <x:v>2202018</x:v>
      </x:c>
      <x:c r="B264" s="3" t="str">
        <x:v>SEC002</x:v>
      </x:c>
      <x:c r="C264" s="3" t="n">
        <x:v>5</x:v>
      </x:c>
      <x:c r="D264" s="3" t="str">
        <x:v>present</x:v>
      </x:c>
      <x:c r="E264" s="5" t="str">
        <x:f>VLOOKUP(B264,Sections!$A$5:$I$45,3,FALSE)</x:f>
        <x:v>2024-1</x:v>
      </x:c>
    </x:row>
    <x:row r="265" ht="21" customHeight="1">
      <x:c r="A265" s="3" t="str">
        <x:v>2202018</x:v>
      </x:c>
      <x:c r="B265" s="3" t="str">
        <x:v>SEC002</x:v>
      </x:c>
      <x:c r="C265" s="3" t="n">
        <x:v>6</x:v>
      </x:c>
      <x:c r="D265" s="3" t="str">
        <x:v>excused</x:v>
      </x:c>
      <x:c r="E265" s="5" t="str">
        <x:f>VLOOKUP(B265,Sections!$A$5:$I$45,3,FALSE)</x:f>
        <x:v>2024-1</x:v>
      </x:c>
    </x:row>
    <x:row r="266" ht="21" customHeight="1">
      <x:c r="A266" s="3" t="str">
        <x:v>2202018</x:v>
      </x:c>
      <x:c r="B266" s="3" t="str">
        <x:v>SEC002</x:v>
      </x:c>
      <x:c r="C266" s="3" t="n">
        <x:v>7</x:v>
      </x:c>
      <x:c r="D266" s="3" t="str">
        <x:v>present</x:v>
      </x:c>
      <x:c r="E266" s="5" t="str">
        <x:f>VLOOKUP(B266,Sections!$A$5:$I$45,3,FALSE)</x:f>
        <x:v>2024-1</x:v>
      </x:c>
    </x:row>
    <x:row r="267" ht="21" customHeight="1">
      <x:c r="A267" s="3" t="str">
        <x:v>2202018</x:v>
      </x:c>
      <x:c r="B267" s="3" t="str">
        <x:v>SEC002</x:v>
      </x:c>
      <x:c r="C267" s="3" t="n">
        <x:v>8</x:v>
      </x:c>
      <x:c r="D267" s="3" t="str">
        <x:v>present</x:v>
      </x:c>
      <x:c r="E267" s="5" t="str">
        <x:f>VLOOKUP(B267,Sections!$A$5:$I$45,3,FALSE)</x:f>
        <x:v>2024-1</x:v>
      </x:c>
    </x:row>
    <x:row r="268" ht="21" customHeight="1">
      <x:c r="A268" s="3" t="str">
        <x:v>2202018</x:v>
      </x:c>
      <x:c r="B268" s="3" t="str">
        <x:v>SEC002</x:v>
      </x:c>
      <x:c r="C268" s="3" t="n">
        <x:v>9</x:v>
      </x:c>
      <x:c r="D268" s="3" t="str">
        <x:v>present</x:v>
      </x:c>
      <x:c r="E268" s="5" t="str">
        <x:f>VLOOKUP(B268,Sections!$A$5:$I$45,3,FALSE)</x:f>
        <x:v>2024-1</x:v>
      </x:c>
    </x:row>
    <x:row r="269" ht="21" customHeight="1">
      <x:c r="A269" s="3" t="str">
        <x:v>2202018</x:v>
      </x:c>
      <x:c r="B269" s="3" t="str">
        <x:v>SEC002</x:v>
      </x:c>
      <x:c r="C269" s="3" t="n">
        <x:v>10</x:v>
      </x:c>
      <x:c r="D269" s="3" t="str">
        <x:v>present</x:v>
      </x:c>
      <x:c r="E269" s="5" t="str">
        <x:f>VLOOKUP(B269,Sections!$A$5:$I$45,3,FALSE)</x:f>
        <x:v>2024-1</x:v>
      </x:c>
    </x:row>
    <x:row r="270" ht="21" customHeight="1">
      <x:c r="A270" s="3" t="str">
        <x:v>2202018</x:v>
      </x:c>
      <x:c r="B270" s="3" t="str">
        <x:v>SEC002</x:v>
      </x:c>
      <x:c r="C270" s="3" t="n">
        <x:v>11</x:v>
      </x:c>
      <x:c r="D270" s="3" t="str">
        <x:v>present</x:v>
      </x:c>
      <x:c r="E270" s="5" t="str">
        <x:f>VLOOKUP(B270,Sections!$A$5:$I$45,3,FALSE)</x:f>
        <x:v>2024-1</x:v>
      </x:c>
    </x:row>
    <x:row r="271" ht="21" customHeight="1">
      <x:c r="A271" s="3" t="str">
        <x:v>2202018</x:v>
      </x:c>
      <x:c r="B271" s="3" t="str">
        <x:v>SEC002</x:v>
      </x:c>
      <x:c r="C271" s="3" t="n">
        <x:v>12</x:v>
      </x:c>
      <x:c r="D271" s="3" t="str">
        <x:v>absent</x:v>
      </x:c>
      <x:c r="E271" s="5" t="str">
        <x:f>VLOOKUP(B271,Sections!$A$5:$I$45,3,FALSE)</x:f>
        <x:v>2024-1</x:v>
      </x:c>
    </x:row>
    <x:row r="272" ht="21" customHeight="1">
      <x:c r="A272" s="3" t="str">
        <x:v>2202018</x:v>
      </x:c>
      <x:c r="B272" s="3" t="str">
        <x:v>SEC002</x:v>
      </x:c>
      <x:c r="C272" s="3" t="n">
        <x:v>13</x:v>
      </x:c>
      <x:c r="D272" s="3" t="str">
        <x:v>present</x:v>
      </x:c>
      <x:c r="E272" s="5" t="str">
        <x:f>VLOOKUP(B272,Sections!$A$5:$I$45,3,FALSE)</x:f>
        <x:v>2024-1</x:v>
      </x:c>
    </x:row>
    <x:row r="273" ht="21" customHeight="1">
      <x:c r="A273" s="3" t="str">
        <x:v>2202018</x:v>
      </x:c>
      <x:c r="B273" s="3" t="str">
        <x:v>SEC002</x:v>
      </x:c>
      <x:c r="C273" s="3" t="n">
        <x:v>14</x:v>
      </x:c>
      <x:c r="D273" s="3" t="str">
        <x:v>present</x:v>
      </x:c>
      <x:c r="E273" s="5" t="str">
        <x:f>VLOOKUP(B273,Sections!$A$5:$I$45,3,FALSE)</x:f>
        <x:v>2024-1</x:v>
      </x:c>
    </x:row>
    <x:row r="274" ht="21" customHeight="1">
      <x:c r="A274" s="3" t="str">
        <x:v>2202018</x:v>
      </x:c>
      <x:c r="B274" s="3" t="str">
        <x:v>SEC002</x:v>
      </x:c>
      <x:c r="C274" s="3" t="n">
        <x:v>15</x:v>
      </x:c>
      <x:c r="D274" s="3" t="str">
        <x:v>present</x:v>
      </x:c>
      <x:c r="E274" s="5" t="str">
        <x:f>VLOOKUP(B274,Sections!$A$5:$I$45,3,FALSE)</x:f>
        <x:v>2024-1</x:v>
      </x:c>
    </x:row>
    <x:row r="275" ht="21" customHeight="1">
      <x:c r="A275" s="3" t="str">
        <x:v>2202019</x:v>
      </x:c>
      <x:c r="B275" s="3" t="str">
        <x:v>SEC002</x:v>
      </x:c>
      <x:c r="C275" s="3" t="n">
        <x:v>1</x:v>
      </x:c>
      <x:c r="D275" s="3" t="str">
        <x:v>present</x:v>
      </x:c>
      <x:c r="E275" s="5" t="str">
        <x:f>VLOOKUP(B275,Sections!$A$5:$I$45,3,FALSE)</x:f>
        <x:v>2024-1</x:v>
      </x:c>
    </x:row>
    <x:row r="276" ht="21" customHeight="1">
      <x:c r="A276" s="3" t="str">
        <x:v>2202019</x:v>
      </x:c>
      <x:c r="B276" s="3" t="str">
        <x:v>SEC002</x:v>
      </x:c>
      <x:c r="C276" s="3" t="n">
        <x:v>2</x:v>
      </x:c>
      <x:c r="D276" s="3" t="str">
        <x:v>present</x:v>
      </x:c>
      <x:c r="E276" s="5" t="str">
        <x:f>VLOOKUP(B276,Sections!$A$5:$I$45,3,FALSE)</x:f>
        <x:v>2024-1</x:v>
      </x:c>
    </x:row>
    <x:row r="277" ht="21" customHeight="1">
      <x:c r="A277" s="3" t="str">
        <x:v>2202019</x:v>
      </x:c>
      <x:c r="B277" s="3" t="str">
        <x:v>SEC002</x:v>
      </x:c>
      <x:c r="C277" s="3" t="n">
        <x:v>3</x:v>
      </x:c>
      <x:c r="D277" s="3" t="str">
        <x:v>present</x:v>
      </x:c>
      <x:c r="E277" s="5" t="str">
        <x:f>VLOOKUP(B277,Sections!$A$5:$I$45,3,FALSE)</x:f>
        <x:v>2024-1</x:v>
      </x:c>
    </x:row>
    <x:row r="278" ht="21" customHeight="1">
      <x:c r="A278" s="3" t="str">
        <x:v>2202019</x:v>
      </x:c>
      <x:c r="B278" s="3" t="str">
        <x:v>SEC002</x:v>
      </x:c>
      <x:c r="C278" s="3" t="n">
        <x:v>4</x:v>
      </x:c>
      <x:c r="D278" s="3" t="str">
        <x:v>present</x:v>
      </x:c>
      <x:c r="E278" s="5" t="str">
        <x:f>VLOOKUP(B278,Sections!$A$5:$I$45,3,FALSE)</x:f>
        <x:v>2024-1</x:v>
      </x:c>
    </x:row>
    <x:row r="279" ht="21" customHeight="1">
      <x:c r="A279" s="3" t="str">
        <x:v>2202019</x:v>
      </x:c>
      <x:c r="B279" s="3" t="str">
        <x:v>SEC002</x:v>
      </x:c>
      <x:c r="C279" s="3" t="n">
        <x:v>5</x:v>
      </x:c>
      <x:c r="D279" s="3" t="str">
        <x:v>present</x:v>
      </x:c>
      <x:c r="E279" s="5" t="str">
        <x:f>VLOOKUP(B279,Sections!$A$5:$I$45,3,FALSE)</x:f>
        <x:v>2024-1</x:v>
      </x:c>
    </x:row>
    <x:row r="280" ht="21" customHeight="1">
      <x:c r="A280" s="3" t="str">
        <x:v>2202019</x:v>
      </x:c>
      <x:c r="B280" s="3" t="str">
        <x:v>SEC002</x:v>
      </x:c>
      <x:c r="C280" s="3" t="n">
        <x:v>6</x:v>
      </x:c>
      <x:c r="D280" s="3" t="str">
        <x:v>late</x:v>
      </x:c>
      <x:c r="E280" s="5" t="str">
        <x:f>VLOOKUP(B280,Sections!$A$5:$I$45,3,FALSE)</x:f>
        <x:v>2024-1</x:v>
      </x:c>
    </x:row>
    <x:row r="281" ht="21" customHeight="1">
      <x:c r="A281" s="3" t="str">
        <x:v>2202019</x:v>
      </x:c>
      <x:c r="B281" s="3" t="str">
        <x:v>SEC002</x:v>
      </x:c>
      <x:c r="C281" s="3" t="n">
        <x:v>7</x:v>
      </x:c>
      <x:c r="D281" s="3" t="str">
        <x:v>present</x:v>
      </x:c>
      <x:c r="E281" s="5" t="str">
        <x:f>VLOOKUP(B281,Sections!$A$5:$I$45,3,FALSE)</x:f>
        <x:v>2024-1</x:v>
      </x:c>
    </x:row>
    <x:row r="282" ht="21" customHeight="1">
      <x:c r="A282" s="3" t="str">
        <x:v>2202019</x:v>
      </x:c>
      <x:c r="B282" s="3" t="str">
        <x:v>SEC002</x:v>
      </x:c>
      <x:c r="C282" s="3" t="n">
        <x:v>8</x:v>
      </x:c>
      <x:c r="D282" s="3" t="str">
        <x:v>present</x:v>
      </x:c>
      <x:c r="E282" s="5" t="str">
        <x:f>VLOOKUP(B282,Sections!$A$5:$I$45,3,FALSE)</x:f>
        <x:v>2024-1</x:v>
      </x:c>
    </x:row>
    <x:row r="283" ht="21" customHeight="1">
      <x:c r="A283" s="3" t="str">
        <x:v>2202019</x:v>
      </x:c>
      <x:c r="B283" s="3" t="str">
        <x:v>SEC002</x:v>
      </x:c>
      <x:c r="C283" s="3" t="n">
        <x:v>9</x:v>
      </x:c>
      <x:c r="D283" s="3" t="str">
        <x:v>present</x:v>
      </x:c>
      <x:c r="E283" s="5" t="str">
        <x:f>VLOOKUP(B283,Sections!$A$5:$I$45,3,FALSE)</x:f>
        <x:v>2024-1</x:v>
      </x:c>
    </x:row>
    <x:row r="284" ht="21" customHeight="1">
      <x:c r="A284" s="3" t="str">
        <x:v>2202019</x:v>
      </x:c>
      <x:c r="B284" s="3" t="str">
        <x:v>SEC002</x:v>
      </x:c>
      <x:c r="C284" s="3" t="n">
        <x:v>10</x:v>
      </x:c>
      <x:c r="D284" s="3" t="str">
        <x:v>excused</x:v>
      </x:c>
      <x:c r="E284" s="5" t="str">
        <x:f>VLOOKUP(B284,Sections!$A$5:$I$45,3,FALSE)</x:f>
        <x:v>2024-1</x:v>
      </x:c>
    </x:row>
    <x:row r="285" ht="21" customHeight="1">
      <x:c r="A285" s="3" t="str">
        <x:v>2202019</x:v>
      </x:c>
      <x:c r="B285" s="3" t="str">
        <x:v>SEC002</x:v>
      </x:c>
      <x:c r="C285" s="3" t="n">
        <x:v>11</x:v>
      </x:c>
      <x:c r="D285" s="3" t="str">
        <x:v>present</x:v>
      </x:c>
      <x:c r="E285" s="5" t="str">
        <x:f>VLOOKUP(B285,Sections!$A$5:$I$45,3,FALSE)</x:f>
        <x:v>2024-1</x:v>
      </x:c>
    </x:row>
    <x:row r="286" ht="21" customHeight="1">
      <x:c r="A286" s="3" t="str">
        <x:v>2202019</x:v>
      </x:c>
      <x:c r="B286" s="3" t="str">
        <x:v>SEC002</x:v>
      </x:c>
      <x:c r="C286" s="3" t="n">
        <x:v>12</x:v>
      </x:c>
      <x:c r="D286" s="3" t="str">
        <x:v>present</x:v>
      </x:c>
      <x:c r="E286" s="5" t="str">
        <x:f>VLOOKUP(B286,Sections!$A$5:$I$45,3,FALSE)</x:f>
        <x:v>2024-1</x:v>
      </x:c>
    </x:row>
    <x:row r="287" ht="21" customHeight="1">
      <x:c r="A287" s="3" t="str">
        <x:v>2202019</x:v>
      </x:c>
      <x:c r="B287" s="3" t="str">
        <x:v>SEC002</x:v>
      </x:c>
      <x:c r="C287" s="3" t="n">
        <x:v>13</x:v>
      </x:c>
      <x:c r="D287" s="3" t="str">
        <x:v>present</x:v>
      </x:c>
      <x:c r="E287" s="5" t="str">
        <x:f>VLOOKUP(B287,Sections!$A$5:$I$45,3,FALSE)</x:f>
        <x:v>2024-1</x:v>
      </x:c>
    </x:row>
    <x:row r="288" ht="21" customHeight="1">
      <x:c r="A288" s="3" t="str">
        <x:v>2202019</x:v>
      </x:c>
      <x:c r="B288" s="3" t="str">
        <x:v>SEC002</x:v>
      </x:c>
      <x:c r="C288" s="3" t="n">
        <x:v>14</x:v>
      </x:c>
      <x:c r="D288" s="3" t="str">
        <x:v>late</x:v>
      </x:c>
      <x:c r="E288" s="5" t="str">
        <x:f>VLOOKUP(B288,Sections!$A$5:$I$45,3,FALSE)</x:f>
        <x:v>2024-1</x:v>
      </x:c>
    </x:row>
    <x:row r="289" ht="21" customHeight="1">
      <x:c r="A289" s="3" t="str">
        <x:v>2202019</x:v>
      </x:c>
      <x:c r="B289" s="3" t="str">
        <x:v>SEC002</x:v>
      </x:c>
      <x:c r="C289" s="3" t="n">
        <x:v>15</x:v>
      </x:c>
      <x:c r="D289" s="3" t="str">
        <x:v>present</x:v>
      </x:c>
      <x:c r="E289" s="5" t="str">
        <x:f>VLOOKUP(B289,Sections!$A$5:$I$45,3,FALSE)</x:f>
        <x:v>2024-1</x:v>
      </x:c>
    </x:row>
    <x:row r="290" ht="21" customHeight="1">
      <x:c r="A290" s="3" t="str">
        <x:v>2202020</x:v>
      </x:c>
      <x:c r="B290" s="3" t="str">
        <x:v>SEC002</x:v>
      </x:c>
      <x:c r="C290" s="3" t="n">
        <x:v>1</x:v>
      </x:c>
      <x:c r="D290" s="3" t="str">
        <x:v>present</x:v>
      </x:c>
      <x:c r="E290" s="5" t="str">
        <x:f>VLOOKUP(B290,Sections!$A$5:$I$45,3,FALSE)</x:f>
        <x:v>2024-1</x:v>
      </x:c>
    </x:row>
    <x:row r="291" ht="21" customHeight="1">
      <x:c r="A291" s="3" t="str">
        <x:v>2202020</x:v>
      </x:c>
      <x:c r="B291" s="3" t="str">
        <x:v>SEC002</x:v>
      </x:c>
      <x:c r="C291" s="3" t="n">
        <x:v>2</x:v>
      </x:c>
      <x:c r="D291" s="3" t="str">
        <x:v>present</x:v>
      </x:c>
      <x:c r="E291" s="5" t="str">
        <x:f>VLOOKUP(B291,Sections!$A$5:$I$45,3,FALSE)</x:f>
        <x:v>2024-1</x:v>
      </x:c>
    </x:row>
    <x:row r="292" ht="21" customHeight="1">
      <x:c r="A292" s="3" t="str">
        <x:v>2202020</x:v>
      </x:c>
      <x:c r="B292" s="3" t="str">
        <x:v>SEC002</x:v>
      </x:c>
      <x:c r="C292" s="3" t="n">
        <x:v>3</x:v>
      </x:c>
      <x:c r="D292" s="3" t="str">
        <x:v>present</x:v>
      </x:c>
      <x:c r="E292" s="5" t="str">
        <x:f>VLOOKUP(B292,Sections!$A$5:$I$45,3,FALSE)</x:f>
        <x:v>2024-1</x:v>
      </x:c>
    </x:row>
    <x:row r="293" ht="21" customHeight="1">
      <x:c r="A293" s="3" t="str">
        <x:v>2202020</x:v>
      </x:c>
      <x:c r="B293" s="3" t="str">
        <x:v>SEC002</x:v>
      </x:c>
      <x:c r="C293" s="3" t="n">
        <x:v>4</x:v>
      </x:c>
      <x:c r="D293" s="3" t="str">
        <x:v>absent</x:v>
      </x:c>
      <x:c r="E293" s="5" t="str">
        <x:f>VLOOKUP(B293,Sections!$A$5:$I$45,3,FALSE)</x:f>
        <x:v>2024-1</x:v>
      </x:c>
    </x:row>
    <x:row r="294" ht="21" customHeight="1">
      <x:c r="A294" s="3" t="str">
        <x:v>2202020</x:v>
      </x:c>
      <x:c r="B294" s="3" t="str">
        <x:v>SEC002</x:v>
      </x:c>
      <x:c r="C294" s="3" t="n">
        <x:v>5</x:v>
      </x:c>
      <x:c r="D294" s="3" t="str">
        <x:v>present</x:v>
      </x:c>
      <x:c r="E294" s="5" t="str">
        <x:f>VLOOKUP(B294,Sections!$A$5:$I$45,3,FALSE)</x:f>
        <x:v>2024-1</x:v>
      </x:c>
    </x:row>
    <x:row r="295" ht="21" customHeight="1">
      <x:c r="A295" s="3" t="str">
        <x:v>2202020</x:v>
      </x:c>
      <x:c r="B295" s="3" t="str">
        <x:v>SEC002</x:v>
      </x:c>
      <x:c r="C295" s="3" t="n">
        <x:v>6</x:v>
      </x:c>
      <x:c r="D295" s="3" t="str">
        <x:v>present</x:v>
      </x:c>
      <x:c r="E295" s="5" t="str">
        <x:f>VLOOKUP(B295,Sections!$A$5:$I$45,3,FALSE)</x:f>
        <x:v>2024-1</x:v>
      </x:c>
    </x:row>
    <x:row r="296" ht="21" customHeight="1">
      <x:c r="A296" s="3" t="str">
        <x:v>2202020</x:v>
      </x:c>
      <x:c r="B296" s="3" t="str">
        <x:v>SEC002</x:v>
      </x:c>
      <x:c r="C296" s="3" t="n">
        <x:v>7</x:v>
      </x:c>
      <x:c r="D296" s="3" t="str">
        <x:v>excused</x:v>
      </x:c>
      <x:c r="E296" s="5" t="str">
        <x:f>VLOOKUP(B296,Sections!$A$5:$I$45,3,FALSE)</x:f>
        <x:v>2024-1</x:v>
      </x:c>
    </x:row>
    <x:row r="297" ht="21" customHeight="1">
      <x:c r="A297" s="3" t="str">
        <x:v>2202020</x:v>
      </x:c>
      <x:c r="B297" s="3" t="str">
        <x:v>SEC002</x:v>
      </x:c>
      <x:c r="C297" s="3" t="n">
        <x:v>8</x:v>
      </x:c>
      <x:c r="D297" s="3" t="str">
        <x:v>present</x:v>
      </x:c>
      <x:c r="E297" s="5" t="str">
        <x:f>VLOOKUP(B297,Sections!$A$5:$I$45,3,FALSE)</x:f>
        <x:v>2024-1</x:v>
      </x:c>
    </x:row>
    <x:row r="298" ht="21" customHeight="1">
      <x:c r="A298" s="3" t="str">
        <x:v>2202020</x:v>
      </x:c>
      <x:c r="B298" s="3" t="str">
        <x:v>SEC002</x:v>
      </x:c>
      <x:c r="C298" s="3" t="n">
        <x:v>9</x:v>
      </x:c>
      <x:c r="D298" s="3" t="str">
        <x:v>absent</x:v>
      </x:c>
      <x:c r="E298" s="5" t="str">
        <x:f>VLOOKUP(B298,Sections!$A$5:$I$45,3,FALSE)</x:f>
        <x:v>2024-1</x:v>
      </x:c>
    </x:row>
    <x:row r="299" ht="21" customHeight="1">
      <x:c r="A299" s="3" t="str">
        <x:v>2202020</x:v>
      </x:c>
      <x:c r="B299" s="3" t="str">
        <x:v>SEC002</x:v>
      </x:c>
      <x:c r="C299" s="3" t="n">
        <x:v>10</x:v>
      </x:c>
      <x:c r="D299" s="3" t="str">
        <x:v>absent</x:v>
      </x:c>
      <x:c r="E299" s="5" t="str">
        <x:f>VLOOKUP(B299,Sections!$A$5:$I$45,3,FALSE)</x:f>
        <x:v>2024-1</x:v>
      </x:c>
    </x:row>
    <x:row r="300" ht="21" customHeight="1">
      <x:c r="A300" s="3" t="str">
        <x:v>2202020</x:v>
      </x:c>
      <x:c r="B300" s="3" t="str">
        <x:v>SEC002</x:v>
      </x:c>
      <x:c r="C300" s="3" t="n">
        <x:v>11</x:v>
      </x:c>
      <x:c r="D300" s="3" t="str">
        <x:v>absent</x:v>
      </x:c>
      <x:c r="E300" s="5" t="str">
        <x:f>VLOOKUP(B300,Sections!$A$5:$I$45,3,FALSE)</x:f>
        <x:v>2024-1</x:v>
      </x:c>
    </x:row>
    <x:row r="301" ht="21" customHeight="1">
      <x:c r="A301" s="3" t="str">
        <x:v>2202020</x:v>
      </x:c>
      <x:c r="B301" s="3" t="str">
        <x:v>SEC002</x:v>
      </x:c>
      <x:c r="C301" s="3" t="n">
        <x:v>12</x:v>
      </x:c>
      <x:c r="D301" s="3" t="str">
        <x:v>present</x:v>
      </x:c>
      <x:c r="E301" s="5" t="str">
        <x:f>VLOOKUP(B301,Sections!$A$5:$I$45,3,FALSE)</x:f>
        <x:v>2024-1</x:v>
      </x:c>
    </x:row>
    <x:row r="302" ht="21" customHeight="1">
      <x:c r="A302" s="3" t="str">
        <x:v>2202020</x:v>
      </x:c>
      <x:c r="B302" s="3" t="str">
        <x:v>SEC002</x:v>
      </x:c>
      <x:c r="C302" s="3" t="n">
        <x:v>13</x:v>
      </x:c>
      <x:c r="D302" s="3" t="str">
        <x:v>present</x:v>
      </x:c>
      <x:c r="E302" s="5" t="str">
        <x:f>VLOOKUP(B302,Sections!$A$5:$I$45,3,FALSE)</x:f>
        <x:v>2024-1</x:v>
      </x:c>
    </x:row>
    <x:row r="303" ht="21" customHeight="1">
      <x:c r="A303" s="3" t="str">
        <x:v>2202020</x:v>
      </x:c>
      <x:c r="B303" s="3" t="str">
        <x:v>SEC002</x:v>
      </x:c>
      <x:c r="C303" s="3" t="n">
        <x:v>14</x:v>
      </x:c>
      <x:c r="D303" s="3" t="str">
        <x:v>absent</x:v>
      </x:c>
      <x:c r="E303" s="5" t="str">
        <x:f>VLOOKUP(B303,Sections!$A$5:$I$45,3,FALSE)</x:f>
        <x:v>2024-1</x:v>
      </x:c>
    </x:row>
    <x:row r="304" ht="21" customHeight="1">
      <x:c r="A304" s="3" t="str">
        <x:v>2202020</x:v>
      </x:c>
      <x:c r="B304" s="3" t="str">
        <x:v>SEC002</x:v>
      </x:c>
      <x:c r="C304" s="3" t="n">
        <x:v>15</x:v>
      </x:c>
      <x:c r="D304" s="3" t="str">
        <x:v>present</x:v>
      </x:c>
      <x:c r="E304" s="5" t="str">
        <x:f>VLOOKUP(B304,Sections!$A$5:$I$45,3,FALSE)</x:f>
        <x:v>2024-1</x:v>
      </x:c>
    </x:row>
    <x:row r="305" ht="21" customHeight="1">
      <x:c r="A305" s="3" t="str">
        <x:v>2202005</x:v>
      </x:c>
      <x:c r="B305" s="3" t="str">
        <x:v>SEC003</x:v>
      </x:c>
      <x:c r="C305" s="3" t="n">
        <x:v>1</x:v>
      </x:c>
      <x:c r="D305" s="3" t="str">
        <x:v>present</x:v>
      </x:c>
      <x:c r="E305" s="5" t="str">
        <x:f>VLOOKUP(B305,Sections!$A$5:$I$45,3,FALSE)</x:f>
        <x:v>2025-1</x:v>
      </x:c>
    </x:row>
    <x:row r="306" ht="21" customHeight="1">
      <x:c r="A306" s="3" t="str">
        <x:v>2202005</x:v>
      </x:c>
      <x:c r="B306" s="3" t="str">
        <x:v>SEC003</x:v>
      </x:c>
      <x:c r="C306" s="3" t="n">
        <x:v>2</x:v>
      </x:c>
      <x:c r="D306" s="3" t="str">
        <x:v>present</x:v>
      </x:c>
      <x:c r="E306" s="5" t="str">
        <x:f>VLOOKUP(B306,Sections!$A$5:$I$45,3,FALSE)</x:f>
        <x:v>2025-1</x:v>
      </x:c>
    </x:row>
    <x:row r="307" ht="21" customHeight="1">
      <x:c r="A307" s="3" t="str">
        <x:v>2202005</x:v>
      </x:c>
      <x:c r="B307" s="3" t="str">
        <x:v>SEC003</x:v>
      </x:c>
      <x:c r="C307" s="3" t="n">
        <x:v>3</x:v>
      </x:c>
      <x:c r="D307" s="3" t="str">
        <x:v>present</x:v>
      </x:c>
      <x:c r="E307" s="5" t="str">
        <x:f>VLOOKUP(B307,Sections!$A$5:$I$45,3,FALSE)</x:f>
        <x:v>2025-1</x:v>
      </x:c>
    </x:row>
    <x:row r="308" ht="21" customHeight="1">
      <x:c r="A308" s="3" t="str">
        <x:v>2202005</x:v>
      </x:c>
      <x:c r="B308" s="3" t="str">
        <x:v>SEC003</x:v>
      </x:c>
      <x:c r="C308" s="3" t="n">
        <x:v>4</x:v>
      </x:c>
      <x:c r="D308" s="3" t="str">
        <x:v>present</x:v>
      </x:c>
      <x:c r="E308" s="5" t="str">
        <x:f>VLOOKUP(B308,Sections!$A$5:$I$45,3,FALSE)</x:f>
        <x:v>2025-1</x:v>
      </x:c>
    </x:row>
    <x:row r="309" ht="21" customHeight="1">
      <x:c r="A309" s="3" t="str">
        <x:v>2202005</x:v>
      </x:c>
      <x:c r="B309" s="3" t="str">
        <x:v>SEC003</x:v>
      </x:c>
      <x:c r="C309" s="3" t="n">
        <x:v>5</x:v>
      </x:c>
      <x:c r="D309" s="3" t="str">
        <x:v>present</x:v>
      </x:c>
      <x:c r="E309" s="5" t="str">
        <x:f>VLOOKUP(B309,Sections!$A$5:$I$45,3,FALSE)</x:f>
        <x:v>2025-1</x:v>
      </x:c>
    </x:row>
    <x:row r="310" ht="21" customHeight="1">
      <x:c r="A310" s="3" t="str">
        <x:v>2202005</x:v>
      </x:c>
      <x:c r="B310" s="3" t="str">
        <x:v>SEC003</x:v>
      </x:c>
      <x:c r="C310" s="3" t="n">
        <x:v>6</x:v>
      </x:c>
      <x:c r="D310" s="3" t="str">
        <x:v>late</x:v>
      </x:c>
      <x:c r="E310" s="5" t="str">
        <x:f>VLOOKUP(B310,Sections!$A$5:$I$45,3,FALSE)</x:f>
        <x:v>2025-1</x:v>
      </x:c>
    </x:row>
    <x:row r="311" ht="21" customHeight="1">
      <x:c r="A311" s="3" t="str">
        <x:v>2202005</x:v>
      </x:c>
      <x:c r="B311" s="3" t="str">
        <x:v>SEC003</x:v>
      </x:c>
      <x:c r="C311" s="3" t="n">
        <x:v>7</x:v>
      </x:c>
      <x:c r="D311" s="3" t="str">
        <x:v>present</x:v>
      </x:c>
      <x:c r="E311" s="5" t="str">
        <x:f>VLOOKUP(B311,Sections!$A$5:$I$45,3,FALSE)</x:f>
        <x:v>2025-1</x:v>
      </x:c>
    </x:row>
    <x:row r="312" ht="21" customHeight="1">
      <x:c r="A312" s="3" t="str">
        <x:v>2202005</x:v>
      </x:c>
      <x:c r="B312" s="3" t="str">
        <x:v>SEC003</x:v>
      </x:c>
      <x:c r="C312" s="3" t="n">
        <x:v>8</x:v>
      </x:c>
      <x:c r="D312" s="3" t="str">
        <x:v>absent</x:v>
      </x:c>
      <x:c r="E312" s="5" t="str">
        <x:f>VLOOKUP(B312,Sections!$A$5:$I$45,3,FALSE)</x:f>
        <x:v>2025-1</x:v>
      </x:c>
    </x:row>
    <x:row r="313" ht="21" customHeight="1">
      <x:c r="A313" s="3" t="str">
        <x:v>2202005</x:v>
      </x:c>
      <x:c r="B313" s="3" t="str">
        <x:v>SEC003</x:v>
      </x:c>
      <x:c r="C313" s="3" t="n">
        <x:v>9</x:v>
      </x:c>
      <x:c r="D313" s="3" t="str">
        <x:v>excused</x:v>
      </x:c>
      <x:c r="E313" s="5" t="str">
        <x:f>VLOOKUP(B313,Sections!$A$5:$I$45,3,FALSE)</x:f>
        <x:v>2025-1</x:v>
      </x:c>
    </x:row>
    <x:row r="314" ht="21" customHeight="1">
      <x:c r="A314" s="3" t="str">
        <x:v>2202005</x:v>
      </x:c>
      <x:c r="B314" s="3" t="str">
        <x:v>SEC003</x:v>
      </x:c>
      <x:c r="C314" s="3" t="n">
        <x:v>10</x:v>
      </x:c>
      <x:c r="D314" s="3" t="str">
        <x:v>present</x:v>
      </x:c>
      <x:c r="E314" s="5" t="str">
        <x:f>VLOOKUP(B314,Sections!$A$5:$I$45,3,FALSE)</x:f>
        <x:v>2025-1</x:v>
      </x:c>
    </x:row>
    <x:row r="315" ht="21" customHeight="1">
      <x:c r="A315" s="3" t="str">
        <x:v>2202005</x:v>
      </x:c>
      <x:c r="B315" s="3" t="str">
        <x:v>SEC003</x:v>
      </x:c>
      <x:c r="C315" s="3" t="n">
        <x:v>11</x:v>
      </x:c>
      <x:c r="D315" s="3" t="str">
        <x:v>present</x:v>
      </x:c>
      <x:c r="E315" s="5" t="str">
        <x:f>VLOOKUP(B315,Sections!$A$5:$I$45,3,FALSE)</x:f>
        <x:v>2025-1</x:v>
      </x:c>
    </x:row>
    <x:row r="316" ht="21" customHeight="1">
      <x:c r="A316" s="3" t="str">
        <x:v>2202005</x:v>
      </x:c>
      <x:c r="B316" s="3" t="str">
        <x:v>SEC003</x:v>
      </x:c>
      <x:c r="C316" s="3" t="n">
        <x:v>12</x:v>
      </x:c>
      <x:c r="D316" s="3" t="str">
        <x:v>absent</x:v>
      </x:c>
      <x:c r="E316" s="5" t="str">
        <x:f>VLOOKUP(B316,Sections!$A$5:$I$45,3,FALSE)</x:f>
        <x:v>2025-1</x:v>
      </x:c>
    </x:row>
    <x:row r="317" ht="21" customHeight="1">
      <x:c r="A317" s="3" t="str">
        <x:v>2202005</x:v>
      </x:c>
      <x:c r="B317" s="3" t="str">
        <x:v>SEC003</x:v>
      </x:c>
      <x:c r="C317" s="3" t="n">
        <x:v>13</x:v>
      </x:c>
      <x:c r="D317" s="3" t="str">
        <x:v>present</x:v>
      </x:c>
      <x:c r="E317" s="5" t="str">
        <x:f>VLOOKUP(B317,Sections!$A$5:$I$45,3,FALSE)</x:f>
        <x:v>2025-1</x:v>
      </x:c>
    </x:row>
    <x:row r="318" ht="21" customHeight="1">
      <x:c r="A318" s="3" t="str">
        <x:v>2202005</x:v>
      </x:c>
      <x:c r="B318" s="3" t="str">
        <x:v>SEC003</x:v>
      </x:c>
      <x:c r="C318" s="3" t="n">
        <x:v>14</x:v>
      </x:c>
      <x:c r="D318" s="3" t="str">
        <x:v>present</x:v>
      </x:c>
      <x:c r="E318" s="5" t="str">
        <x:f>VLOOKUP(B318,Sections!$A$5:$I$45,3,FALSE)</x:f>
        <x:v>2025-1</x:v>
      </x:c>
    </x:row>
    <x:row r="319" ht="21" customHeight="1">
      <x:c r="A319" s="3" t="str">
        <x:v>2202005</x:v>
      </x:c>
      <x:c r="B319" s="3" t="str">
        <x:v>SEC003</x:v>
      </x:c>
      <x:c r="C319" s="3" t="n">
        <x:v>15</x:v>
      </x:c>
      <x:c r="D319" s="3" t="str">
        <x:v>present</x:v>
      </x:c>
      <x:c r="E319" s="5" t="str">
        <x:f>VLOOKUP(B319,Sections!$A$5:$I$45,3,FALSE)</x:f>
        <x:v>2025-1</x:v>
      </x:c>
    </x:row>
    <x:row r="320" ht="21" customHeight="1">
      <x:c r="A320" s="3" t="str">
        <x:v>2202010</x:v>
      </x:c>
      <x:c r="B320" s="3" t="str">
        <x:v>SEC003</x:v>
      </x:c>
      <x:c r="C320" s="3" t="n">
        <x:v>1</x:v>
      </x:c>
      <x:c r="D320" s="3" t="str">
        <x:v>absent</x:v>
      </x:c>
      <x:c r="E320" s="5" t="str">
        <x:f>VLOOKUP(B320,Sections!$A$5:$I$45,3,FALSE)</x:f>
        <x:v>2025-1</x:v>
      </x:c>
    </x:row>
    <x:row r="321" ht="21" customHeight="1">
      <x:c r="A321" s="3" t="str">
        <x:v>2202010</x:v>
      </x:c>
      <x:c r="B321" s="3" t="str">
        <x:v>SEC003</x:v>
      </x:c>
      <x:c r="C321" s="3" t="n">
        <x:v>2</x:v>
      </x:c>
      <x:c r="D321" s="3" t="str">
        <x:v>present</x:v>
      </x:c>
      <x:c r="E321" s="5" t="str">
        <x:f>VLOOKUP(B321,Sections!$A$5:$I$45,3,FALSE)</x:f>
        <x:v>2025-1</x:v>
      </x:c>
    </x:row>
    <x:row r="322" ht="21" customHeight="1">
      <x:c r="A322" s="3" t="str">
        <x:v>2202010</x:v>
      </x:c>
      <x:c r="B322" s="3" t="str">
        <x:v>SEC003</x:v>
      </x:c>
      <x:c r="C322" s="3" t="n">
        <x:v>3</x:v>
      </x:c>
      <x:c r="D322" s="3" t="str">
        <x:v>late</x:v>
      </x:c>
      <x:c r="E322" s="5" t="str">
        <x:f>VLOOKUP(B322,Sections!$A$5:$I$45,3,FALSE)</x:f>
        <x:v>2025-1</x:v>
      </x:c>
    </x:row>
    <x:row r="323" ht="21" customHeight="1">
      <x:c r="A323" s="3" t="str">
        <x:v>2202010</x:v>
      </x:c>
      <x:c r="B323" s="3" t="str">
        <x:v>SEC003</x:v>
      </x:c>
      <x:c r="C323" s="3" t="n">
        <x:v>4</x:v>
      </x:c>
      <x:c r="D323" s="3" t="str">
        <x:v>present</x:v>
      </x:c>
      <x:c r="E323" s="5" t="str">
        <x:f>VLOOKUP(B323,Sections!$A$5:$I$45,3,FALSE)</x:f>
        <x:v>2025-1</x:v>
      </x:c>
    </x:row>
    <x:row r="324" ht="21" customHeight="1">
      <x:c r="A324" s="3" t="str">
        <x:v>2202010</x:v>
      </x:c>
      <x:c r="B324" s="3" t="str">
        <x:v>SEC003</x:v>
      </x:c>
      <x:c r="C324" s="3" t="n">
        <x:v>5</x:v>
      </x:c>
      <x:c r="D324" s="3" t="str">
        <x:v>present</x:v>
      </x:c>
      <x:c r="E324" s="5" t="str">
        <x:f>VLOOKUP(B324,Sections!$A$5:$I$45,3,FALSE)</x:f>
        <x:v>2025-1</x:v>
      </x:c>
    </x:row>
    <x:row r="325" ht="21" customHeight="1">
      <x:c r="A325" s="3" t="str">
        <x:v>2202010</x:v>
      </x:c>
      <x:c r="B325" s="3" t="str">
        <x:v>SEC003</x:v>
      </x:c>
      <x:c r="C325" s="3" t="n">
        <x:v>6</x:v>
      </x:c>
      <x:c r="D325" s="3" t="str">
        <x:v>absent</x:v>
      </x:c>
      <x:c r="E325" s="5" t="str">
        <x:f>VLOOKUP(B325,Sections!$A$5:$I$45,3,FALSE)</x:f>
        <x:v>2025-1</x:v>
      </x:c>
    </x:row>
    <x:row r="326" ht="21" customHeight="1">
      <x:c r="A326" s="3" t="str">
        <x:v>2202010</x:v>
      </x:c>
      <x:c r="B326" s="3" t="str">
        <x:v>SEC003</x:v>
      </x:c>
      <x:c r="C326" s="3" t="n">
        <x:v>7</x:v>
      </x:c>
      <x:c r="D326" s="3" t="str">
        <x:v>absent</x:v>
      </x:c>
      <x:c r="E326" s="5" t="str">
        <x:f>VLOOKUP(B326,Sections!$A$5:$I$45,3,FALSE)</x:f>
        <x:v>2025-1</x:v>
      </x:c>
    </x:row>
    <x:row r="327" ht="21" customHeight="1">
      <x:c r="A327" s="3" t="str">
        <x:v>2202010</x:v>
      </x:c>
      <x:c r="B327" s="3" t="str">
        <x:v>SEC003</x:v>
      </x:c>
      <x:c r="C327" s="3" t="n">
        <x:v>8</x:v>
      </x:c>
      <x:c r="D327" s="3" t="str">
        <x:v>present</x:v>
      </x:c>
      <x:c r="E327" s="5" t="str">
        <x:f>VLOOKUP(B327,Sections!$A$5:$I$45,3,FALSE)</x:f>
        <x:v>2025-1</x:v>
      </x:c>
    </x:row>
    <x:row r="328" ht="21" customHeight="1">
      <x:c r="A328" s="3" t="str">
        <x:v>2202010</x:v>
      </x:c>
      <x:c r="B328" s="3" t="str">
        <x:v>SEC003</x:v>
      </x:c>
      <x:c r="C328" s="3" t="n">
        <x:v>9</x:v>
      </x:c>
      <x:c r="D328" s="3" t="str">
        <x:v>present</x:v>
      </x:c>
      <x:c r="E328" s="5" t="str">
        <x:f>VLOOKUP(B328,Sections!$A$5:$I$45,3,FALSE)</x:f>
        <x:v>2025-1</x:v>
      </x:c>
    </x:row>
    <x:row r="329" ht="21" customHeight="1">
      <x:c r="A329" s="3" t="str">
        <x:v>2202010</x:v>
      </x:c>
      <x:c r="B329" s="3" t="str">
        <x:v>SEC003</x:v>
      </x:c>
      <x:c r="C329" s="3" t="n">
        <x:v>10</x:v>
      </x:c>
      <x:c r="D329" s="3" t="str">
        <x:v>absent</x:v>
      </x:c>
      <x:c r="E329" s="5" t="str">
        <x:f>VLOOKUP(B329,Sections!$A$5:$I$45,3,FALSE)</x:f>
        <x:v>2025-1</x:v>
      </x:c>
    </x:row>
    <x:row r="330" ht="21" customHeight="1">
      <x:c r="A330" s="3" t="str">
        <x:v>2202010</x:v>
      </x:c>
      <x:c r="B330" s="3" t="str">
        <x:v>SEC003</x:v>
      </x:c>
      <x:c r="C330" s="3" t="n">
        <x:v>11</x:v>
      </x:c>
      <x:c r="D330" s="3" t="str">
        <x:v>absent</x:v>
      </x:c>
      <x:c r="E330" s="5" t="str">
        <x:f>VLOOKUP(B330,Sections!$A$5:$I$45,3,FALSE)</x:f>
        <x:v>2025-1</x:v>
      </x:c>
    </x:row>
    <x:row r="331" ht="21" customHeight="1">
      <x:c r="A331" s="3" t="str">
        <x:v>2202010</x:v>
      </x:c>
      <x:c r="B331" s="3" t="str">
        <x:v>SEC003</x:v>
      </x:c>
      <x:c r="C331" s="3" t="n">
        <x:v>12</x:v>
      </x:c>
      <x:c r="D331" s="3" t="str">
        <x:v>present</x:v>
      </x:c>
      <x:c r="E331" s="5" t="str">
        <x:f>VLOOKUP(B331,Sections!$A$5:$I$45,3,FALSE)</x:f>
        <x:v>2025-1</x:v>
      </x:c>
    </x:row>
    <x:row r="332" ht="21" customHeight="1">
      <x:c r="A332" s="3" t="str">
        <x:v>2202010</x:v>
      </x:c>
      <x:c r="B332" s="3" t="str">
        <x:v>SEC003</x:v>
      </x:c>
      <x:c r="C332" s="3" t="n">
        <x:v>13</x:v>
      </x:c>
      <x:c r="D332" s="3" t="str">
        <x:v>absent</x:v>
      </x:c>
      <x:c r="E332" s="5" t="str">
        <x:f>VLOOKUP(B332,Sections!$A$5:$I$45,3,FALSE)</x:f>
        <x:v>2025-1</x:v>
      </x:c>
    </x:row>
    <x:row r="333" ht="21" customHeight="1">
      <x:c r="A333" s="3" t="str">
        <x:v>2202010</x:v>
      </x:c>
      <x:c r="B333" s="3" t="str">
        <x:v>SEC003</x:v>
      </x:c>
      <x:c r="C333" s="3" t="n">
        <x:v>14</x:v>
      </x:c>
      <x:c r="D333" s="3" t="str">
        <x:v>present</x:v>
      </x:c>
      <x:c r="E333" s="5" t="str">
        <x:f>VLOOKUP(B333,Sections!$A$5:$I$45,3,FALSE)</x:f>
        <x:v>2025-1</x:v>
      </x:c>
    </x:row>
    <x:row r="334" ht="21" customHeight="1">
      <x:c r="A334" s="3" t="str">
        <x:v>2202010</x:v>
      </x:c>
      <x:c r="B334" s="3" t="str">
        <x:v>SEC003</x:v>
      </x:c>
      <x:c r="C334" s="3" t="n">
        <x:v>15</x:v>
      </x:c>
      <x:c r="D334" s="3" t="str">
        <x:v>present</x:v>
      </x:c>
      <x:c r="E334" s="5" t="str">
        <x:f>VLOOKUP(B334,Sections!$A$5:$I$45,3,FALSE)</x:f>
        <x:v>2025-1</x:v>
      </x:c>
    </x:row>
    <x:row r="335" ht="21" customHeight="1">
      <x:c r="A335" s="3" t="str">
        <x:v>2202015</x:v>
      </x:c>
      <x:c r="B335" s="3" t="str">
        <x:v>SEC004</x:v>
      </x:c>
      <x:c r="C335" s="3" t="n">
        <x:v>1</x:v>
      </x:c>
      <x:c r="D335" s="3" t="str">
        <x:v>absent</x:v>
      </x:c>
      <x:c r="E335" s="5" t="str">
        <x:f>VLOOKUP(B335,Sections!$A$5:$I$45,3,FALSE)</x:f>
        <x:v>2025-1</x:v>
      </x:c>
    </x:row>
    <x:row r="336" ht="21" customHeight="1">
      <x:c r="A336" s="3" t="str">
        <x:v>2202015</x:v>
      </x:c>
      <x:c r="B336" s="3" t="str">
        <x:v>SEC004</x:v>
      </x:c>
      <x:c r="C336" s="3" t="n">
        <x:v>2</x:v>
      </x:c>
      <x:c r="D336" s="3" t="str">
        <x:v>excused</x:v>
      </x:c>
      <x:c r="E336" s="5" t="str">
        <x:f>VLOOKUP(B336,Sections!$A$5:$I$45,3,FALSE)</x:f>
        <x:v>2025-1</x:v>
      </x:c>
    </x:row>
    <x:row r="337" ht="21" customHeight="1">
      <x:c r="A337" s="3" t="str">
        <x:v>2202015</x:v>
      </x:c>
      <x:c r="B337" s="3" t="str">
        <x:v>SEC004</x:v>
      </x:c>
      <x:c r="C337" s="3" t="n">
        <x:v>3</x:v>
      </x:c>
      <x:c r="D337" s="3" t="str">
        <x:v>absent</x:v>
      </x:c>
      <x:c r="E337" s="5" t="str">
        <x:f>VLOOKUP(B337,Sections!$A$5:$I$45,3,FALSE)</x:f>
        <x:v>2025-1</x:v>
      </x:c>
    </x:row>
    <x:row r="338" ht="21" customHeight="1">
      <x:c r="A338" s="3" t="str">
        <x:v>2202015</x:v>
      </x:c>
      <x:c r="B338" s="3" t="str">
        <x:v>SEC004</x:v>
      </x:c>
      <x:c r="C338" s="3" t="n">
        <x:v>4</x:v>
      </x:c>
      <x:c r="D338" s="3" t="str">
        <x:v>present</x:v>
      </x:c>
      <x:c r="E338" s="5" t="str">
        <x:f>VLOOKUP(B338,Sections!$A$5:$I$45,3,FALSE)</x:f>
        <x:v>2025-1</x:v>
      </x:c>
    </x:row>
    <x:row r="339" ht="21" customHeight="1">
      <x:c r="A339" s="3" t="str">
        <x:v>2202015</x:v>
      </x:c>
      <x:c r="B339" s="3" t="str">
        <x:v>SEC004</x:v>
      </x:c>
      <x:c r="C339" s="3" t="n">
        <x:v>5</x:v>
      </x:c>
      <x:c r="D339" s="3" t="str">
        <x:v>absent</x:v>
      </x:c>
      <x:c r="E339" s="5" t="str">
        <x:f>VLOOKUP(B339,Sections!$A$5:$I$45,3,FALSE)</x:f>
        <x:v>2025-1</x:v>
      </x:c>
    </x:row>
    <x:row r="340" ht="21" customHeight="1">
      <x:c r="A340" s="3" t="str">
        <x:v>2202015</x:v>
      </x:c>
      <x:c r="B340" s="3" t="str">
        <x:v>SEC004</x:v>
      </x:c>
      <x:c r="C340" s="3" t="n">
        <x:v>6</x:v>
      </x:c>
      <x:c r="D340" s="3" t="str">
        <x:v>present</x:v>
      </x:c>
      <x:c r="E340" s="5" t="str">
        <x:f>VLOOKUP(B340,Sections!$A$5:$I$45,3,FALSE)</x:f>
        <x:v>2025-1</x:v>
      </x:c>
    </x:row>
    <x:row r="341" ht="21" customHeight="1">
      <x:c r="A341" s="3" t="str">
        <x:v>2202015</x:v>
      </x:c>
      <x:c r="B341" s="3" t="str">
        <x:v>SEC004</x:v>
      </x:c>
      <x:c r="C341" s="3" t="n">
        <x:v>7</x:v>
      </x:c>
      <x:c r="D341" s="3" t="str">
        <x:v>present</x:v>
      </x:c>
      <x:c r="E341" s="5" t="str">
        <x:f>VLOOKUP(B341,Sections!$A$5:$I$45,3,FALSE)</x:f>
        <x:v>2025-1</x:v>
      </x:c>
    </x:row>
    <x:row r="342" ht="21" customHeight="1">
      <x:c r="A342" s="3" t="str">
        <x:v>2202015</x:v>
      </x:c>
      <x:c r="B342" s="3" t="str">
        <x:v>SEC004</x:v>
      </x:c>
      <x:c r="C342" s="3" t="n">
        <x:v>8</x:v>
      </x:c>
      <x:c r="D342" s="3" t="str">
        <x:v>absent</x:v>
      </x:c>
      <x:c r="E342" s="5" t="str">
        <x:f>VLOOKUP(B342,Sections!$A$5:$I$45,3,FALSE)</x:f>
        <x:v>2025-1</x:v>
      </x:c>
    </x:row>
    <x:row r="343" ht="21" customHeight="1">
      <x:c r="A343" s="3" t="str">
        <x:v>2202015</x:v>
      </x:c>
      <x:c r="B343" s="3" t="str">
        <x:v>SEC004</x:v>
      </x:c>
      <x:c r="C343" s="3" t="n">
        <x:v>9</x:v>
      </x:c>
      <x:c r="D343" s="3" t="str">
        <x:v>present</x:v>
      </x:c>
      <x:c r="E343" s="5" t="str">
        <x:f>VLOOKUP(B343,Sections!$A$5:$I$45,3,FALSE)</x:f>
        <x:v>2025-1</x:v>
      </x:c>
    </x:row>
    <x:row r="344" ht="21" customHeight="1">
      <x:c r="A344" s="3" t="str">
        <x:v>2202015</x:v>
      </x:c>
      <x:c r="B344" s="3" t="str">
        <x:v>SEC004</x:v>
      </x:c>
      <x:c r="C344" s="3" t="n">
        <x:v>10</x:v>
      </x:c>
      <x:c r="D344" s="3" t="str">
        <x:v>late</x:v>
      </x:c>
      <x:c r="E344" s="5" t="str">
        <x:f>VLOOKUP(B344,Sections!$A$5:$I$45,3,FALSE)</x:f>
        <x:v>2025-1</x:v>
      </x:c>
    </x:row>
    <x:row r="345" ht="21" customHeight="1">
      <x:c r="A345" s="3" t="str">
        <x:v>2202015</x:v>
      </x:c>
      <x:c r="B345" s="3" t="str">
        <x:v>SEC004</x:v>
      </x:c>
      <x:c r="C345" s="3" t="n">
        <x:v>11</x:v>
      </x:c>
      <x:c r="D345" s="3" t="str">
        <x:v>absent</x:v>
      </x:c>
      <x:c r="E345" s="5" t="str">
        <x:f>VLOOKUP(B345,Sections!$A$5:$I$45,3,FALSE)</x:f>
        <x:v>2025-1</x:v>
      </x:c>
    </x:row>
    <x:row r="346" ht="21" customHeight="1">
      <x:c r="A346" s="3" t="str">
        <x:v>2202015</x:v>
      </x:c>
      <x:c r="B346" s="3" t="str">
        <x:v>SEC004</x:v>
      </x:c>
      <x:c r="C346" s="3" t="n">
        <x:v>12</x:v>
      </x:c>
      <x:c r="D346" s="3" t="str">
        <x:v>present</x:v>
      </x:c>
      <x:c r="E346" s="5" t="str">
        <x:f>VLOOKUP(B346,Sections!$A$5:$I$45,3,FALSE)</x:f>
        <x:v>2025-1</x:v>
      </x:c>
    </x:row>
    <x:row r="347" ht="21" customHeight="1">
      <x:c r="A347" s="3" t="str">
        <x:v>2202015</x:v>
      </x:c>
      <x:c r="B347" s="3" t="str">
        <x:v>SEC004</x:v>
      </x:c>
      <x:c r="C347" s="3" t="n">
        <x:v>13</x:v>
      </x:c>
      <x:c r="D347" s="3" t="str">
        <x:v>late</x:v>
      </x:c>
      <x:c r="E347" s="5" t="str">
        <x:f>VLOOKUP(B347,Sections!$A$5:$I$45,3,FALSE)</x:f>
        <x:v>2025-1</x:v>
      </x:c>
    </x:row>
    <x:row r="348" ht="21" customHeight="1">
      <x:c r="A348" s="3" t="str">
        <x:v>2202015</x:v>
      </x:c>
      <x:c r="B348" s="3" t="str">
        <x:v>SEC004</x:v>
      </x:c>
      <x:c r="C348" s="3" t="n">
        <x:v>14</x:v>
      </x:c>
      <x:c r="D348" s="3" t="str">
        <x:v>present</x:v>
      </x:c>
      <x:c r="E348" s="5" t="str">
        <x:f>VLOOKUP(B348,Sections!$A$5:$I$45,3,FALSE)</x:f>
        <x:v>2025-1</x:v>
      </x:c>
    </x:row>
    <x:row r="349" ht="21" customHeight="1">
      <x:c r="A349" s="3" t="str">
        <x:v>2202015</x:v>
      </x:c>
      <x:c r="B349" s="3" t="str">
        <x:v>SEC004</x:v>
      </x:c>
      <x:c r="C349" s="3" t="n">
        <x:v>15</x:v>
      </x:c>
      <x:c r="D349" s="3" t="str">
        <x:v>absent</x:v>
      </x:c>
      <x:c r="E349" s="5" t="str">
        <x:f>VLOOKUP(B349,Sections!$A$5:$I$45,3,FALSE)</x:f>
        <x:v>2025-1</x:v>
      </x:c>
    </x:row>
    <x:row r="350" ht="21" customHeight="1">
      <x:c r="A350" s="3" t="str">
        <x:v>2202020</x:v>
      </x:c>
      <x:c r="B350" s="3" t="str">
        <x:v>SEC004</x:v>
      </x:c>
      <x:c r="C350" s="3" t="n">
        <x:v>1</x:v>
      </x:c>
      <x:c r="D350" s="3" t="str">
        <x:v>present</x:v>
      </x:c>
      <x:c r="E350" s="5" t="str">
        <x:f>VLOOKUP(B350,Sections!$A$5:$I$45,3,FALSE)</x:f>
        <x:v>2025-1</x:v>
      </x:c>
    </x:row>
    <x:row r="351" ht="21" customHeight="1">
      <x:c r="A351" s="3" t="str">
        <x:v>2202020</x:v>
      </x:c>
      <x:c r="B351" s="3" t="str">
        <x:v>SEC004</x:v>
      </x:c>
      <x:c r="C351" s="3" t="n">
        <x:v>2</x:v>
      </x:c>
      <x:c r="D351" s="3" t="str">
        <x:v>absent</x:v>
      </x:c>
      <x:c r="E351" s="5" t="str">
        <x:f>VLOOKUP(B351,Sections!$A$5:$I$45,3,FALSE)</x:f>
        <x:v>2025-1</x:v>
      </x:c>
    </x:row>
    <x:row r="352" ht="21" customHeight="1">
      <x:c r="A352" s="3" t="str">
        <x:v>2202020</x:v>
      </x:c>
      <x:c r="B352" s="3" t="str">
        <x:v>SEC004</x:v>
      </x:c>
      <x:c r="C352" s="3" t="n">
        <x:v>3</x:v>
      </x:c>
      <x:c r="D352" s="3" t="str">
        <x:v>present</x:v>
      </x:c>
      <x:c r="E352" s="5" t="str">
        <x:f>VLOOKUP(B352,Sections!$A$5:$I$45,3,FALSE)</x:f>
        <x:v>2025-1</x:v>
      </x:c>
    </x:row>
    <x:row r="353" ht="21" customHeight="1">
      <x:c r="A353" s="3" t="str">
        <x:v>2202020</x:v>
      </x:c>
      <x:c r="B353" s="3" t="str">
        <x:v>SEC004</x:v>
      </x:c>
      <x:c r="C353" s="3" t="n">
        <x:v>4</x:v>
      </x:c>
      <x:c r="D353" s="3" t="str">
        <x:v>absent</x:v>
      </x:c>
      <x:c r="E353" s="5" t="str">
        <x:f>VLOOKUP(B353,Sections!$A$5:$I$45,3,FALSE)</x:f>
        <x:v>2025-1</x:v>
      </x:c>
    </x:row>
    <x:row r="354" ht="21" customHeight="1">
      <x:c r="A354" s="3" t="str">
        <x:v>2202020</x:v>
      </x:c>
      <x:c r="B354" s="3" t="str">
        <x:v>SEC004</x:v>
      </x:c>
      <x:c r="C354" s="3" t="n">
        <x:v>5</x:v>
      </x:c>
      <x:c r="D354" s="3" t="str">
        <x:v>late</x:v>
      </x:c>
      <x:c r="E354" s="5" t="str">
        <x:f>VLOOKUP(B354,Sections!$A$5:$I$45,3,FALSE)</x:f>
        <x:v>2025-1</x:v>
      </x:c>
    </x:row>
    <x:row r="355" ht="21" customHeight="1">
      <x:c r="A355" s="3" t="str">
        <x:v>2202020</x:v>
      </x:c>
      <x:c r="B355" s="3" t="str">
        <x:v>SEC004</x:v>
      </x:c>
      <x:c r="C355" s="3" t="n">
        <x:v>6</x:v>
      </x:c>
      <x:c r="D355" s="3" t="str">
        <x:v>present</x:v>
      </x:c>
      <x:c r="E355" s="5" t="str">
        <x:f>VLOOKUP(B355,Sections!$A$5:$I$45,3,FALSE)</x:f>
        <x:v>2025-1</x:v>
      </x:c>
    </x:row>
    <x:row r="356" ht="21" customHeight="1">
      <x:c r="A356" s="3" t="str">
        <x:v>2202020</x:v>
      </x:c>
      <x:c r="B356" s="3" t="str">
        <x:v>SEC004</x:v>
      </x:c>
      <x:c r="C356" s="3" t="n">
        <x:v>7</x:v>
      </x:c>
      <x:c r="D356" s="3" t="str">
        <x:v>absent</x:v>
      </x:c>
      <x:c r="E356" s="5" t="str">
        <x:f>VLOOKUP(B356,Sections!$A$5:$I$45,3,FALSE)</x:f>
        <x:v>2025-1</x:v>
      </x:c>
    </x:row>
    <x:row r="357" ht="21" customHeight="1">
      <x:c r="A357" s="3" t="str">
        <x:v>2202020</x:v>
      </x:c>
      <x:c r="B357" s="3" t="str">
        <x:v>SEC004</x:v>
      </x:c>
      <x:c r="C357" s="3" t="n">
        <x:v>8</x:v>
      </x:c>
      <x:c r="D357" s="3" t="str">
        <x:v>present</x:v>
      </x:c>
      <x:c r="E357" s="5" t="str">
        <x:f>VLOOKUP(B357,Sections!$A$5:$I$45,3,FALSE)</x:f>
        <x:v>2025-1</x:v>
      </x:c>
    </x:row>
    <x:row r="358" ht="21" customHeight="1">
      <x:c r="A358" s="3" t="str">
        <x:v>2202020</x:v>
      </x:c>
      <x:c r="B358" s="3" t="str">
        <x:v>SEC004</x:v>
      </x:c>
      <x:c r="C358" s="3" t="n">
        <x:v>9</x:v>
      </x:c>
      <x:c r="D358" s="3" t="str">
        <x:v>present</x:v>
      </x:c>
      <x:c r="E358" s="5" t="str">
        <x:f>VLOOKUP(B358,Sections!$A$5:$I$45,3,FALSE)</x:f>
        <x:v>2025-1</x:v>
      </x:c>
    </x:row>
    <x:row r="359" ht="21" customHeight="1">
      <x:c r="A359" s="3" t="str">
        <x:v>2202020</x:v>
      </x:c>
      <x:c r="B359" s="3" t="str">
        <x:v>SEC004</x:v>
      </x:c>
      <x:c r="C359" s="3" t="n">
        <x:v>10</x:v>
      </x:c>
      <x:c r="D359" s="3" t="str">
        <x:v>late</x:v>
      </x:c>
      <x:c r="E359" s="5" t="str">
        <x:f>VLOOKUP(B359,Sections!$A$5:$I$45,3,FALSE)</x:f>
        <x:v>2025-1</x:v>
      </x:c>
    </x:row>
    <x:row r="360" ht="21" customHeight="1">
      <x:c r="A360" s="3" t="str">
        <x:v>2202020</x:v>
      </x:c>
      <x:c r="B360" s="3" t="str">
        <x:v>SEC004</x:v>
      </x:c>
      <x:c r="C360" s="3" t="n">
        <x:v>11</x:v>
      </x:c>
      <x:c r="D360" s="3" t="str">
        <x:v>absent</x:v>
      </x:c>
      <x:c r="E360" s="5" t="str">
        <x:f>VLOOKUP(B360,Sections!$A$5:$I$45,3,FALSE)</x:f>
        <x:v>2025-1</x:v>
      </x:c>
    </x:row>
    <x:row r="361" ht="21" customHeight="1">
      <x:c r="A361" s="3" t="str">
        <x:v>2202020</x:v>
      </x:c>
      <x:c r="B361" s="3" t="str">
        <x:v>SEC004</x:v>
      </x:c>
      <x:c r="C361" s="3" t="n">
        <x:v>12</x:v>
      </x:c>
      <x:c r="D361" s="3" t="str">
        <x:v>present</x:v>
      </x:c>
      <x:c r="E361" s="5" t="str">
        <x:f>VLOOKUP(B361,Sections!$A$5:$I$45,3,FALSE)</x:f>
        <x:v>2025-1</x:v>
      </x:c>
    </x:row>
    <x:row r="362" ht="21" customHeight="1">
      <x:c r="A362" s="3" t="str">
        <x:v>2202020</x:v>
      </x:c>
      <x:c r="B362" s="3" t="str">
        <x:v>SEC004</x:v>
      </x:c>
      <x:c r="C362" s="3" t="n">
        <x:v>13</x:v>
      </x:c>
      <x:c r="D362" s="3" t="str">
        <x:v>absent</x:v>
      </x:c>
      <x:c r="E362" s="5" t="str">
        <x:f>VLOOKUP(B362,Sections!$A$5:$I$45,3,FALSE)</x:f>
        <x:v>2025-1</x:v>
      </x:c>
    </x:row>
    <x:row r="363" ht="21" customHeight="1">
      <x:c r="A363" s="3" t="str">
        <x:v>2202020</x:v>
      </x:c>
      <x:c r="B363" s="3" t="str">
        <x:v>SEC004</x:v>
      </x:c>
      <x:c r="C363" s="3" t="n">
        <x:v>14</x:v>
      </x:c>
      <x:c r="D363" s="3" t="str">
        <x:v>late</x:v>
      </x:c>
      <x:c r="E363" s="5" t="str">
        <x:f>VLOOKUP(B363,Sections!$A$5:$I$45,3,FALSE)</x:f>
        <x:v>2025-1</x:v>
      </x:c>
    </x:row>
    <x:row r="364" ht="21" customHeight="1">
      <x:c r="A364" s="3" t="str">
        <x:v>2202020</x:v>
      </x:c>
      <x:c r="B364" s="3" t="str">
        <x:v>SEC004</x:v>
      </x:c>
      <x:c r="C364" s="3" t="n">
        <x:v>15</x:v>
      </x:c>
      <x:c r="D364" s="3" t="str">
        <x:v>present</x:v>
      </x:c>
      <x:c r="E364" s="5" t="str">
        <x:f>VLOOKUP(B364,Sections!$A$5:$I$45,3,FALSE)</x:f>
        <x:v>2025-1</x:v>
      </x:c>
    </x:row>
    <x:row r="365" ht="21" customHeight="1">
      <x:c r="A365" s="3" t="str">
        <x:v>2202001</x:v>
      </x:c>
      <x:c r="B365" s="3" t="str">
        <x:v>SEC005</x:v>
      </x:c>
      <x:c r="C365" s="3" t="n">
        <x:v>1</x:v>
      </x:c>
      <x:c r="D365" s="3" t="str">
        <x:v>present</x:v>
      </x:c>
      <x:c r="E365" s="5" t="str">
        <x:f>VLOOKUP(B365,Sections!$A$5:$I$45,3,FALSE)</x:f>
        <x:v>2024-2</x:v>
      </x:c>
    </x:row>
    <x:row r="366" ht="21" customHeight="1">
      <x:c r="A366" s="3" t="str">
        <x:v>2202001</x:v>
      </x:c>
      <x:c r="B366" s="3" t="str">
        <x:v>SEC005</x:v>
      </x:c>
      <x:c r="C366" s="3" t="n">
        <x:v>2</x:v>
      </x:c>
      <x:c r="D366" s="3" t="str">
        <x:v>present</x:v>
      </x:c>
      <x:c r="E366" s="5" t="str">
        <x:f>VLOOKUP(B366,Sections!$A$5:$I$45,3,FALSE)</x:f>
        <x:v>2024-2</x:v>
      </x:c>
    </x:row>
    <x:row r="367" ht="21" customHeight="1">
      <x:c r="A367" s="3" t="str">
        <x:v>2202001</x:v>
      </x:c>
      <x:c r="B367" s="3" t="str">
        <x:v>SEC005</x:v>
      </x:c>
      <x:c r="C367" s="3" t="n">
        <x:v>3</x:v>
      </x:c>
      <x:c r="D367" s="3" t="str">
        <x:v>present</x:v>
      </x:c>
      <x:c r="E367" s="5" t="str">
        <x:f>VLOOKUP(B367,Sections!$A$5:$I$45,3,FALSE)</x:f>
        <x:v>2024-2</x:v>
      </x:c>
    </x:row>
    <x:row r="368" ht="21" customHeight="1">
      <x:c r="A368" s="3" t="str">
        <x:v>2202001</x:v>
      </x:c>
      <x:c r="B368" s="3" t="str">
        <x:v>SEC005</x:v>
      </x:c>
      <x:c r="C368" s="3" t="n">
        <x:v>4</x:v>
      </x:c>
      <x:c r="D368" s="3" t="str">
        <x:v>present</x:v>
      </x:c>
      <x:c r="E368" s="5" t="str">
        <x:f>VLOOKUP(B368,Sections!$A$5:$I$45,3,FALSE)</x:f>
        <x:v>2024-2</x:v>
      </x:c>
    </x:row>
    <x:row r="369" ht="21" customHeight="1">
      <x:c r="A369" s="3" t="str">
        <x:v>2202001</x:v>
      </x:c>
      <x:c r="B369" s="3" t="str">
        <x:v>SEC005</x:v>
      </x:c>
      <x:c r="C369" s="3" t="n">
        <x:v>5</x:v>
      </x:c>
      <x:c r="D369" s="3" t="str">
        <x:v>present</x:v>
      </x:c>
      <x:c r="E369" s="5" t="str">
        <x:f>VLOOKUP(B369,Sections!$A$5:$I$45,3,FALSE)</x:f>
        <x:v>2024-2</x:v>
      </x:c>
    </x:row>
    <x:row r="370" ht="21" customHeight="1">
      <x:c r="A370" s="3" t="str">
        <x:v>2202001</x:v>
      </x:c>
      <x:c r="B370" s="3" t="str">
        <x:v>SEC005</x:v>
      </x:c>
      <x:c r="C370" s="3" t="n">
        <x:v>6</x:v>
      </x:c>
      <x:c r="D370" s="3" t="str">
        <x:v>present</x:v>
      </x:c>
      <x:c r="E370" s="5" t="str">
        <x:f>VLOOKUP(B370,Sections!$A$5:$I$45,3,FALSE)</x:f>
        <x:v>2024-2</x:v>
      </x:c>
    </x:row>
    <x:row r="371" ht="21" customHeight="1">
      <x:c r="A371" s="3" t="str">
        <x:v>2202001</x:v>
      </x:c>
      <x:c r="B371" s="3" t="str">
        <x:v>SEC005</x:v>
      </x:c>
      <x:c r="C371" s="3" t="n">
        <x:v>7</x:v>
      </x:c>
      <x:c r="D371" s="3" t="str">
        <x:v>present</x:v>
      </x:c>
      <x:c r="E371" s="5" t="str">
        <x:f>VLOOKUP(B371,Sections!$A$5:$I$45,3,FALSE)</x:f>
        <x:v>2024-2</x:v>
      </x:c>
    </x:row>
    <x:row r="372" ht="21" customHeight="1">
      <x:c r="A372" s="3" t="str">
        <x:v>2202001</x:v>
      </x:c>
      <x:c r="B372" s="3" t="str">
        <x:v>SEC005</x:v>
      </x:c>
      <x:c r="C372" s="3" t="n">
        <x:v>8</x:v>
      </x:c>
      <x:c r="D372" s="3" t="str">
        <x:v>present</x:v>
      </x:c>
      <x:c r="E372" s="5" t="str">
        <x:f>VLOOKUP(B372,Sections!$A$5:$I$45,3,FALSE)</x:f>
        <x:v>2024-2</x:v>
      </x:c>
    </x:row>
    <x:row r="373" ht="21" customHeight="1">
      <x:c r="A373" s="3" t="str">
        <x:v>2202001</x:v>
      </x:c>
      <x:c r="B373" s="3" t="str">
        <x:v>SEC005</x:v>
      </x:c>
      <x:c r="C373" s="3" t="n">
        <x:v>9</x:v>
      </x:c>
      <x:c r="D373" s="3" t="str">
        <x:v>present</x:v>
      </x:c>
      <x:c r="E373" s="5" t="str">
        <x:f>VLOOKUP(B373,Sections!$A$5:$I$45,3,FALSE)</x:f>
        <x:v>2024-2</x:v>
      </x:c>
    </x:row>
    <x:row r="374" ht="21" customHeight="1">
      <x:c r="A374" s="3" t="str">
        <x:v>2202001</x:v>
      </x:c>
      <x:c r="B374" s="3" t="str">
        <x:v>SEC005</x:v>
      </x:c>
      <x:c r="C374" s="3" t="n">
        <x:v>10</x:v>
      </x:c>
      <x:c r="D374" s="3" t="str">
        <x:v>present</x:v>
      </x:c>
      <x:c r="E374" s="5" t="str">
        <x:f>VLOOKUP(B374,Sections!$A$5:$I$45,3,FALSE)</x:f>
        <x:v>2024-2</x:v>
      </x:c>
    </x:row>
    <x:row r="375" ht="21" customHeight="1">
      <x:c r="A375" s="3" t="str">
        <x:v>2202001</x:v>
      </x:c>
      <x:c r="B375" s="3" t="str">
        <x:v>SEC005</x:v>
      </x:c>
      <x:c r="C375" s="3" t="n">
        <x:v>11</x:v>
      </x:c>
      <x:c r="D375" s="3" t="str">
        <x:v>absent</x:v>
      </x:c>
      <x:c r="E375" s="5" t="str">
        <x:f>VLOOKUP(B375,Sections!$A$5:$I$45,3,FALSE)</x:f>
        <x:v>2024-2</x:v>
      </x:c>
    </x:row>
    <x:row r="376" ht="21" customHeight="1">
      <x:c r="A376" s="3" t="str">
        <x:v>2202001</x:v>
      </x:c>
      <x:c r="B376" s="3" t="str">
        <x:v>SEC005</x:v>
      </x:c>
      <x:c r="C376" s="3" t="n">
        <x:v>12</x:v>
      </x:c>
      <x:c r="D376" s="3" t="str">
        <x:v>present</x:v>
      </x:c>
      <x:c r="E376" s="5" t="str">
        <x:f>VLOOKUP(B376,Sections!$A$5:$I$45,3,FALSE)</x:f>
        <x:v>2024-2</x:v>
      </x:c>
    </x:row>
    <x:row r="377" ht="21" customHeight="1">
      <x:c r="A377" s="3" t="str">
        <x:v>2202001</x:v>
      </x:c>
      <x:c r="B377" s="3" t="str">
        <x:v>SEC005</x:v>
      </x:c>
      <x:c r="C377" s="3" t="n">
        <x:v>13</x:v>
      </x:c>
      <x:c r="D377" s="3" t="str">
        <x:v>present</x:v>
      </x:c>
      <x:c r="E377" s="5" t="str">
        <x:f>VLOOKUP(B377,Sections!$A$5:$I$45,3,FALSE)</x:f>
        <x:v>2024-2</x:v>
      </x:c>
    </x:row>
    <x:row r="378" ht="21" customHeight="1">
      <x:c r="A378" s="3" t="str">
        <x:v>2202001</x:v>
      </x:c>
      <x:c r="B378" s="3" t="str">
        <x:v>SEC005</x:v>
      </x:c>
      <x:c r="C378" s="3" t="n">
        <x:v>14</x:v>
      </x:c>
      <x:c r="D378" s="3" t="str">
        <x:v>present</x:v>
      </x:c>
      <x:c r="E378" s="5" t="str">
        <x:f>VLOOKUP(B378,Sections!$A$5:$I$45,3,FALSE)</x:f>
        <x:v>2024-2</x:v>
      </x:c>
    </x:row>
    <x:row r="379" ht="21" customHeight="1">
      <x:c r="A379" s="3" t="str">
        <x:v>2202001</x:v>
      </x:c>
      <x:c r="B379" s="3" t="str">
        <x:v>SEC005</x:v>
      </x:c>
      <x:c r="C379" s="3" t="n">
        <x:v>15</x:v>
      </x:c>
      <x:c r="D379" s="3" t="str">
        <x:v>present</x:v>
      </x:c>
      <x:c r="E379" s="5" t="str">
        <x:f>VLOOKUP(B379,Sections!$A$5:$I$45,3,FALSE)</x:f>
        <x:v>2024-2</x:v>
      </x:c>
    </x:row>
    <x:row r="380" ht="21" customHeight="1">
      <x:c r="A380" s="3" t="str">
        <x:v>2202002</x:v>
      </x:c>
      <x:c r="B380" s="3" t="str">
        <x:v>SEC005</x:v>
      </x:c>
      <x:c r="C380" s="3" t="n">
        <x:v>1</x:v>
      </x:c>
      <x:c r="D380" s="3" t="str">
        <x:v>present</x:v>
      </x:c>
      <x:c r="E380" s="5" t="str">
        <x:f>VLOOKUP(B380,Sections!$A$5:$I$45,3,FALSE)</x:f>
        <x:v>2024-2</x:v>
      </x:c>
    </x:row>
    <x:row r="381" ht="21" customHeight="1">
      <x:c r="A381" s="3" t="str">
        <x:v>2202002</x:v>
      </x:c>
      <x:c r="B381" s="3" t="str">
        <x:v>SEC005</x:v>
      </x:c>
      <x:c r="C381" s="3" t="n">
        <x:v>2</x:v>
      </x:c>
      <x:c r="D381" s="3" t="str">
        <x:v>present</x:v>
      </x:c>
      <x:c r="E381" s="5" t="str">
        <x:f>VLOOKUP(B381,Sections!$A$5:$I$45,3,FALSE)</x:f>
        <x:v>2024-2</x:v>
      </x:c>
    </x:row>
    <x:row r="382" ht="21" customHeight="1">
      <x:c r="A382" s="3" t="str">
        <x:v>2202002</x:v>
      </x:c>
      <x:c r="B382" s="3" t="str">
        <x:v>SEC005</x:v>
      </x:c>
      <x:c r="C382" s="3" t="n">
        <x:v>3</x:v>
      </x:c>
      <x:c r="D382" s="3" t="str">
        <x:v>present</x:v>
      </x:c>
      <x:c r="E382" s="5" t="str">
        <x:f>VLOOKUP(B382,Sections!$A$5:$I$45,3,FALSE)</x:f>
        <x:v>2024-2</x:v>
      </x:c>
    </x:row>
    <x:row r="383" ht="21" customHeight="1">
      <x:c r="A383" s="3" t="str">
        <x:v>2202002</x:v>
      </x:c>
      <x:c r="B383" s="3" t="str">
        <x:v>SEC005</x:v>
      </x:c>
      <x:c r="C383" s="3" t="n">
        <x:v>4</x:v>
      </x:c>
      <x:c r="D383" s="3" t="str">
        <x:v>present</x:v>
      </x:c>
      <x:c r="E383" s="5" t="str">
        <x:f>VLOOKUP(B383,Sections!$A$5:$I$45,3,FALSE)</x:f>
        <x:v>2024-2</x:v>
      </x:c>
    </x:row>
    <x:row r="384" ht="21" customHeight="1">
      <x:c r="A384" s="3" t="str">
        <x:v>2202002</x:v>
      </x:c>
      <x:c r="B384" s="3" t="str">
        <x:v>SEC005</x:v>
      </x:c>
      <x:c r="C384" s="3" t="n">
        <x:v>5</x:v>
      </x:c>
      <x:c r="D384" s="3" t="str">
        <x:v>present</x:v>
      </x:c>
      <x:c r="E384" s="5" t="str">
        <x:f>VLOOKUP(B384,Sections!$A$5:$I$45,3,FALSE)</x:f>
        <x:v>2024-2</x:v>
      </x:c>
    </x:row>
    <x:row r="385" ht="21" customHeight="1">
      <x:c r="A385" s="3" t="str">
        <x:v>2202002</x:v>
      </x:c>
      <x:c r="B385" s="3" t="str">
        <x:v>SEC005</x:v>
      </x:c>
      <x:c r="C385" s="3" t="n">
        <x:v>6</x:v>
      </x:c>
      <x:c r="D385" s="3" t="str">
        <x:v>present</x:v>
      </x:c>
      <x:c r="E385" s="5" t="str">
        <x:f>VLOOKUP(B385,Sections!$A$5:$I$45,3,FALSE)</x:f>
        <x:v>2024-2</x:v>
      </x:c>
    </x:row>
    <x:row r="386" ht="21" customHeight="1">
      <x:c r="A386" s="3" t="str">
        <x:v>2202002</x:v>
      </x:c>
      <x:c r="B386" s="3" t="str">
        <x:v>SEC005</x:v>
      </x:c>
      <x:c r="C386" s="3" t="n">
        <x:v>7</x:v>
      </x:c>
      <x:c r="D386" s="3" t="str">
        <x:v>absent</x:v>
      </x:c>
      <x:c r="E386" s="5" t="str">
        <x:f>VLOOKUP(B386,Sections!$A$5:$I$45,3,FALSE)</x:f>
        <x:v>2024-2</x:v>
      </x:c>
    </x:row>
    <x:row r="387" ht="21" customHeight="1">
      <x:c r="A387" s="3" t="str">
        <x:v>2202002</x:v>
      </x:c>
      <x:c r="B387" s="3" t="str">
        <x:v>SEC005</x:v>
      </x:c>
      <x:c r="C387" s="3" t="n">
        <x:v>8</x:v>
      </x:c>
      <x:c r="D387" s="3" t="str">
        <x:v>present</x:v>
      </x:c>
      <x:c r="E387" s="5" t="str">
        <x:f>VLOOKUP(B387,Sections!$A$5:$I$45,3,FALSE)</x:f>
        <x:v>2024-2</x:v>
      </x:c>
    </x:row>
    <x:row r="388" ht="21" customHeight="1">
      <x:c r="A388" s="3" t="str">
        <x:v>2202002</x:v>
      </x:c>
      <x:c r="B388" s="3" t="str">
        <x:v>SEC005</x:v>
      </x:c>
      <x:c r="C388" s="3" t="n">
        <x:v>9</x:v>
      </x:c>
      <x:c r="D388" s="3" t="str">
        <x:v>present</x:v>
      </x:c>
      <x:c r="E388" s="5" t="str">
        <x:f>VLOOKUP(B388,Sections!$A$5:$I$45,3,FALSE)</x:f>
        <x:v>2024-2</x:v>
      </x:c>
    </x:row>
    <x:row r="389" ht="21" customHeight="1">
      <x:c r="A389" s="3" t="str">
        <x:v>2202002</x:v>
      </x:c>
      <x:c r="B389" s="3" t="str">
        <x:v>SEC005</x:v>
      </x:c>
      <x:c r="C389" s="3" t="n">
        <x:v>10</x:v>
      </x:c>
      <x:c r="D389" s="3" t="str">
        <x:v>present</x:v>
      </x:c>
      <x:c r="E389" s="5" t="str">
        <x:f>VLOOKUP(B389,Sections!$A$5:$I$45,3,FALSE)</x:f>
        <x:v>2024-2</x:v>
      </x:c>
    </x:row>
    <x:row r="390" ht="21" customHeight="1">
      <x:c r="A390" s="3" t="str">
        <x:v>2202002</x:v>
      </x:c>
      <x:c r="B390" s="3" t="str">
        <x:v>SEC005</x:v>
      </x:c>
      <x:c r="C390" s="3" t="n">
        <x:v>11</x:v>
      </x:c>
      <x:c r="D390" s="3" t="str">
        <x:v>present</x:v>
      </x:c>
      <x:c r="E390" s="5" t="str">
        <x:f>VLOOKUP(B390,Sections!$A$5:$I$45,3,FALSE)</x:f>
        <x:v>2024-2</x:v>
      </x:c>
    </x:row>
    <x:row r="391" ht="21" customHeight="1">
      <x:c r="A391" s="3" t="str">
        <x:v>2202002</x:v>
      </x:c>
      <x:c r="B391" s="3" t="str">
        <x:v>SEC005</x:v>
      </x:c>
      <x:c r="C391" s="3" t="n">
        <x:v>12</x:v>
      </x:c>
      <x:c r="D391" s="3" t="str">
        <x:v>present</x:v>
      </x:c>
      <x:c r="E391" s="5" t="str">
        <x:f>VLOOKUP(B391,Sections!$A$5:$I$45,3,FALSE)</x:f>
        <x:v>2024-2</x:v>
      </x:c>
    </x:row>
    <x:row r="392" ht="21" customHeight="1">
      <x:c r="A392" s="3" t="str">
        <x:v>2202002</x:v>
      </x:c>
      <x:c r="B392" s="3" t="str">
        <x:v>SEC005</x:v>
      </x:c>
      <x:c r="C392" s="3" t="n">
        <x:v>13</x:v>
      </x:c>
      <x:c r="D392" s="3" t="str">
        <x:v>present</x:v>
      </x:c>
      <x:c r="E392" s="5" t="str">
        <x:f>VLOOKUP(B392,Sections!$A$5:$I$45,3,FALSE)</x:f>
        <x:v>2024-2</x:v>
      </x:c>
    </x:row>
    <x:row r="393" ht="21" customHeight="1">
      <x:c r="A393" s="3" t="str">
        <x:v>2202002</x:v>
      </x:c>
      <x:c r="B393" s="3" t="str">
        <x:v>SEC005</x:v>
      </x:c>
      <x:c r="C393" s="3" t="n">
        <x:v>14</x:v>
      </x:c>
      <x:c r="D393" s="3" t="str">
        <x:v>present</x:v>
      </x:c>
      <x:c r="E393" s="5" t="str">
        <x:f>VLOOKUP(B393,Sections!$A$5:$I$45,3,FALSE)</x:f>
        <x:v>2024-2</x:v>
      </x:c>
    </x:row>
    <x:row r="394" ht="21" customHeight="1">
      <x:c r="A394" s="3" t="str">
        <x:v>2202002</x:v>
      </x:c>
      <x:c r="B394" s="3" t="str">
        <x:v>SEC005</x:v>
      </x:c>
      <x:c r="C394" s="3" t="n">
        <x:v>15</x:v>
      </x:c>
      <x:c r="D394" s="3" t="str">
        <x:v>present</x:v>
      </x:c>
      <x:c r="E394" s="5" t="str">
        <x:f>VLOOKUP(B394,Sections!$A$5:$I$45,3,FALSE)</x:f>
        <x:v>2024-2</x:v>
      </x:c>
    </x:row>
    <x:row r="395" ht="21" customHeight="1">
      <x:c r="A395" s="3" t="str">
        <x:v>2202003</x:v>
      </x:c>
      <x:c r="B395" s="3" t="str">
        <x:v>SEC005</x:v>
      </x:c>
      <x:c r="C395" s="3" t="n">
        <x:v>1</x:v>
      </x:c>
      <x:c r="D395" s="3" t="str">
        <x:v>present</x:v>
      </x:c>
      <x:c r="E395" s="5" t="str">
        <x:f>VLOOKUP(B395,Sections!$A$5:$I$45,3,FALSE)</x:f>
        <x:v>2024-2</x:v>
      </x:c>
    </x:row>
    <x:row r="396" ht="21" customHeight="1">
      <x:c r="A396" s="3" t="str">
        <x:v>2202003</x:v>
      </x:c>
      <x:c r="B396" s="3" t="str">
        <x:v>SEC005</x:v>
      </x:c>
      <x:c r="C396" s="3" t="n">
        <x:v>2</x:v>
      </x:c>
      <x:c r="D396" s="3" t="str">
        <x:v>present</x:v>
      </x:c>
      <x:c r="E396" s="5" t="str">
        <x:f>VLOOKUP(B396,Sections!$A$5:$I$45,3,FALSE)</x:f>
        <x:v>2024-2</x:v>
      </x:c>
    </x:row>
    <x:row r="397" ht="21" customHeight="1">
      <x:c r="A397" s="3" t="str">
        <x:v>2202003</x:v>
      </x:c>
      <x:c r="B397" s="3" t="str">
        <x:v>SEC005</x:v>
      </x:c>
      <x:c r="C397" s="3" t="n">
        <x:v>3</x:v>
      </x:c>
      <x:c r="D397" s="3" t="str">
        <x:v>present</x:v>
      </x:c>
      <x:c r="E397" s="5" t="str">
        <x:f>VLOOKUP(B397,Sections!$A$5:$I$45,3,FALSE)</x:f>
        <x:v>2024-2</x:v>
      </x:c>
    </x:row>
    <x:row r="398" ht="21" customHeight="1">
      <x:c r="A398" s="3" t="str">
        <x:v>2202003</x:v>
      </x:c>
      <x:c r="B398" s="3" t="str">
        <x:v>SEC005</x:v>
      </x:c>
      <x:c r="C398" s="3" t="n">
        <x:v>4</x:v>
      </x:c>
      <x:c r="D398" s="3" t="str">
        <x:v>present</x:v>
      </x:c>
      <x:c r="E398" s="5" t="str">
        <x:f>VLOOKUP(B398,Sections!$A$5:$I$45,3,FALSE)</x:f>
        <x:v>2024-2</x:v>
      </x:c>
    </x:row>
    <x:row r="399" ht="21" customHeight="1">
      <x:c r="A399" s="3" t="str">
        <x:v>2202003</x:v>
      </x:c>
      <x:c r="B399" s="3" t="str">
        <x:v>SEC005</x:v>
      </x:c>
      <x:c r="C399" s="3" t="n">
        <x:v>5</x:v>
      </x:c>
      <x:c r="D399" s="3" t="str">
        <x:v>present</x:v>
      </x:c>
      <x:c r="E399" s="5" t="str">
        <x:f>VLOOKUP(B399,Sections!$A$5:$I$45,3,FALSE)</x:f>
        <x:v>2024-2</x:v>
      </x:c>
    </x:row>
    <x:row r="400" ht="21" customHeight="1">
      <x:c r="A400" s="3" t="str">
        <x:v>2202003</x:v>
      </x:c>
      <x:c r="B400" s="3" t="str">
        <x:v>SEC005</x:v>
      </x:c>
      <x:c r="C400" s="3" t="n">
        <x:v>6</x:v>
      </x:c>
      <x:c r="D400" s="3" t="str">
        <x:v>present</x:v>
      </x:c>
      <x:c r="E400" s="5" t="str">
        <x:f>VLOOKUP(B400,Sections!$A$5:$I$45,3,FALSE)</x:f>
        <x:v>2024-2</x:v>
      </x:c>
    </x:row>
    <x:row r="401" ht="21" customHeight="1">
      <x:c r="A401" s="3" t="str">
        <x:v>2202003</x:v>
      </x:c>
      <x:c r="B401" s="3" t="str">
        <x:v>SEC005</x:v>
      </x:c>
      <x:c r="C401" s="3" t="n">
        <x:v>7</x:v>
      </x:c>
      <x:c r="D401" s="3" t="str">
        <x:v>present</x:v>
      </x:c>
      <x:c r="E401" s="5" t="str">
        <x:f>VLOOKUP(B401,Sections!$A$5:$I$45,3,FALSE)</x:f>
        <x:v>2024-2</x:v>
      </x:c>
    </x:row>
    <x:row r="402" ht="21" customHeight="1">
      <x:c r="A402" s="3" t="str">
        <x:v>2202003</x:v>
      </x:c>
      <x:c r="B402" s="3" t="str">
        <x:v>SEC005</x:v>
      </x:c>
      <x:c r="C402" s="3" t="n">
        <x:v>8</x:v>
      </x:c>
      <x:c r="D402" s="3" t="str">
        <x:v>present</x:v>
      </x:c>
      <x:c r="E402" s="5" t="str">
        <x:f>VLOOKUP(B402,Sections!$A$5:$I$45,3,FALSE)</x:f>
        <x:v>2024-2</x:v>
      </x:c>
    </x:row>
    <x:row r="403" ht="21" customHeight="1">
      <x:c r="A403" s="3" t="str">
        <x:v>2202003</x:v>
      </x:c>
      <x:c r="B403" s="3" t="str">
        <x:v>SEC005</x:v>
      </x:c>
      <x:c r="C403" s="3" t="n">
        <x:v>9</x:v>
      </x:c>
      <x:c r="D403" s="3" t="str">
        <x:v>present</x:v>
      </x:c>
      <x:c r="E403" s="5" t="str">
        <x:f>VLOOKUP(B403,Sections!$A$5:$I$45,3,FALSE)</x:f>
        <x:v>2024-2</x:v>
      </x:c>
    </x:row>
    <x:row r="404" ht="21" customHeight="1">
      <x:c r="A404" s="3" t="str">
        <x:v>2202003</x:v>
      </x:c>
      <x:c r="B404" s="3" t="str">
        <x:v>SEC005</x:v>
      </x:c>
      <x:c r="C404" s="3" t="n">
        <x:v>10</x:v>
      </x:c>
      <x:c r="D404" s="3" t="str">
        <x:v>present</x:v>
      </x:c>
      <x:c r="E404" s="5" t="str">
        <x:f>VLOOKUP(B404,Sections!$A$5:$I$45,3,FALSE)</x:f>
        <x:v>2024-2</x:v>
      </x:c>
    </x:row>
    <x:row r="405" ht="21" customHeight="1">
      <x:c r="A405" s="3" t="str">
        <x:v>2202003</x:v>
      </x:c>
      <x:c r="B405" s="3" t="str">
        <x:v>SEC005</x:v>
      </x:c>
      <x:c r="C405" s="3" t="n">
        <x:v>11</x:v>
      </x:c>
      <x:c r="D405" s="3" t="str">
        <x:v>present</x:v>
      </x:c>
      <x:c r="E405" s="5" t="str">
        <x:f>VLOOKUP(B405,Sections!$A$5:$I$45,3,FALSE)</x:f>
        <x:v>2024-2</x:v>
      </x:c>
    </x:row>
    <x:row r="406" ht="21" customHeight="1">
      <x:c r="A406" s="3" t="str">
        <x:v>2202003</x:v>
      </x:c>
      <x:c r="B406" s="3" t="str">
        <x:v>SEC005</x:v>
      </x:c>
      <x:c r="C406" s="3" t="n">
        <x:v>12</x:v>
      </x:c>
      <x:c r="D406" s="3" t="str">
        <x:v>late</x:v>
      </x:c>
      <x:c r="E406" s="5" t="str">
        <x:f>VLOOKUP(B406,Sections!$A$5:$I$45,3,FALSE)</x:f>
        <x:v>2024-2</x:v>
      </x:c>
    </x:row>
    <x:row r="407" ht="21" customHeight="1">
      <x:c r="A407" s="3" t="str">
        <x:v>2202003</x:v>
      </x:c>
      <x:c r="B407" s="3" t="str">
        <x:v>SEC005</x:v>
      </x:c>
      <x:c r="C407" s="3" t="n">
        <x:v>13</x:v>
      </x:c>
      <x:c r="D407" s="3" t="str">
        <x:v>present</x:v>
      </x:c>
      <x:c r="E407" s="5" t="str">
        <x:f>VLOOKUP(B407,Sections!$A$5:$I$45,3,FALSE)</x:f>
        <x:v>2024-2</x:v>
      </x:c>
    </x:row>
    <x:row r="408" ht="21" customHeight="1">
      <x:c r="A408" s="3" t="str">
        <x:v>2202003</x:v>
      </x:c>
      <x:c r="B408" s="3" t="str">
        <x:v>SEC005</x:v>
      </x:c>
      <x:c r="C408" s="3" t="n">
        <x:v>14</x:v>
      </x:c>
      <x:c r="D408" s="3" t="str">
        <x:v>present</x:v>
      </x:c>
      <x:c r="E408" s="5" t="str">
        <x:f>VLOOKUP(B408,Sections!$A$5:$I$45,3,FALSE)</x:f>
        <x:v>2024-2</x:v>
      </x:c>
    </x:row>
    <x:row r="409" ht="21" customHeight="1">
      <x:c r="A409" s="3" t="str">
        <x:v>2202003</x:v>
      </x:c>
      <x:c r="B409" s="3" t="str">
        <x:v>SEC005</x:v>
      </x:c>
      <x:c r="C409" s="3" t="n">
        <x:v>15</x:v>
      </x:c>
      <x:c r="D409" s="3" t="str">
        <x:v>present</x:v>
      </x:c>
      <x:c r="E409" s="5" t="str">
        <x:f>VLOOKUP(B409,Sections!$A$5:$I$45,3,FALSE)</x:f>
        <x:v>2024-2</x:v>
      </x:c>
    </x:row>
    <x:row r="410" ht="21" customHeight="1">
      <x:c r="A410" s="3" t="str">
        <x:v>2202004</x:v>
      </x:c>
      <x:c r="B410" s="3" t="str">
        <x:v>SEC005</x:v>
      </x:c>
      <x:c r="C410" s="3" t="n">
        <x:v>1</x:v>
      </x:c>
      <x:c r="D410" s="3" t="str">
        <x:v>present</x:v>
      </x:c>
      <x:c r="E410" s="5" t="str">
        <x:f>VLOOKUP(B410,Sections!$A$5:$I$45,3,FALSE)</x:f>
        <x:v>2024-2</x:v>
      </x:c>
    </x:row>
    <x:row r="411" ht="21" customHeight="1">
      <x:c r="A411" s="3" t="str">
        <x:v>2202004</x:v>
      </x:c>
      <x:c r="B411" s="3" t="str">
        <x:v>SEC005</x:v>
      </x:c>
      <x:c r="C411" s="3" t="n">
        <x:v>2</x:v>
      </x:c>
      <x:c r="D411" s="3" t="str">
        <x:v>present</x:v>
      </x:c>
      <x:c r="E411" s="5" t="str">
        <x:f>VLOOKUP(B411,Sections!$A$5:$I$45,3,FALSE)</x:f>
        <x:v>2024-2</x:v>
      </x:c>
    </x:row>
    <x:row r="412" ht="21" customHeight="1">
      <x:c r="A412" s="3" t="str">
        <x:v>2202004</x:v>
      </x:c>
      <x:c r="B412" s="3" t="str">
        <x:v>SEC005</x:v>
      </x:c>
      <x:c r="C412" s="3" t="n">
        <x:v>3</x:v>
      </x:c>
      <x:c r="D412" s="3" t="str">
        <x:v>present</x:v>
      </x:c>
      <x:c r="E412" s="5" t="str">
        <x:f>VLOOKUP(B412,Sections!$A$5:$I$45,3,FALSE)</x:f>
        <x:v>2024-2</x:v>
      </x:c>
    </x:row>
    <x:row r="413" ht="21" customHeight="1">
      <x:c r="A413" s="3" t="str">
        <x:v>2202004</x:v>
      </x:c>
      <x:c r="B413" s="3" t="str">
        <x:v>SEC005</x:v>
      </x:c>
      <x:c r="C413" s="3" t="n">
        <x:v>4</x:v>
      </x:c>
      <x:c r="D413" s="3" t="str">
        <x:v>present</x:v>
      </x:c>
      <x:c r="E413" s="5" t="str">
        <x:f>VLOOKUP(B413,Sections!$A$5:$I$45,3,FALSE)</x:f>
        <x:v>2024-2</x:v>
      </x:c>
    </x:row>
    <x:row r="414" ht="21" customHeight="1">
      <x:c r="A414" s="3" t="str">
        <x:v>2202004</x:v>
      </x:c>
      <x:c r="B414" s="3" t="str">
        <x:v>SEC005</x:v>
      </x:c>
      <x:c r="C414" s="3" t="n">
        <x:v>5</x:v>
      </x:c>
      <x:c r="D414" s="3" t="str">
        <x:v>present</x:v>
      </x:c>
      <x:c r="E414" s="5" t="str">
        <x:f>VLOOKUP(B414,Sections!$A$5:$I$45,3,FALSE)</x:f>
        <x:v>2024-2</x:v>
      </x:c>
    </x:row>
    <x:row r="415" ht="21" customHeight="1">
      <x:c r="A415" s="3" t="str">
        <x:v>2202004</x:v>
      </x:c>
      <x:c r="B415" s="3" t="str">
        <x:v>SEC005</x:v>
      </x:c>
      <x:c r="C415" s="3" t="n">
        <x:v>6</x:v>
      </x:c>
      <x:c r="D415" s="3" t="str">
        <x:v>present</x:v>
      </x:c>
      <x:c r="E415" s="5" t="str">
        <x:f>VLOOKUP(B415,Sections!$A$5:$I$45,3,FALSE)</x:f>
        <x:v>2024-2</x:v>
      </x:c>
    </x:row>
    <x:row r="416" ht="21" customHeight="1">
      <x:c r="A416" s="3" t="str">
        <x:v>2202004</x:v>
      </x:c>
      <x:c r="B416" s="3" t="str">
        <x:v>SEC005</x:v>
      </x:c>
      <x:c r="C416" s="3" t="n">
        <x:v>7</x:v>
      </x:c>
      <x:c r="D416" s="3" t="str">
        <x:v>absent</x:v>
      </x:c>
      <x:c r="E416" s="5" t="str">
        <x:f>VLOOKUP(B416,Sections!$A$5:$I$45,3,FALSE)</x:f>
        <x:v>2024-2</x:v>
      </x:c>
    </x:row>
    <x:row r="417" ht="21" customHeight="1">
      <x:c r="A417" s="3" t="str">
        <x:v>2202004</x:v>
      </x:c>
      <x:c r="B417" s="3" t="str">
        <x:v>SEC005</x:v>
      </x:c>
      <x:c r="C417" s="3" t="n">
        <x:v>8</x:v>
      </x:c>
      <x:c r="D417" s="3" t="str">
        <x:v>excused</x:v>
      </x:c>
      <x:c r="E417" s="5" t="str">
        <x:f>VLOOKUP(B417,Sections!$A$5:$I$45,3,FALSE)</x:f>
        <x:v>2024-2</x:v>
      </x:c>
    </x:row>
    <x:row r="418" ht="21" customHeight="1">
      <x:c r="A418" s="3" t="str">
        <x:v>2202004</x:v>
      </x:c>
      <x:c r="B418" s="3" t="str">
        <x:v>SEC005</x:v>
      </x:c>
      <x:c r="C418" s="3" t="n">
        <x:v>9</x:v>
      </x:c>
      <x:c r="D418" s="3" t="str">
        <x:v>absent</x:v>
      </x:c>
      <x:c r="E418" s="5" t="str">
        <x:f>VLOOKUP(B418,Sections!$A$5:$I$45,3,FALSE)</x:f>
        <x:v>2024-2</x:v>
      </x:c>
    </x:row>
    <x:row r="419" ht="21" customHeight="1">
      <x:c r="A419" s="3" t="str">
        <x:v>2202004</x:v>
      </x:c>
      <x:c r="B419" s="3" t="str">
        <x:v>SEC005</x:v>
      </x:c>
      <x:c r="C419" s="3" t="n">
        <x:v>10</x:v>
      </x:c>
      <x:c r="D419" s="3" t="str">
        <x:v>present</x:v>
      </x:c>
      <x:c r="E419" s="5" t="str">
        <x:f>VLOOKUP(B419,Sections!$A$5:$I$45,3,FALSE)</x:f>
        <x:v>2024-2</x:v>
      </x:c>
    </x:row>
    <x:row r="420" ht="21" customHeight="1">
      <x:c r="A420" s="3" t="str">
        <x:v>2202004</x:v>
      </x:c>
      <x:c r="B420" s="3" t="str">
        <x:v>SEC005</x:v>
      </x:c>
      <x:c r="C420" s="3" t="n">
        <x:v>11</x:v>
      </x:c>
      <x:c r="D420" s="3" t="str">
        <x:v>present</x:v>
      </x:c>
      <x:c r="E420" s="5" t="str">
        <x:f>VLOOKUP(B420,Sections!$A$5:$I$45,3,FALSE)</x:f>
        <x:v>2024-2</x:v>
      </x:c>
    </x:row>
    <x:row r="421" ht="21" customHeight="1">
      <x:c r="A421" s="3" t="str">
        <x:v>2202004</x:v>
      </x:c>
      <x:c r="B421" s="3" t="str">
        <x:v>SEC005</x:v>
      </x:c>
      <x:c r="C421" s="3" t="n">
        <x:v>12</x:v>
      </x:c>
      <x:c r="D421" s="3" t="str">
        <x:v>present</x:v>
      </x:c>
      <x:c r="E421" s="5" t="str">
        <x:f>VLOOKUP(B421,Sections!$A$5:$I$45,3,FALSE)</x:f>
        <x:v>2024-2</x:v>
      </x:c>
    </x:row>
    <x:row r="422" ht="21" customHeight="1">
      <x:c r="A422" s="3" t="str">
        <x:v>2202004</x:v>
      </x:c>
      <x:c r="B422" s="3" t="str">
        <x:v>SEC005</x:v>
      </x:c>
      <x:c r="C422" s="3" t="n">
        <x:v>13</x:v>
      </x:c>
      <x:c r="D422" s="3" t="str">
        <x:v>present</x:v>
      </x:c>
      <x:c r="E422" s="5" t="str">
        <x:f>VLOOKUP(B422,Sections!$A$5:$I$45,3,FALSE)</x:f>
        <x:v>2024-2</x:v>
      </x:c>
    </x:row>
    <x:row r="423" ht="21" customHeight="1">
      <x:c r="A423" s="3" t="str">
        <x:v>2202004</x:v>
      </x:c>
      <x:c r="B423" s="3" t="str">
        <x:v>SEC005</x:v>
      </x:c>
      <x:c r="C423" s="3" t="n">
        <x:v>14</x:v>
      </x:c>
      <x:c r="D423" s="3" t="str">
        <x:v>present</x:v>
      </x:c>
      <x:c r="E423" s="5" t="str">
        <x:f>VLOOKUP(B423,Sections!$A$5:$I$45,3,FALSE)</x:f>
        <x:v>2024-2</x:v>
      </x:c>
    </x:row>
    <x:row r="424" ht="21" customHeight="1">
      <x:c r="A424" s="3" t="str">
        <x:v>2202004</x:v>
      </x:c>
      <x:c r="B424" s="3" t="str">
        <x:v>SEC005</x:v>
      </x:c>
      <x:c r="C424" s="3" t="n">
        <x:v>15</x:v>
      </x:c>
      <x:c r="D424" s="3" t="str">
        <x:v>present</x:v>
      </x:c>
      <x:c r="E424" s="5" t="str">
        <x:f>VLOOKUP(B424,Sections!$A$5:$I$45,3,FALSE)</x:f>
        <x:v>2024-2</x:v>
      </x:c>
    </x:row>
    <x:row r="425" ht="21" customHeight="1">
      <x:c r="A425" s="3" t="str">
        <x:v>2202005</x:v>
      </x:c>
      <x:c r="B425" s="3" t="str">
        <x:v>SEC005</x:v>
      </x:c>
      <x:c r="C425" s="3" t="n">
        <x:v>1</x:v>
      </x:c>
      <x:c r="D425" s="3" t="str">
        <x:v>absent</x:v>
      </x:c>
      <x:c r="E425" s="5" t="str">
        <x:f>VLOOKUP(B425,Sections!$A$5:$I$45,3,FALSE)</x:f>
        <x:v>2024-2</x:v>
      </x:c>
    </x:row>
    <x:row r="426" ht="21" customHeight="1">
      <x:c r="A426" s="3" t="str">
        <x:v>2202005</x:v>
      </x:c>
      <x:c r="B426" s="3" t="str">
        <x:v>SEC005</x:v>
      </x:c>
      <x:c r="C426" s="3" t="n">
        <x:v>2</x:v>
      </x:c>
      <x:c r="D426" s="3" t="str">
        <x:v>absent</x:v>
      </x:c>
      <x:c r="E426" s="5" t="str">
        <x:f>VLOOKUP(B426,Sections!$A$5:$I$45,3,FALSE)</x:f>
        <x:v>2024-2</x:v>
      </x:c>
    </x:row>
    <x:row r="427" ht="21" customHeight="1">
      <x:c r="A427" s="3" t="str">
        <x:v>2202005</x:v>
      </x:c>
      <x:c r="B427" s="3" t="str">
        <x:v>SEC005</x:v>
      </x:c>
      <x:c r="C427" s="3" t="n">
        <x:v>3</x:v>
      </x:c>
      <x:c r="D427" s="3" t="str">
        <x:v>late</x:v>
      </x:c>
      <x:c r="E427" s="5" t="str">
        <x:f>VLOOKUP(B427,Sections!$A$5:$I$45,3,FALSE)</x:f>
        <x:v>2024-2</x:v>
      </x:c>
    </x:row>
    <x:row r="428" ht="21" customHeight="1">
      <x:c r="A428" s="3" t="str">
        <x:v>2202005</x:v>
      </x:c>
      <x:c r="B428" s="3" t="str">
        <x:v>SEC005</x:v>
      </x:c>
      <x:c r="C428" s="3" t="n">
        <x:v>4</x:v>
      </x:c>
      <x:c r="D428" s="3" t="str">
        <x:v>present</x:v>
      </x:c>
      <x:c r="E428" s="5" t="str">
        <x:f>VLOOKUP(B428,Sections!$A$5:$I$45,3,FALSE)</x:f>
        <x:v>2024-2</x:v>
      </x:c>
    </x:row>
    <x:row r="429" ht="21" customHeight="1">
      <x:c r="A429" s="3" t="str">
        <x:v>2202005</x:v>
      </x:c>
      <x:c r="B429" s="3" t="str">
        <x:v>SEC005</x:v>
      </x:c>
      <x:c r="C429" s="3" t="n">
        <x:v>5</x:v>
      </x:c>
      <x:c r="D429" s="3" t="str">
        <x:v>present</x:v>
      </x:c>
      <x:c r="E429" s="5" t="str">
        <x:f>VLOOKUP(B429,Sections!$A$5:$I$45,3,FALSE)</x:f>
        <x:v>2024-2</x:v>
      </x:c>
    </x:row>
    <x:row r="430" ht="21" customHeight="1">
      <x:c r="A430" s="3" t="str">
        <x:v>2202005</x:v>
      </x:c>
      <x:c r="B430" s="3" t="str">
        <x:v>SEC005</x:v>
      </x:c>
      <x:c r="C430" s="3" t="n">
        <x:v>6</x:v>
      </x:c>
      <x:c r="D430" s="3" t="str">
        <x:v>present</x:v>
      </x:c>
      <x:c r="E430" s="5" t="str">
        <x:f>VLOOKUP(B430,Sections!$A$5:$I$45,3,FALSE)</x:f>
        <x:v>2024-2</x:v>
      </x:c>
    </x:row>
    <x:row r="431" ht="21" customHeight="1">
      <x:c r="A431" s="3" t="str">
        <x:v>2202005</x:v>
      </x:c>
      <x:c r="B431" s="3" t="str">
        <x:v>SEC005</x:v>
      </x:c>
      <x:c r="C431" s="3" t="n">
        <x:v>7</x:v>
      </x:c>
      <x:c r="D431" s="3" t="str">
        <x:v>excused</x:v>
      </x:c>
      <x:c r="E431" s="5" t="str">
        <x:f>VLOOKUP(B431,Sections!$A$5:$I$45,3,FALSE)</x:f>
        <x:v>2024-2</x:v>
      </x:c>
    </x:row>
    <x:row r="432" ht="21" customHeight="1">
      <x:c r="A432" s="3" t="str">
        <x:v>2202005</x:v>
      </x:c>
      <x:c r="B432" s="3" t="str">
        <x:v>SEC005</x:v>
      </x:c>
      <x:c r="C432" s="3" t="n">
        <x:v>8</x:v>
      </x:c>
      <x:c r="D432" s="3" t="str">
        <x:v>present</x:v>
      </x:c>
      <x:c r="E432" s="5" t="str">
        <x:f>VLOOKUP(B432,Sections!$A$5:$I$45,3,FALSE)</x:f>
        <x:v>2024-2</x:v>
      </x:c>
    </x:row>
    <x:row r="433" ht="21" customHeight="1">
      <x:c r="A433" s="3" t="str">
        <x:v>2202005</x:v>
      </x:c>
      <x:c r="B433" s="3" t="str">
        <x:v>SEC005</x:v>
      </x:c>
      <x:c r="C433" s="3" t="n">
        <x:v>9</x:v>
      </x:c>
      <x:c r="D433" s="3" t="str">
        <x:v>absent</x:v>
      </x:c>
      <x:c r="E433" s="5" t="str">
        <x:f>VLOOKUP(B433,Sections!$A$5:$I$45,3,FALSE)</x:f>
        <x:v>2024-2</x:v>
      </x:c>
    </x:row>
    <x:row r="434" ht="21" customHeight="1">
      <x:c r="A434" s="3" t="str">
        <x:v>2202005</x:v>
      </x:c>
      <x:c r="B434" s="3" t="str">
        <x:v>SEC005</x:v>
      </x:c>
      <x:c r="C434" s="3" t="n">
        <x:v>10</x:v>
      </x:c>
      <x:c r="D434" s="3" t="str">
        <x:v>present</x:v>
      </x:c>
      <x:c r="E434" s="5" t="str">
        <x:f>VLOOKUP(B434,Sections!$A$5:$I$45,3,FALSE)</x:f>
        <x:v>2024-2</x:v>
      </x:c>
    </x:row>
    <x:row r="435" ht="21" customHeight="1">
      <x:c r="A435" s="3" t="str">
        <x:v>2202005</x:v>
      </x:c>
      <x:c r="B435" s="3" t="str">
        <x:v>SEC005</x:v>
      </x:c>
      <x:c r="C435" s="3" t="n">
        <x:v>11</x:v>
      </x:c>
      <x:c r="D435" s="3" t="str">
        <x:v>absent</x:v>
      </x:c>
      <x:c r="E435" s="5" t="str">
        <x:f>VLOOKUP(B435,Sections!$A$5:$I$45,3,FALSE)</x:f>
        <x:v>2024-2</x:v>
      </x:c>
    </x:row>
    <x:row r="436" ht="21" customHeight="1">
      <x:c r="A436" s="3" t="str">
        <x:v>2202005</x:v>
      </x:c>
      <x:c r="B436" s="3" t="str">
        <x:v>SEC005</x:v>
      </x:c>
      <x:c r="C436" s="3" t="n">
        <x:v>12</x:v>
      </x:c>
      <x:c r="D436" s="3" t="str">
        <x:v>present</x:v>
      </x:c>
      <x:c r="E436" s="5" t="str">
        <x:f>VLOOKUP(B436,Sections!$A$5:$I$45,3,FALSE)</x:f>
        <x:v>2024-2</x:v>
      </x:c>
    </x:row>
    <x:row r="437" ht="21" customHeight="1">
      <x:c r="A437" s="3" t="str">
        <x:v>2202005</x:v>
      </x:c>
      <x:c r="B437" s="3" t="str">
        <x:v>SEC005</x:v>
      </x:c>
      <x:c r="C437" s="3" t="n">
        <x:v>13</x:v>
      </x:c>
      <x:c r="D437" s="3" t="str">
        <x:v>absent</x:v>
      </x:c>
      <x:c r="E437" s="5" t="str">
        <x:f>VLOOKUP(B437,Sections!$A$5:$I$45,3,FALSE)</x:f>
        <x:v>2024-2</x:v>
      </x:c>
    </x:row>
    <x:row r="438" ht="21" customHeight="1">
      <x:c r="A438" s="3" t="str">
        <x:v>2202005</x:v>
      </x:c>
      <x:c r="B438" s="3" t="str">
        <x:v>SEC005</x:v>
      </x:c>
      <x:c r="C438" s="3" t="n">
        <x:v>14</x:v>
      </x:c>
      <x:c r="D438" s="3" t="str">
        <x:v>present</x:v>
      </x:c>
      <x:c r="E438" s="5" t="str">
        <x:f>VLOOKUP(B438,Sections!$A$5:$I$45,3,FALSE)</x:f>
        <x:v>2024-2</x:v>
      </x:c>
    </x:row>
    <x:row r="439" ht="21" customHeight="1">
      <x:c r="A439" s="3" t="str">
        <x:v>2202005</x:v>
      </x:c>
      <x:c r="B439" s="3" t="str">
        <x:v>SEC005</x:v>
      </x:c>
      <x:c r="C439" s="3" t="n">
        <x:v>15</x:v>
      </x:c>
      <x:c r="D439" s="3" t="str">
        <x:v>absent</x:v>
      </x:c>
      <x:c r="E439" s="5" t="str">
        <x:f>VLOOKUP(B439,Sections!$A$5:$I$45,3,FALSE)</x:f>
        <x:v>2024-2</x:v>
      </x:c>
    </x:row>
    <x:row r="440" ht="21" customHeight="1">
      <x:c r="A440" s="3" t="str">
        <x:v>2202006</x:v>
      </x:c>
      <x:c r="B440" s="3" t="str">
        <x:v>SEC005</x:v>
      </x:c>
      <x:c r="C440" s="3" t="n">
        <x:v>1</x:v>
      </x:c>
      <x:c r="D440" s="3" t="str">
        <x:v>present</x:v>
      </x:c>
      <x:c r="E440" s="5" t="str">
        <x:f>VLOOKUP(B440,Sections!$A$5:$I$45,3,FALSE)</x:f>
        <x:v>2024-2</x:v>
      </x:c>
    </x:row>
    <x:row r="441" ht="21" customHeight="1">
      <x:c r="A441" s="3" t="str">
        <x:v>2202006</x:v>
      </x:c>
      <x:c r="B441" s="3" t="str">
        <x:v>SEC005</x:v>
      </x:c>
      <x:c r="C441" s="3" t="n">
        <x:v>2</x:v>
      </x:c>
      <x:c r="D441" s="3" t="str">
        <x:v>present</x:v>
      </x:c>
      <x:c r="E441" s="5" t="str">
        <x:f>VLOOKUP(B441,Sections!$A$5:$I$45,3,FALSE)</x:f>
        <x:v>2024-2</x:v>
      </x:c>
    </x:row>
    <x:row r="442" ht="21" customHeight="1">
      <x:c r="A442" s="3" t="str">
        <x:v>2202006</x:v>
      </x:c>
      <x:c r="B442" s="3" t="str">
        <x:v>SEC005</x:v>
      </x:c>
      <x:c r="C442" s="3" t="n">
        <x:v>3</x:v>
      </x:c>
      <x:c r="D442" s="3" t="str">
        <x:v>present</x:v>
      </x:c>
      <x:c r="E442" s="5" t="str">
        <x:f>VLOOKUP(B442,Sections!$A$5:$I$45,3,FALSE)</x:f>
        <x:v>2024-2</x:v>
      </x:c>
    </x:row>
    <x:row r="443" ht="21" customHeight="1">
      <x:c r="A443" s="3" t="str">
        <x:v>2202006</x:v>
      </x:c>
      <x:c r="B443" s="3" t="str">
        <x:v>SEC005</x:v>
      </x:c>
      <x:c r="C443" s="3" t="n">
        <x:v>4</x:v>
      </x:c>
      <x:c r="D443" s="3" t="str">
        <x:v>present</x:v>
      </x:c>
      <x:c r="E443" s="5" t="str">
        <x:f>VLOOKUP(B443,Sections!$A$5:$I$45,3,FALSE)</x:f>
        <x:v>2024-2</x:v>
      </x:c>
    </x:row>
    <x:row r="444" ht="21" customHeight="1">
      <x:c r="A444" s="3" t="str">
        <x:v>2202006</x:v>
      </x:c>
      <x:c r="B444" s="3" t="str">
        <x:v>SEC005</x:v>
      </x:c>
      <x:c r="C444" s="3" t="n">
        <x:v>5</x:v>
      </x:c>
      <x:c r="D444" s="3" t="str">
        <x:v>present</x:v>
      </x:c>
      <x:c r="E444" s="5" t="str">
        <x:f>VLOOKUP(B444,Sections!$A$5:$I$45,3,FALSE)</x:f>
        <x:v>2024-2</x:v>
      </x:c>
    </x:row>
    <x:row r="445" ht="21" customHeight="1">
      <x:c r="A445" s="3" t="str">
        <x:v>2202006</x:v>
      </x:c>
      <x:c r="B445" s="3" t="str">
        <x:v>SEC005</x:v>
      </x:c>
      <x:c r="C445" s="3" t="n">
        <x:v>6</x:v>
      </x:c>
      <x:c r="D445" s="3" t="str">
        <x:v>present</x:v>
      </x:c>
      <x:c r="E445" s="5" t="str">
        <x:f>VLOOKUP(B445,Sections!$A$5:$I$45,3,FALSE)</x:f>
        <x:v>2024-2</x:v>
      </x:c>
    </x:row>
    <x:row r="446" ht="21" customHeight="1">
      <x:c r="A446" s="3" t="str">
        <x:v>2202006</x:v>
      </x:c>
      <x:c r="B446" s="3" t="str">
        <x:v>SEC005</x:v>
      </x:c>
      <x:c r="C446" s="3" t="n">
        <x:v>7</x:v>
      </x:c>
      <x:c r="D446" s="3" t="str">
        <x:v>present</x:v>
      </x:c>
      <x:c r="E446" s="5" t="str">
        <x:f>VLOOKUP(B446,Sections!$A$5:$I$45,3,FALSE)</x:f>
        <x:v>2024-2</x:v>
      </x:c>
    </x:row>
    <x:row r="447" ht="21" customHeight="1">
      <x:c r="A447" s="3" t="str">
        <x:v>2202006</x:v>
      </x:c>
      <x:c r="B447" s="3" t="str">
        <x:v>SEC005</x:v>
      </x:c>
      <x:c r="C447" s="3" t="n">
        <x:v>8</x:v>
      </x:c>
      <x:c r="D447" s="3" t="str">
        <x:v>present</x:v>
      </x:c>
      <x:c r="E447" s="5" t="str">
        <x:f>VLOOKUP(B447,Sections!$A$5:$I$45,3,FALSE)</x:f>
        <x:v>2024-2</x:v>
      </x:c>
    </x:row>
    <x:row r="448" ht="21" customHeight="1">
      <x:c r="A448" s="3" t="str">
        <x:v>2202006</x:v>
      </x:c>
      <x:c r="B448" s="3" t="str">
        <x:v>SEC005</x:v>
      </x:c>
      <x:c r="C448" s="3" t="n">
        <x:v>9</x:v>
      </x:c>
      <x:c r="D448" s="3" t="str">
        <x:v>present</x:v>
      </x:c>
      <x:c r="E448" s="5" t="str">
        <x:f>VLOOKUP(B448,Sections!$A$5:$I$45,3,FALSE)</x:f>
        <x:v>2024-2</x:v>
      </x:c>
    </x:row>
    <x:row r="449" ht="21" customHeight="1">
      <x:c r="A449" s="3" t="str">
        <x:v>2202006</x:v>
      </x:c>
      <x:c r="B449" s="3" t="str">
        <x:v>SEC005</x:v>
      </x:c>
      <x:c r="C449" s="3" t="n">
        <x:v>10</x:v>
      </x:c>
      <x:c r="D449" s="3" t="str">
        <x:v>present</x:v>
      </x:c>
      <x:c r="E449" s="5" t="str">
        <x:f>VLOOKUP(B449,Sections!$A$5:$I$45,3,FALSE)</x:f>
        <x:v>2024-2</x:v>
      </x:c>
    </x:row>
    <x:row r="450" ht="21" customHeight="1">
      <x:c r="A450" s="3" t="str">
        <x:v>2202006</x:v>
      </x:c>
      <x:c r="B450" s="3" t="str">
        <x:v>SEC005</x:v>
      </x:c>
      <x:c r="C450" s="3" t="n">
        <x:v>11</x:v>
      </x:c>
      <x:c r="D450" s="3" t="str">
        <x:v>present</x:v>
      </x:c>
      <x:c r="E450" s="5" t="str">
        <x:f>VLOOKUP(B450,Sections!$A$5:$I$45,3,FALSE)</x:f>
        <x:v>2024-2</x:v>
      </x:c>
    </x:row>
    <x:row r="451" ht="21" customHeight="1">
      <x:c r="A451" s="3" t="str">
        <x:v>2202006</x:v>
      </x:c>
      <x:c r="B451" s="3" t="str">
        <x:v>SEC005</x:v>
      </x:c>
      <x:c r="C451" s="3" t="n">
        <x:v>12</x:v>
      </x:c>
      <x:c r="D451" s="3" t="str">
        <x:v>late</x:v>
      </x:c>
      <x:c r="E451" s="5" t="str">
        <x:f>VLOOKUP(B451,Sections!$A$5:$I$45,3,FALSE)</x:f>
        <x:v>2024-2</x:v>
      </x:c>
    </x:row>
    <x:row r="452" ht="21" customHeight="1">
      <x:c r="A452" s="3" t="str">
        <x:v>2202006</x:v>
      </x:c>
      <x:c r="B452" s="3" t="str">
        <x:v>SEC005</x:v>
      </x:c>
      <x:c r="C452" s="3" t="n">
        <x:v>13</x:v>
      </x:c>
      <x:c r="D452" s="3" t="str">
        <x:v>present</x:v>
      </x:c>
      <x:c r="E452" s="5" t="str">
        <x:f>VLOOKUP(B452,Sections!$A$5:$I$45,3,FALSE)</x:f>
        <x:v>2024-2</x:v>
      </x:c>
    </x:row>
    <x:row r="453" ht="21" customHeight="1">
      <x:c r="A453" s="3" t="str">
        <x:v>2202006</x:v>
      </x:c>
      <x:c r="B453" s="3" t="str">
        <x:v>SEC005</x:v>
      </x:c>
      <x:c r="C453" s="3" t="n">
        <x:v>14</x:v>
      </x:c>
      <x:c r="D453" s="3" t="str">
        <x:v>present</x:v>
      </x:c>
      <x:c r="E453" s="5" t="str">
        <x:f>VLOOKUP(B453,Sections!$A$5:$I$45,3,FALSE)</x:f>
        <x:v>2024-2</x:v>
      </x:c>
    </x:row>
    <x:row r="454" ht="21" customHeight="1">
      <x:c r="A454" s="3" t="str">
        <x:v>2202006</x:v>
      </x:c>
      <x:c r="B454" s="3" t="str">
        <x:v>SEC005</x:v>
      </x:c>
      <x:c r="C454" s="3" t="n">
        <x:v>15</x:v>
      </x:c>
      <x:c r="D454" s="3" t="str">
        <x:v>present</x:v>
      </x:c>
      <x:c r="E454" s="5" t="str">
        <x:f>VLOOKUP(B454,Sections!$A$5:$I$45,3,FALSE)</x:f>
        <x:v>2024-2</x:v>
      </x:c>
    </x:row>
    <x:row r="455" ht="21" customHeight="1">
      <x:c r="A455" s="3" t="str">
        <x:v>2202007</x:v>
      </x:c>
      <x:c r="B455" s="3" t="str">
        <x:v>SEC005</x:v>
      </x:c>
      <x:c r="C455" s="3" t="n">
        <x:v>1</x:v>
      </x:c>
      <x:c r="D455" s="3" t="str">
        <x:v>present</x:v>
      </x:c>
      <x:c r="E455" s="5" t="str">
        <x:f>VLOOKUP(B455,Sections!$A$5:$I$45,3,FALSE)</x:f>
        <x:v>2024-2</x:v>
      </x:c>
    </x:row>
    <x:row r="456" ht="21" customHeight="1">
      <x:c r="A456" s="3" t="str">
        <x:v>2202007</x:v>
      </x:c>
      <x:c r="B456" s="3" t="str">
        <x:v>SEC005</x:v>
      </x:c>
      <x:c r="C456" s="3" t="n">
        <x:v>2</x:v>
      </x:c>
      <x:c r="D456" s="3" t="str">
        <x:v>present</x:v>
      </x:c>
      <x:c r="E456" s="5" t="str">
        <x:f>VLOOKUP(B456,Sections!$A$5:$I$45,3,FALSE)</x:f>
        <x:v>2024-2</x:v>
      </x:c>
    </x:row>
    <x:row r="457" ht="21" customHeight="1">
      <x:c r="A457" s="3" t="str">
        <x:v>2202007</x:v>
      </x:c>
      <x:c r="B457" s="3" t="str">
        <x:v>SEC005</x:v>
      </x:c>
      <x:c r="C457" s="3" t="n">
        <x:v>3</x:v>
      </x:c>
      <x:c r="D457" s="3" t="str">
        <x:v>present</x:v>
      </x:c>
      <x:c r="E457" s="5" t="str">
        <x:f>VLOOKUP(B457,Sections!$A$5:$I$45,3,FALSE)</x:f>
        <x:v>2024-2</x:v>
      </x:c>
    </x:row>
    <x:row r="458" ht="21" customHeight="1">
      <x:c r="A458" s="3" t="str">
        <x:v>2202007</x:v>
      </x:c>
      <x:c r="B458" s="3" t="str">
        <x:v>SEC005</x:v>
      </x:c>
      <x:c r="C458" s="3" t="n">
        <x:v>4</x:v>
      </x:c>
      <x:c r="D458" s="3" t="str">
        <x:v>present</x:v>
      </x:c>
      <x:c r="E458" s="5" t="str">
        <x:f>VLOOKUP(B458,Sections!$A$5:$I$45,3,FALSE)</x:f>
        <x:v>2024-2</x:v>
      </x:c>
    </x:row>
    <x:row r="459" ht="21" customHeight="1">
      <x:c r="A459" s="3" t="str">
        <x:v>2202007</x:v>
      </x:c>
      <x:c r="B459" s="3" t="str">
        <x:v>SEC005</x:v>
      </x:c>
      <x:c r="C459" s="3" t="n">
        <x:v>5</x:v>
      </x:c>
      <x:c r="D459" s="3" t="str">
        <x:v>present</x:v>
      </x:c>
      <x:c r="E459" s="5" t="str">
        <x:f>VLOOKUP(B459,Sections!$A$5:$I$45,3,FALSE)</x:f>
        <x:v>2024-2</x:v>
      </x:c>
    </x:row>
    <x:row r="460" ht="21" customHeight="1">
      <x:c r="A460" s="3" t="str">
        <x:v>2202007</x:v>
      </x:c>
      <x:c r="B460" s="3" t="str">
        <x:v>SEC005</x:v>
      </x:c>
      <x:c r="C460" s="3" t="n">
        <x:v>6</x:v>
      </x:c>
      <x:c r="D460" s="3" t="str">
        <x:v>present</x:v>
      </x:c>
      <x:c r="E460" s="5" t="str">
        <x:f>VLOOKUP(B460,Sections!$A$5:$I$45,3,FALSE)</x:f>
        <x:v>2024-2</x:v>
      </x:c>
    </x:row>
    <x:row r="461" ht="21" customHeight="1">
      <x:c r="A461" s="3" t="str">
        <x:v>2202007</x:v>
      </x:c>
      <x:c r="B461" s="3" t="str">
        <x:v>SEC005</x:v>
      </x:c>
      <x:c r="C461" s="3" t="n">
        <x:v>7</x:v>
      </x:c>
      <x:c r="D461" s="3" t="str">
        <x:v>present</x:v>
      </x:c>
      <x:c r="E461" s="5" t="str">
        <x:f>VLOOKUP(B461,Sections!$A$5:$I$45,3,FALSE)</x:f>
        <x:v>2024-2</x:v>
      </x:c>
    </x:row>
    <x:row r="462" ht="21" customHeight="1">
      <x:c r="A462" s="3" t="str">
        <x:v>2202007</x:v>
      </x:c>
      <x:c r="B462" s="3" t="str">
        <x:v>SEC005</x:v>
      </x:c>
      <x:c r="C462" s="3" t="n">
        <x:v>8</x:v>
      </x:c>
      <x:c r="D462" s="3" t="str">
        <x:v>present</x:v>
      </x:c>
      <x:c r="E462" s="5" t="str">
        <x:f>VLOOKUP(B462,Sections!$A$5:$I$45,3,FALSE)</x:f>
        <x:v>2024-2</x:v>
      </x:c>
    </x:row>
    <x:row r="463" ht="21" customHeight="1">
      <x:c r="A463" s="3" t="str">
        <x:v>2202007</x:v>
      </x:c>
      <x:c r="B463" s="3" t="str">
        <x:v>SEC005</x:v>
      </x:c>
      <x:c r="C463" s="3" t="n">
        <x:v>9</x:v>
      </x:c>
      <x:c r="D463" s="3" t="str">
        <x:v>absent</x:v>
      </x:c>
      <x:c r="E463" s="5" t="str">
        <x:f>VLOOKUP(B463,Sections!$A$5:$I$45,3,FALSE)</x:f>
        <x:v>2024-2</x:v>
      </x:c>
    </x:row>
    <x:row r="464" ht="21" customHeight="1">
      <x:c r="A464" s="3" t="str">
        <x:v>2202007</x:v>
      </x:c>
      <x:c r="B464" s="3" t="str">
        <x:v>SEC005</x:v>
      </x:c>
      <x:c r="C464" s="3" t="n">
        <x:v>10</x:v>
      </x:c>
      <x:c r="D464" s="3" t="str">
        <x:v>present</x:v>
      </x:c>
      <x:c r="E464" s="5" t="str">
        <x:f>VLOOKUP(B464,Sections!$A$5:$I$45,3,FALSE)</x:f>
        <x:v>2024-2</x:v>
      </x:c>
    </x:row>
    <x:row r="465" ht="21" customHeight="1">
      <x:c r="A465" s="3" t="str">
        <x:v>2202007</x:v>
      </x:c>
      <x:c r="B465" s="3" t="str">
        <x:v>SEC005</x:v>
      </x:c>
      <x:c r="C465" s="3" t="n">
        <x:v>11</x:v>
      </x:c>
      <x:c r="D465" s="3" t="str">
        <x:v>present</x:v>
      </x:c>
      <x:c r="E465" s="5" t="str">
        <x:f>VLOOKUP(B465,Sections!$A$5:$I$45,3,FALSE)</x:f>
        <x:v>2024-2</x:v>
      </x:c>
    </x:row>
    <x:row r="466" ht="21" customHeight="1">
      <x:c r="A466" s="3" t="str">
        <x:v>2202007</x:v>
      </x:c>
      <x:c r="B466" s="3" t="str">
        <x:v>SEC005</x:v>
      </x:c>
      <x:c r="C466" s="3" t="n">
        <x:v>12</x:v>
      </x:c>
      <x:c r="D466" s="3" t="str">
        <x:v>present</x:v>
      </x:c>
      <x:c r="E466" s="5" t="str">
        <x:f>VLOOKUP(B466,Sections!$A$5:$I$45,3,FALSE)</x:f>
        <x:v>2024-2</x:v>
      </x:c>
    </x:row>
    <x:row r="467" ht="21" customHeight="1">
      <x:c r="A467" s="3" t="str">
        <x:v>2202007</x:v>
      </x:c>
      <x:c r="B467" s="3" t="str">
        <x:v>SEC005</x:v>
      </x:c>
      <x:c r="C467" s="3" t="n">
        <x:v>13</x:v>
      </x:c>
      <x:c r="D467" s="3" t="str">
        <x:v>present</x:v>
      </x:c>
      <x:c r="E467" s="5" t="str">
        <x:f>VLOOKUP(B467,Sections!$A$5:$I$45,3,FALSE)</x:f>
        <x:v>2024-2</x:v>
      </x:c>
    </x:row>
    <x:row r="468" ht="21" customHeight="1">
      <x:c r="A468" s="3" t="str">
        <x:v>2202007</x:v>
      </x:c>
      <x:c r="B468" s="3" t="str">
        <x:v>SEC005</x:v>
      </x:c>
      <x:c r="C468" s="3" t="n">
        <x:v>14</x:v>
      </x:c>
      <x:c r="D468" s="3" t="str">
        <x:v>present</x:v>
      </x:c>
      <x:c r="E468" s="5" t="str">
        <x:f>VLOOKUP(B468,Sections!$A$5:$I$45,3,FALSE)</x:f>
        <x:v>2024-2</x:v>
      </x:c>
    </x:row>
    <x:row r="469" ht="21" customHeight="1">
      <x:c r="A469" s="3" t="str">
        <x:v>2202007</x:v>
      </x:c>
      <x:c r="B469" s="3" t="str">
        <x:v>SEC005</x:v>
      </x:c>
      <x:c r="C469" s="3" t="n">
        <x:v>15</x:v>
      </x:c>
      <x:c r="D469" s="3" t="str">
        <x:v>present</x:v>
      </x:c>
      <x:c r="E469" s="5" t="str">
        <x:f>VLOOKUP(B469,Sections!$A$5:$I$45,3,FALSE)</x:f>
        <x:v>2024-2</x:v>
      </x:c>
    </x:row>
    <x:row r="470" ht="21" customHeight="1">
      <x:c r="A470" s="3" t="str">
        <x:v>2202008</x:v>
      </x:c>
      <x:c r="B470" s="3" t="str">
        <x:v>SEC005</x:v>
      </x:c>
      <x:c r="C470" s="3" t="n">
        <x:v>1</x:v>
      </x:c>
      <x:c r="D470" s="3" t="str">
        <x:v>present</x:v>
      </x:c>
      <x:c r="E470" s="5" t="str">
        <x:f>VLOOKUP(B470,Sections!$A$5:$I$45,3,FALSE)</x:f>
        <x:v>2024-2</x:v>
      </x:c>
    </x:row>
    <x:row r="471" ht="21" customHeight="1">
      <x:c r="A471" s="3" t="str">
        <x:v>2202008</x:v>
      </x:c>
      <x:c r="B471" s="3" t="str">
        <x:v>SEC005</x:v>
      </x:c>
      <x:c r="C471" s="3" t="n">
        <x:v>2</x:v>
      </x:c>
      <x:c r="D471" s="3" t="str">
        <x:v>present</x:v>
      </x:c>
      <x:c r="E471" s="5" t="str">
        <x:f>VLOOKUP(B471,Sections!$A$5:$I$45,3,FALSE)</x:f>
        <x:v>2024-2</x:v>
      </x:c>
    </x:row>
    <x:row r="472" ht="21" customHeight="1">
      <x:c r="A472" s="3" t="str">
        <x:v>2202008</x:v>
      </x:c>
      <x:c r="B472" s="3" t="str">
        <x:v>SEC005</x:v>
      </x:c>
      <x:c r="C472" s="3" t="n">
        <x:v>3</x:v>
      </x:c>
      <x:c r="D472" s="3" t="str">
        <x:v>present</x:v>
      </x:c>
      <x:c r="E472" s="5" t="str">
        <x:f>VLOOKUP(B472,Sections!$A$5:$I$45,3,FALSE)</x:f>
        <x:v>2024-2</x:v>
      </x:c>
    </x:row>
    <x:row r="473" ht="21" customHeight="1">
      <x:c r="A473" s="3" t="str">
        <x:v>2202008</x:v>
      </x:c>
      <x:c r="B473" s="3" t="str">
        <x:v>SEC005</x:v>
      </x:c>
      <x:c r="C473" s="3" t="n">
        <x:v>4</x:v>
      </x:c>
      <x:c r="D473" s="3" t="str">
        <x:v>present</x:v>
      </x:c>
      <x:c r="E473" s="5" t="str">
        <x:f>VLOOKUP(B473,Sections!$A$5:$I$45,3,FALSE)</x:f>
        <x:v>2024-2</x:v>
      </x:c>
    </x:row>
    <x:row r="474" ht="21" customHeight="1">
      <x:c r="A474" s="3" t="str">
        <x:v>2202008</x:v>
      </x:c>
      <x:c r="B474" s="3" t="str">
        <x:v>SEC005</x:v>
      </x:c>
      <x:c r="C474" s="3" t="n">
        <x:v>5</x:v>
      </x:c>
      <x:c r="D474" s="3" t="str">
        <x:v>present</x:v>
      </x:c>
      <x:c r="E474" s="5" t="str">
        <x:f>VLOOKUP(B474,Sections!$A$5:$I$45,3,FALSE)</x:f>
        <x:v>2024-2</x:v>
      </x:c>
    </x:row>
    <x:row r="475" ht="21" customHeight="1">
      <x:c r="A475" s="3" t="str">
        <x:v>2202008</x:v>
      </x:c>
      <x:c r="B475" s="3" t="str">
        <x:v>SEC005</x:v>
      </x:c>
      <x:c r="C475" s="3" t="n">
        <x:v>6</x:v>
      </x:c>
      <x:c r="D475" s="3" t="str">
        <x:v>present</x:v>
      </x:c>
      <x:c r="E475" s="5" t="str">
        <x:f>VLOOKUP(B475,Sections!$A$5:$I$45,3,FALSE)</x:f>
        <x:v>2024-2</x:v>
      </x:c>
    </x:row>
    <x:row r="476" ht="21" customHeight="1">
      <x:c r="A476" s="3" t="str">
        <x:v>2202008</x:v>
      </x:c>
      <x:c r="B476" s="3" t="str">
        <x:v>SEC005</x:v>
      </x:c>
      <x:c r="C476" s="3" t="n">
        <x:v>7</x:v>
      </x:c>
      <x:c r="D476" s="3" t="str">
        <x:v>present</x:v>
      </x:c>
      <x:c r="E476" s="5" t="str">
        <x:f>VLOOKUP(B476,Sections!$A$5:$I$45,3,FALSE)</x:f>
        <x:v>2024-2</x:v>
      </x:c>
    </x:row>
    <x:row r="477" ht="21" customHeight="1">
      <x:c r="A477" s="3" t="str">
        <x:v>2202008</x:v>
      </x:c>
      <x:c r="B477" s="3" t="str">
        <x:v>SEC005</x:v>
      </x:c>
      <x:c r="C477" s="3" t="n">
        <x:v>8</x:v>
      </x:c>
      <x:c r="D477" s="3" t="str">
        <x:v>present</x:v>
      </x:c>
      <x:c r="E477" s="5" t="str">
        <x:f>VLOOKUP(B477,Sections!$A$5:$I$45,3,FALSE)</x:f>
        <x:v>2024-2</x:v>
      </x:c>
    </x:row>
    <x:row r="478" ht="21" customHeight="1">
      <x:c r="A478" s="3" t="str">
        <x:v>2202008</x:v>
      </x:c>
      <x:c r="B478" s="3" t="str">
        <x:v>SEC005</x:v>
      </x:c>
      <x:c r="C478" s="3" t="n">
        <x:v>9</x:v>
      </x:c>
      <x:c r="D478" s="3" t="str">
        <x:v>present</x:v>
      </x:c>
      <x:c r="E478" s="5" t="str">
        <x:f>VLOOKUP(B478,Sections!$A$5:$I$45,3,FALSE)</x:f>
        <x:v>2024-2</x:v>
      </x:c>
    </x:row>
    <x:row r="479" ht="21" customHeight="1">
      <x:c r="A479" s="3" t="str">
        <x:v>2202008</x:v>
      </x:c>
      <x:c r="B479" s="3" t="str">
        <x:v>SEC005</x:v>
      </x:c>
      <x:c r="C479" s="3" t="n">
        <x:v>10</x:v>
      </x:c>
      <x:c r="D479" s="3" t="str">
        <x:v>present</x:v>
      </x:c>
      <x:c r="E479" s="5" t="str">
        <x:f>VLOOKUP(B479,Sections!$A$5:$I$45,3,FALSE)</x:f>
        <x:v>2024-2</x:v>
      </x:c>
    </x:row>
    <x:row r="480" ht="21" customHeight="1">
      <x:c r="A480" s="3" t="str">
        <x:v>2202008</x:v>
      </x:c>
      <x:c r="B480" s="3" t="str">
        <x:v>SEC005</x:v>
      </x:c>
      <x:c r="C480" s="3" t="n">
        <x:v>11</x:v>
      </x:c>
      <x:c r="D480" s="3" t="str">
        <x:v>late</x:v>
      </x:c>
      <x:c r="E480" s="5" t="str">
        <x:f>VLOOKUP(B480,Sections!$A$5:$I$45,3,FALSE)</x:f>
        <x:v>2024-2</x:v>
      </x:c>
    </x:row>
    <x:row r="481" ht="21" customHeight="1">
      <x:c r="A481" s="3" t="str">
        <x:v>2202008</x:v>
      </x:c>
      <x:c r="B481" s="3" t="str">
        <x:v>SEC005</x:v>
      </x:c>
      <x:c r="C481" s="3" t="n">
        <x:v>12</x:v>
      </x:c>
      <x:c r="D481" s="3" t="str">
        <x:v>present</x:v>
      </x:c>
      <x:c r="E481" s="5" t="str">
        <x:f>VLOOKUP(B481,Sections!$A$5:$I$45,3,FALSE)</x:f>
        <x:v>2024-2</x:v>
      </x:c>
    </x:row>
    <x:row r="482" ht="21" customHeight="1">
      <x:c r="A482" s="3" t="str">
        <x:v>2202008</x:v>
      </x:c>
      <x:c r="B482" s="3" t="str">
        <x:v>SEC005</x:v>
      </x:c>
      <x:c r="C482" s="3" t="n">
        <x:v>13</x:v>
      </x:c>
      <x:c r="D482" s="3" t="str">
        <x:v>present</x:v>
      </x:c>
      <x:c r="E482" s="5" t="str">
        <x:f>VLOOKUP(B482,Sections!$A$5:$I$45,3,FALSE)</x:f>
        <x:v>2024-2</x:v>
      </x:c>
    </x:row>
    <x:row r="483" ht="21" customHeight="1">
      <x:c r="A483" s="3" t="str">
        <x:v>2202008</x:v>
      </x:c>
      <x:c r="B483" s="3" t="str">
        <x:v>SEC005</x:v>
      </x:c>
      <x:c r="C483" s="3" t="n">
        <x:v>14</x:v>
      </x:c>
      <x:c r="D483" s="3" t="str">
        <x:v>present</x:v>
      </x:c>
      <x:c r="E483" s="5" t="str">
        <x:f>VLOOKUP(B483,Sections!$A$5:$I$45,3,FALSE)</x:f>
        <x:v>2024-2</x:v>
      </x:c>
    </x:row>
    <x:row r="484" ht="21" customHeight="1">
      <x:c r="A484" s="3" t="str">
        <x:v>2202008</x:v>
      </x:c>
      <x:c r="B484" s="3" t="str">
        <x:v>SEC005</x:v>
      </x:c>
      <x:c r="C484" s="3" t="n">
        <x:v>15</x:v>
      </x:c>
      <x:c r="D484" s="3" t="str">
        <x:v>present</x:v>
      </x:c>
      <x:c r="E484" s="5" t="str">
        <x:f>VLOOKUP(B484,Sections!$A$5:$I$45,3,FALSE)</x:f>
        <x:v>2024-2</x:v>
      </x:c>
    </x:row>
    <x:row r="485" ht="21" customHeight="1">
      <x:c r="A485" s="3" t="str">
        <x:v>2202009</x:v>
      </x:c>
      <x:c r="B485" s="3" t="str">
        <x:v>SEC005</x:v>
      </x:c>
      <x:c r="C485" s="3" t="n">
        <x:v>1</x:v>
      </x:c>
      <x:c r="D485" s="3" t="str">
        <x:v>present</x:v>
      </x:c>
      <x:c r="E485" s="5" t="str">
        <x:f>VLOOKUP(B485,Sections!$A$5:$I$45,3,FALSE)</x:f>
        <x:v>2024-2</x:v>
      </x:c>
    </x:row>
    <x:row r="486" ht="21" customHeight="1">
      <x:c r="A486" s="3" t="str">
        <x:v>2202009</x:v>
      </x:c>
      <x:c r="B486" s="3" t="str">
        <x:v>SEC005</x:v>
      </x:c>
      <x:c r="C486" s="3" t="n">
        <x:v>2</x:v>
      </x:c>
      <x:c r="D486" s="3" t="str">
        <x:v>present</x:v>
      </x:c>
      <x:c r="E486" s="5" t="str">
        <x:f>VLOOKUP(B486,Sections!$A$5:$I$45,3,FALSE)</x:f>
        <x:v>2024-2</x:v>
      </x:c>
    </x:row>
    <x:row r="487" ht="21" customHeight="1">
      <x:c r="A487" s="3" t="str">
        <x:v>2202009</x:v>
      </x:c>
      <x:c r="B487" s="3" t="str">
        <x:v>SEC005</x:v>
      </x:c>
      <x:c r="C487" s="3" t="n">
        <x:v>3</x:v>
      </x:c>
      <x:c r="D487" s="3" t="str">
        <x:v>late</x:v>
      </x:c>
      <x:c r="E487" s="5" t="str">
        <x:f>VLOOKUP(B487,Sections!$A$5:$I$45,3,FALSE)</x:f>
        <x:v>2024-2</x:v>
      </x:c>
    </x:row>
    <x:row r="488" ht="21" customHeight="1">
      <x:c r="A488" s="3" t="str">
        <x:v>2202009</x:v>
      </x:c>
      <x:c r="B488" s="3" t="str">
        <x:v>SEC005</x:v>
      </x:c>
      <x:c r="C488" s="3" t="n">
        <x:v>4</x:v>
      </x:c>
      <x:c r="D488" s="3" t="str">
        <x:v>present</x:v>
      </x:c>
      <x:c r="E488" s="5" t="str">
        <x:f>VLOOKUP(B488,Sections!$A$5:$I$45,3,FALSE)</x:f>
        <x:v>2024-2</x:v>
      </x:c>
    </x:row>
    <x:row r="489" ht="21" customHeight="1">
      <x:c r="A489" s="3" t="str">
        <x:v>2202009</x:v>
      </x:c>
      <x:c r="B489" s="3" t="str">
        <x:v>SEC005</x:v>
      </x:c>
      <x:c r="C489" s="3" t="n">
        <x:v>5</x:v>
      </x:c>
      <x:c r="D489" s="3" t="str">
        <x:v>present</x:v>
      </x:c>
      <x:c r="E489" s="5" t="str">
        <x:f>VLOOKUP(B489,Sections!$A$5:$I$45,3,FALSE)</x:f>
        <x:v>2024-2</x:v>
      </x:c>
    </x:row>
    <x:row r="490" ht="21" customHeight="1">
      <x:c r="A490" s="3" t="str">
        <x:v>2202009</x:v>
      </x:c>
      <x:c r="B490" s="3" t="str">
        <x:v>SEC005</x:v>
      </x:c>
      <x:c r="C490" s="3" t="n">
        <x:v>6</x:v>
      </x:c>
      <x:c r="D490" s="3" t="str">
        <x:v>late</x:v>
      </x:c>
      <x:c r="E490" s="5" t="str">
        <x:f>VLOOKUP(B490,Sections!$A$5:$I$45,3,FALSE)</x:f>
        <x:v>2024-2</x:v>
      </x:c>
    </x:row>
    <x:row r="491" ht="21" customHeight="1">
      <x:c r="A491" s="3" t="str">
        <x:v>2202009</x:v>
      </x:c>
      <x:c r="B491" s="3" t="str">
        <x:v>SEC005</x:v>
      </x:c>
      <x:c r="C491" s="3" t="n">
        <x:v>7</x:v>
      </x:c>
      <x:c r="D491" s="3" t="str">
        <x:v>present</x:v>
      </x:c>
      <x:c r="E491" s="5" t="str">
        <x:f>VLOOKUP(B491,Sections!$A$5:$I$45,3,FALSE)</x:f>
        <x:v>2024-2</x:v>
      </x:c>
    </x:row>
    <x:row r="492" ht="21" customHeight="1">
      <x:c r="A492" s="3" t="str">
        <x:v>2202009</x:v>
      </x:c>
      <x:c r="B492" s="3" t="str">
        <x:v>SEC005</x:v>
      </x:c>
      <x:c r="C492" s="3" t="n">
        <x:v>8</x:v>
      </x:c>
      <x:c r="D492" s="3" t="str">
        <x:v>present</x:v>
      </x:c>
      <x:c r="E492" s="5" t="str">
        <x:f>VLOOKUP(B492,Sections!$A$5:$I$45,3,FALSE)</x:f>
        <x:v>2024-2</x:v>
      </x:c>
    </x:row>
    <x:row r="493" ht="21" customHeight="1">
      <x:c r="A493" s="3" t="str">
        <x:v>2202009</x:v>
      </x:c>
      <x:c r="B493" s="3" t="str">
        <x:v>SEC005</x:v>
      </x:c>
      <x:c r="C493" s="3" t="n">
        <x:v>9</x:v>
      </x:c>
      <x:c r="D493" s="3" t="str">
        <x:v>present</x:v>
      </x:c>
      <x:c r="E493" s="5" t="str">
        <x:f>VLOOKUP(B493,Sections!$A$5:$I$45,3,FALSE)</x:f>
        <x:v>2024-2</x:v>
      </x:c>
    </x:row>
    <x:row r="494" ht="21" customHeight="1">
      <x:c r="A494" s="3" t="str">
        <x:v>2202009</x:v>
      </x:c>
      <x:c r="B494" s="3" t="str">
        <x:v>SEC005</x:v>
      </x:c>
      <x:c r="C494" s="3" t="n">
        <x:v>10</x:v>
      </x:c>
      <x:c r="D494" s="3" t="str">
        <x:v>present</x:v>
      </x:c>
      <x:c r="E494" s="5" t="str">
        <x:f>VLOOKUP(B494,Sections!$A$5:$I$45,3,FALSE)</x:f>
        <x:v>2024-2</x:v>
      </x:c>
    </x:row>
    <x:row r="495" ht="21" customHeight="1">
      <x:c r="A495" s="3" t="str">
        <x:v>2202009</x:v>
      </x:c>
      <x:c r="B495" s="3" t="str">
        <x:v>SEC005</x:v>
      </x:c>
      <x:c r="C495" s="3" t="n">
        <x:v>11</x:v>
      </x:c>
      <x:c r="D495" s="3" t="str">
        <x:v>present</x:v>
      </x:c>
      <x:c r="E495" s="5" t="str">
        <x:f>VLOOKUP(B495,Sections!$A$5:$I$45,3,FALSE)</x:f>
        <x:v>2024-2</x:v>
      </x:c>
    </x:row>
    <x:row r="496" ht="21" customHeight="1">
      <x:c r="A496" s="3" t="str">
        <x:v>2202009</x:v>
      </x:c>
      <x:c r="B496" s="3" t="str">
        <x:v>SEC005</x:v>
      </x:c>
      <x:c r="C496" s="3" t="n">
        <x:v>12</x:v>
      </x:c>
      <x:c r="D496" s="3" t="str">
        <x:v>absent</x:v>
      </x:c>
      <x:c r="E496" s="5" t="str">
        <x:f>VLOOKUP(B496,Sections!$A$5:$I$45,3,FALSE)</x:f>
        <x:v>2024-2</x:v>
      </x:c>
    </x:row>
    <x:row r="497" ht="21" customHeight="1">
      <x:c r="A497" s="3" t="str">
        <x:v>2202009</x:v>
      </x:c>
      <x:c r="B497" s="3" t="str">
        <x:v>SEC005</x:v>
      </x:c>
      <x:c r="C497" s="3" t="n">
        <x:v>13</x:v>
      </x:c>
      <x:c r="D497" s="3" t="str">
        <x:v>present</x:v>
      </x:c>
      <x:c r="E497" s="5" t="str">
        <x:f>VLOOKUP(B497,Sections!$A$5:$I$45,3,FALSE)</x:f>
        <x:v>2024-2</x:v>
      </x:c>
    </x:row>
    <x:row r="498" ht="21" customHeight="1">
      <x:c r="A498" s="3" t="str">
        <x:v>2202009</x:v>
      </x:c>
      <x:c r="B498" s="3" t="str">
        <x:v>SEC005</x:v>
      </x:c>
      <x:c r="C498" s="3" t="n">
        <x:v>14</x:v>
      </x:c>
      <x:c r="D498" s="3" t="str">
        <x:v>present</x:v>
      </x:c>
      <x:c r="E498" s="5" t="str">
        <x:f>VLOOKUP(B498,Sections!$A$5:$I$45,3,FALSE)</x:f>
        <x:v>2024-2</x:v>
      </x:c>
    </x:row>
    <x:row r="499" ht="21" customHeight="1">
      <x:c r="A499" s="3" t="str">
        <x:v>2202009</x:v>
      </x:c>
      <x:c r="B499" s="3" t="str">
        <x:v>SEC005</x:v>
      </x:c>
      <x:c r="C499" s="3" t="n">
        <x:v>15</x:v>
      </x:c>
      <x:c r="D499" s="3" t="str">
        <x:v>present</x:v>
      </x:c>
      <x:c r="E499" s="5" t="str">
        <x:f>VLOOKUP(B499,Sections!$A$5:$I$45,3,FALSE)</x:f>
        <x:v>2024-2</x:v>
      </x:c>
    </x:row>
    <x:row r="500" ht="21" customHeight="1">
      <x:c r="A500" s="3" t="str">
        <x:v>2202010</x:v>
      </x:c>
      <x:c r="B500" s="3" t="str">
        <x:v>SEC005</x:v>
      </x:c>
      <x:c r="C500" s="3" t="n">
        <x:v>1</x:v>
      </x:c>
      <x:c r="D500" s="3" t="str">
        <x:v>present</x:v>
      </x:c>
      <x:c r="E500" s="5" t="str">
        <x:f>VLOOKUP(B500,Sections!$A$5:$I$45,3,FALSE)</x:f>
        <x:v>2024-2</x:v>
      </x:c>
    </x:row>
    <x:row r="501" ht="21" customHeight="1">
      <x:c r="A501" s="3" t="str">
        <x:v>2202010</x:v>
      </x:c>
      <x:c r="B501" s="3" t="str">
        <x:v>SEC005</x:v>
      </x:c>
      <x:c r="C501" s="3" t="n">
        <x:v>2</x:v>
      </x:c>
      <x:c r="D501" s="3" t="str">
        <x:v>present</x:v>
      </x:c>
      <x:c r="E501" s="5" t="str">
        <x:f>VLOOKUP(B501,Sections!$A$5:$I$45,3,FALSE)</x:f>
        <x:v>2024-2</x:v>
      </x:c>
    </x:row>
    <x:row r="502" ht="21" customHeight="1">
      <x:c r="A502" s="3" t="str">
        <x:v>2202010</x:v>
      </x:c>
      <x:c r="B502" s="3" t="str">
        <x:v>SEC005</x:v>
      </x:c>
      <x:c r="C502" s="3" t="n">
        <x:v>3</x:v>
      </x:c>
      <x:c r="D502" s="3" t="str">
        <x:v>present</x:v>
      </x:c>
      <x:c r="E502" s="5" t="str">
        <x:f>VLOOKUP(B502,Sections!$A$5:$I$45,3,FALSE)</x:f>
        <x:v>2024-2</x:v>
      </x:c>
    </x:row>
    <x:row r="503" ht="21" customHeight="1">
      <x:c r="A503" s="3" t="str">
        <x:v>2202010</x:v>
      </x:c>
      <x:c r="B503" s="3" t="str">
        <x:v>SEC005</x:v>
      </x:c>
      <x:c r="C503" s="3" t="n">
        <x:v>4</x:v>
      </x:c>
      <x:c r="D503" s="3" t="str">
        <x:v>present</x:v>
      </x:c>
      <x:c r="E503" s="5" t="str">
        <x:f>VLOOKUP(B503,Sections!$A$5:$I$45,3,FALSE)</x:f>
        <x:v>2024-2</x:v>
      </x:c>
    </x:row>
    <x:row r="504" ht="21" customHeight="1">
      <x:c r="A504" s="3" t="str">
        <x:v>2202010</x:v>
      </x:c>
      <x:c r="B504" s="3" t="str">
        <x:v>SEC005</x:v>
      </x:c>
      <x:c r="C504" s="3" t="n">
        <x:v>5</x:v>
      </x:c>
      <x:c r="D504" s="3" t="str">
        <x:v>absent</x:v>
      </x:c>
      <x:c r="E504" s="5" t="str">
        <x:f>VLOOKUP(B504,Sections!$A$5:$I$45,3,FALSE)</x:f>
        <x:v>2024-2</x:v>
      </x:c>
    </x:row>
    <x:row r="505" ht="21" customHeight="1">
      <x:c r="A505" s="3" t="str">
        <x:v>2202010</x:v>
      </x:c>
      <x:c r="B505" s="3" t="str">
        <x:v>SEC005</x:v>
      </x:c>
      <x:c r="C505" s="3" t="n">
        <x:v>6</x:v>
      </x:c>
      <x:c r="D505" s="3" t="str">
        <x:v>present</x:v>
      </x:c>
      <x:c r="E505" s="5" t="str">
        <x:f>VLOOKUP(B505,Sections!$A$5:$I$45,3,FALSE)</x:f>
        <x:v>2024-2</x:v>
      </x:c>
    </x:row>
    <x:row r="506" ht="21" customHeight="1">
      <x:c r="A506" s="3" t="str">
        <x:v>2202010</x:v>
      </x:c>
      <x:c r="B506" s="3" t="str">
        <x:v>SEC005</x:v>
      </x:c>
      <x:c r="C506" s="3" t="n">
        <x:v>7</x:v>
      </x:c>
      <x:c r="D506" s="3" t="str">
        <x:v>present</x:v>
      </x:c>
      <x:c r="E506" s="5" t="str">
        <x:f>VLOOKUP(B506,Sections!$A$5:$I$45,3,FALSE)</x:f>
        <x:v>2024-2</x:v>
      </x:c>
    </x:row>
    <x:row r="507" ht="21" customHeight="1">
      <x:c r="A507" s="3" t="str">
        <x:v>2202010</x:v>
      </x:c>
      <x:c r="B507" s="3" t="str">
        <x:v>SEC005</x:v>
      </x:c>
      <x:c r="C507" s="3" t="n">
        <x:v>8</x:v>
      </x:c>
      <x:c r="D507" s="3" t="str">
        <x:v>absent</x:v>
      </x:c>
      <x:c r="E507" s="5" t="str">
        <x:f>VLOOKUP(B507,Sections!$A$5:$I$45,3,FALSE)</x:f>
        <x:v>2024-2</x:v>
      </x:c>
    </x:row>
    <x:row r="508" ht="21" customHeight="1">
      <x:c r="A508" s="3" t="str">
        <x:v>2202010</x:v>
      </x:c>
      <x:c r="B508" s="3" t="str">
        <x:v>SEC005</x:v>
      </x:c>
      <x:c r="C508" s="3" t="n">
        <x:v>9</x:v>
      </x:c>
      <x:c r="D508" s="3" t="str">
        <x:v>present</x:v>
      </x:c>
      <x:c r="E508" s="5" t="str">
        <x:f>VLOOKUP(B508,Sections!$A$5:$I$45,3,FALSE)</x:f>
        <x:v>2024-2</x:v>
      </x:c>
    </x:row>
    <x:row r="509" ht="21" customHeight="1">
      <x:c r="A509" s="3" t="str">
        <x:v>2202010</x:v>
      </x:c>
      <x:c r="B509" s="3" t="str">
        <x:v>SEC005</x:v>
      </x:c>
      <x:c r="C509" s="3" t="n">
        <x:v>10</x:v>
      </x:c>
      <x:c r="D509" s="3" t="str">
        <x:v>present</x:v>
      </x:c>
      <x:c r="E509" s="5" t="str">
        <x:f>VLOOKUP(B509,Sections!$A$5:$I$45,3,FALSE)</x:f>
        <x:v>2024-2</x:v>
      </x:c>
    </x:row>
    <x:row r="510" ht="21" customHeight="1">
      <x:c r="A510" s="3" t="str">
        <x:v>2202010</x:v>
      </x:c>
      <x:c r="B510" s="3" t="str">
        <x:v>SEC005</x:v>
      </x:c>
      <x:c r="C510" s="3" t="n">
        <x:v>11</x:v>
      </x:c>
      <x:c r="D510" s="3" t="str">
        <x:v>present</x:v>
      </x:c>
      <x:c r="E510" s="5" t="str">
        <x:f>VLOOKUP(B510,Sections!$A$5:$I$45,3,FALSE)</x:f>
        <x:v>2024-2</x:v>
      </x:c>
    </x:row>
    <x:row r="511" ht="21" customHeight="1">
      <x:c r="A511" s="3" t="str">
        <x:v>2202010</x:v>
      </x:c>
      <x:c r="B511" s="3" t="str">
        <x:v>SEC005</x:v>
      </x:c>
      <x:c r="C511" s="3" t="n">
        <x:v>12</x:v>
      </x:c>
      <x:c r="D511" s="3" t="str">
        <x:v>absent</x:v>
      </x:c>
      <x:c r="E511" s="5" t="str">
        <x:f>VLOOKUP(B511,Sections!$A$5:$I$45,3,FALSE)</x:f>
        <x:v>2024-2</x:v>
      </x:c>
    </x:row>
    <x:row r="512" ht="21" customHeight="1">
      <x:c r="A512" s="3" t="str">
        <x:v>2202010</x:v>
      </x:c>
      <x:c r="B512" s="3" t="str">
        <x:v>SEC005</x:v>
      </x:c>
      <x:c r="C512" s="3" t="n">
        <x:v>13</x:v>
      </x:c>
      <x:c r="D512" s="3" t="str">
        <x:v>present</x:v>
      </x:c>
      <x:c r="E512" s="5" t="str">
        <x:f>VLOOKUP(B512,Sections!$A$5:$I$45,3,FALSE)</x:f>
        <x:v>2024-2</x:v>
      </x:c>
    </x:row>
    <x:row r="513" ht="21" customHeight="1">
      <x:c r="A513" s="3" t="str">
        <x:v>2202010</x:v>
      </x:c>
      <x:c r="B513" s="3" t="str">
        <x:v>SEC005</x:v>
      </x:c>
      <x:c r="C513" s="3" t="n">
        <x:v>14</x:v>
      </x:c>
      <x:c r="D513" s="3" t="str">
        <x:v>present</x:v>
      </x:c>
      <x:c r="E513" s="5" t="str">
        <x:f>VLOOKUP(B513,Sections!$A$5:$I$45,3,FALSE)</x:f>
        <x:v>2024-2</x:v>
      </x:c>
    </x:row>
    <x:row r="514" ht="21" customHeight="1">
      <x:c r="A514" s="3" t="str">
        <x:v>2202010</x:v>
      </x:c>
      <x:c r="B514" s="3" t="str">
        <x:v>SEC005</x:v>
      </x:c>
      <x:c r="C514" s="3" t="n">
        <x:v>15</x:v>
      </x:c>
      <x:c r="D514" s="3" t="str">
        <x:v>absent</x:v>
      </x:c>
      <x:c r="E514" s="5" t="str">
        <x:f>VLOOKUP(B514,Sections!$A$5:$I$45,3,FALSE)</x:f>
        <x:v>2024-2</x:v>
      </x:c>
    </x:row>
    <x:row r="515" ht="21" customHeight="1">
      <x:c r="A515" s="3" t="str">
        <x:v>2202011</x:v>
      </x:c>
      <x:c r="B515" s="3" t="str">
        <x:v>SEC006</x:v>
      </x:c>
      <x:c r="C515" s="3" t="n">
        <x:v>1</x:v>
      </x:c>
      <x:c r="D515" s="3" t="str">
        <x:v>present</x:v>
      </x:c>
      <x:c r="E515" s="5" t="str">
        <x:f>VLOOKUP(B515,Sections!$A$5:$I$45,3,FALSE)</x:f>
        <x:v>2024-2</x:v>
      </x:c>
    </x:row>
    <x:row r="516" ht="21" customHeight="1">
      <x:c r="A516" s="3" t="str">
        <x:v>2202011</x:v>
      </x:c>
      <x:c r="B516" s="3" t="str">
        <x:v>SEC006</x:v>
      </x:c>
      <x:c r="C516" s="3" t="n">
        <x:v>2</x:v>
      </x:c>
      <x:c r="D516" s="3" t="str">
        <x:v>present</x:v>
      </x:c>
      <x:c r="E516" s="5" t="str">
        <x:f>VLOOKUP(B516,Sections!$A$5:$I$45,3,FALSE)</x:f>
        <x:v>2024-2</x:v>
      </x:c>
    </x:row>
    <x:row r="517" ht="21" customHeight="1">
      <x:c r="A517" s="3" t="str">
        <x:v>2202011</x:v>
      </x:c>
      <x:c r="B517" s="3" t="str">
        <x:v>SEC006</x:v>
      </x:c>
      <x:c r="C517" s="3" t="n">
        <x:v>3</x:v>
      </x:c>
      <x:c r="D517" s="3" t="str">
        <x:v>present</x:v>
      </x:c>
      <x:c r="E517" s="5" t="str">
        <x:f>VLOOKUP(B517,Sections!$A$5:$I$45,3,FALSE)</x:f>
        <x:v>2024-2</x:v>
      </x:c>
    </x:row>
    <x:row r="518" ht="21" customHeight="1">
      <x:c r="A518" s="3" t="str">
        <x:v>2202011</x:v>
      </x:c>
      <x:c r="B518" s="3" t="str">
        <x:v>SEC006</x:v>
      </x:c>
      <x:c r="C518" s="3" t="n">
        <x:v>4</x:v>
      </x:c>
      <x:c r="D518" s="3" t="str">
        <x:v>present</x:v>
      </x:c>
      <x:c r="E518" s="5" t="str">
        <x:f>VLOOKUP(B518,Sections!$A$5:$I$45,3,FALSE)</x:f>
        <x:v>2024-2</x:v>
      </x:c>
    </x:row>
    <x:row r="519" ht="21" customHeight="1">
      <x:c r="A519" s="3" t="str">
        <x:v>2202011</x:v>
      </x:c>
      <x:c r="B519" s="3" t="str">
        <x:v>SEC006</x:v>
      </x:c>
      <x:c r="C519" s="3" t="n">
        <x:v>5</x:v>
      </x:c>
      <x:c r="D519" s="3" t="str">
        <x:v>present</x:v>
      </x:c>
      <x:c r="E519" s="5" t="str">
        <x:f>VLOOKUP(B519,Sections!$A$5:$I$45,3,FALSE)</x:f>
        <x:v>2024-2</x:v>
      </x:c>
    </x:row>
    <x:row r="520" ht="21" customHeight="1">
      <x:c r="A520" s="3" t="str">
        <x:v>2202011</x:v>
      </x:c>
      <x:c r="B520" s="3" t="str">
        <x:v>SEC006</x:v>
      </x:c>
      <x:c r="C520" s="3" t="n">
        <x:v>6</x:v>
      </x:c>
      <x:c r="D520" s="3" t="str">
        <x:v>present</x:v>
      </x:c>
      <x:c r="E520" s="5" t="str">
        <x:f>VLOOKUP(B520,Sections!$A$5:$I$45,3,FALSE)</x:f>
        <x:v>2024-2</x:v>
      </x:c>
    </x:row>
    <x:row r="521" ht="21" customHeight="1">
      <x:c r="A521" s="3" t="str">
        <x:v>2202011</x:v>
      </x:c>
      <x:c r="B521" s="3" t="str">
        <x:v>SEC006</x:v>
      </x:c>
      <x:c r="C521" s="3" t="n">
        <x:v>7</x:v>
      </x:c>
      <x:c r="D521" s="3" t="str">
        <x:v>present</x:v>
      </x:c>
      <x:c r="E521" s="5" t="str">
        <x:f>VLOOKUP(B521,Sections!$A$5:$I$45,3,FALSE)</x:f>
        <x:v>2024-2</x:v>
      </x:c>
    </x:row>
    <x:row r="522" ht="21" customHeight="1">
      <x:c r="A522" s="3" t="str">
        <x:v>2202011</x:v>
      </x:c>
      <x:c r="B522" s="3" t="str">
        <x:v>SEC006</x:v>
      </x:c>
      <x:c r="C522" s="3" t="n">
        <x:v>8</x:v>
      </x:c>
      <x:c r="D522" s="3" t="str">
        <x:v>present</x:v>
      </x:c>
      <x:c r="E522" s="5" t="str">
        <x:f>VLOOKUP(B522,Sections!$A$5:$I$45,3,FALSE)</x:f>
        <x:v>2024-2</x:v>
      </x:c>
    </x:row>
    <x:row r="523" ht="21" customHeight="1">
      <x:c r="A523" s="3" t="str">
        <x:v>2202011</x:v>
      </x:c>
      <x:c r="B523" s="3" t="str">
        <x:v>SEC006</x:v>
      </x:c>
      <x:c r="C523" s="3" t="n">
        <x:v>9</x:v>
      </x:c>
      <x:c r="D523" s="3" t="str">
        <x:v>present</x:v>
      </x:c>
      <x:c r="E523" s="5" t="str">
        <x:f>VLOOKUP(B523,Sections!$A$5:$I$45,3,FALSE)</x:f>
        <x:v>2024-2</x:v>
      </x:c>
    </x:row>
    <x:row r="524" ht="21" customHeight="1">
      <x:c r="A524" s="3" t="str">
        <x:v>2202011</x:v>
      </x:c>
      <x:c r="B524" s="3" t="str">
        <x:v>SEC006</x:v>
      </x:c>
      <x:c r="C524" s="3" t="n">
        <x:v>10</x:v>
      </x:c>
      <x:c r="D524" s="3" t="str">
        <x:v>present</x:v>
      </x:c>
      <x:c r="E524" s="5" t="str">
        <x:f>VLOOKUP(B524,Sections!$A$5:$I$45,3,FALSE)</x:f>
        <x:v>2024-2</x:v>
      </x:c>
    </x:row>
    <x:row r="525" ht="21" customHeight="1">
      <x:c r="A525" s="3" t="str">
        <x:v>2202011</x:v>
      </x:c>
      <x:c r="B525" s="3" t="str">
        <x:v>SEC006</x:v>
      </x:c>
      <x:c r="C525" s="3" t="n">
        <x:v>11</x:v>
      </x:c>
      <x:c r="D525" s="3" t="str">
        <x:v>present</x:v>
      </x:c>
      <x:c r="E525" s="5" t="str">
        <x:f>VLOOKUP(B525,Sections!$A$5:$I$45,3,FALSE)</x:f>
        <x:v>2024-2</x:v>
      </x:c>
    </x:row>
    <x:row r="526" ht="21" customHeight="1">
      <x:c r="A526" s="3" t="str">
        <x:v>2202011</x:v>
      </x:c>
      <x:c r="B526" s="3" t="str">
        <x:v>SEC006</x:v>
      </x:c>
      <x:c r="C526" s="3" t="n">
        <x:v>12</x:v>
      </x:c>
      <x:c r="D526" s="3" t="str">
        <x:v>present</x:v>
      </x:c>
      <x:c r="E526" s="5" t="str">
        <x:f>VLOOKUP(B526,Sections!$A$5:$I$45,3,FALSE)</x:f>
        <x:v>2024-2</x:v>
      </x:c>
    </x:row>
    <x:row r="527" ht="21" customHeight="1">
      <x:c r="A527" s="3" t="str">
        <x:v>2202011</x:v>
      </x:c>
      <x:c r="B527" s="3" t="str">
        <x:v>SEC006</x:v>
      </x:c>
      <x:c r="C527" s="3" t="n">
        <x:v>13</x:v>
      </x:c>
      <x:c r="D527" s="3" t="str">
        <x:v>absent</x:v>
      </x:c>
      <x:c r="E527" s="5" t="str">
        <x:f>VLOOKUP(B527,Sections!$A$5:$I$45,3,FALSE)</x:f>
        <x:v>2024-2</x:v>
      </x:c>
    </x:row>
    <x:row r="528" ht="21" customHeight="1">
      <x:c r="A528" s="3" t="str">
        <x:v>2202011</x:v>
      </x:c>
      <x:c r="B528" s="3" t="str">
        <x:v>SEC006</x:v>
      </x:c>
      <x:c r="C528" s="3" t="n">
        <x:v>14</x:v>
      </x:c>
      <x:c r="D528" s="3" t="str">
        <x:v>present</x:v>
      </x:c>
      <x:c r="E528" s="5" t="str">
        <x:f>VLOOKUP(B528,Sections!$A$5:$I$45,3,FALSE)</x:f>
        <x:v>2024-2</x:v>
      </x:c>
    </x:row>
    <x:row r="529" ht="21" customHeight="1">
      <x:c r="A529" s="3" t="str">
        <x:v>2202011</x:v>
      </x:c>
      <x:c r="B529" s="3" t="str">
        <x:v>SEC006</x:v>
      </x:c>
      <x:c r="C529" s="3" t="n">
        <x:v>15</x:v>
      </x:c>
      <x:c r="D529" s="3" t="str">
        <x:v>present</x:v>
      </x:c>
      <x:c r="E529" s="5" t="str">
        <x:f>VLOOKUP(B529,Sections!$A$5:$I$45,3,FALSE)</x:f>
        <x:v>2024-2</x:v>
      </x:c>
    </x:row>
    <x:row r="530" ht="21" customHeight="1">
      <x:c r="A530" s="3" t="str">
        <x:v>2202012</x:v>
      </x:c>
      <x:c r="B530" s="3" t="str">
        <x:v>SEC006</x:v>
      </x:c>
      <x:c r="C530" s="3" t="n">
        <x:v>1</x:v>
      </x:c>
      <x:c r="D530" s="3" t="str">
        <x:v>present</x:v>
      </x:c>
      <x:c r="E530" s="5" t="str">
        <x:f>VLOOKUP(B530,Sections!$A$5:$I$45,3,FALSE)</x:f>
        <x:v>2024-2</x:v>
      </x:c>
    </x:row>
    <x:row r="531" ht="21" customHeight="1">
      <x:c r="A531" s="3" t="str">
        <x:v>2202012</x:v>
      </x:c>
      <x:c r="B531" s="3" t="str">
        <x:v>SEC006</x:v>
      </x:c>
      <x:c r="C531" s="3" t="n">
        <x:v>2</x:v>
      </x:c>
      <x:c r="D531" s="3" t="str">
        <x:v>present</x:v>
      </x:c>
      <x:c r="E531" s="5" t="str">
        <x:f>VLOOKUP(B531,Sections!$A$5:$I$45,3,FALSE)</x:f>
        <x:v>2024-2</x:v>
      </x:c>
    </x:row>
    <x:row r="532" ht="21" customHeight="1">
      <x:c r="A532" s="3" t="str">
        <x:v>2202012</x:v>
      </x:c>
      <x:c r="B532" s="3" t="str">
        <x:v>SEC006</x:v>
      </x:c>
      <x:c r="C532" s="3" t="n">
        <x:v>3</x:v>
      </x:c>
      <x:c r="D532" s="3" t="str">
        <x:v>present</x:v>
      </x:c>
      <x:c r="E532" s="5" t="str">
        <x:f>VLOOKUP(B532,Sections!$A$5:$I$45,3,FALSE)</x:f>
        <x:v>2024-2</x:v>
      </x:c>
    </x:row>
    <x:row r="533" ht="21" customHeight="1">
      <x:c r="A533" s="3" t="str">
        <x:v>2202012</x:v>
      </x:c>
      <x:c r="B533" s="3" t="str">
        <x:v>SEC006</x:v>
      </x:c>
      <x:c r="C533" s="3" t="n">
        <x:v>4</x:v>
      </x:c>
      <x:c r="D533" s="3" t="str">
        <x:v>present</x:v>
      </x:c>
      <x:c r="E533" s="5" t="str">
        <x:f>VLOOKUP(B533,Sections!$A$5:$I$45,3,FALSE)</x:f>
        <x:v>2024-2</x:v>
      </x:c>
    </x:row>
    <x:row r="534" ht="21" customHeight="1">
      <x:c r="A534" s="3" t="str">
        <x:v>2202012</x:v>
      </x:c>
      <x:c r="B534" s="3" t="str">
        <x:v>SEC006</x:v>
      </x:c>
      <x:c r="C534" s="3" t="n">
        <x:v>5</x:v>
      </x:c>
      <x:c r="D534" s="3" t="str">
        <x:v>present</x:v>
      </x:c>
      <x:c r="E534" s="5" t="str">
        <x:f>VLOOKUP(B534,Sections!$A$5:$I$45,3,FALSE)</x:f>
        <x:v>2024-2</x:v>
      </x:c>
    </x:row>
    <x:row r="535" ht="21" customHeight="1">
      <x:c r="A535" s="3" t="str">
        <x:v>2202012</x:v>
      </x:c>
      <x:c r="B535" s="3" t="str">
        <x:v>SEC006</x:v>
      </x:c>
      <x:c r="C535" s="3" t="n">
        <x:v>6</x:v>
      </x:c>
      <x:c r="D535" s="3" t="str">
        <x:v>present</x:v>
      </x:c>
      <x:c r="E535" s="5" t="str">
        <x:f>VLOOKUP(B535,Sections!$A$5:$I$45,3,FALSE)</x:f>
        <x:v>2024-2</x:v>
      </x:c>
    </x:row>
    <x:row r="536" ht="21" customHeight="1">
      <x:c r="A536" s="3" t="str">
        <x:v>2202012</x:v>
      </x:c>
      <x:c r="B536" s="3" t="str">
        <x:v>SEC006</x:v>
      </x:c>
      <x:c r="C536" s="3" t="n">
        <x:v>7</x:v>
      </x:c>
      <x:c r="D536" s="3" t="str">
        <x:v>excused</x:v>
      </x:c>
      <x:c r="E536" s="5" t="str">
        <x:f>VLOOKUP(B536,Sections!$A$5:$I$45,3,FALSE)</x:f>
        <x:v>2024-2</x:v>
      </x:c>
    </x:row>
    <x:row r="537" ht="21" customHeight="1">
      <x:c r="A537" s="3" t="str">
        <x:v>2202012</x:v>
      </x:c>
      <x:c r="B537" s="3" t="str">
        <x:v>SEC006</x:v>
      </x:c>
      <x:c r="C537" s="3" t="n">
        <x:v>8</x:v>
      </x:c>
      <x:c r="D537" s="3" t="str">
        <x:v>present</x:v>
      </x:c>
      <x:c r="E537" s="5" t="str">
        <x:f>VLOOKUP(B537,Sections!$A$5:$I$45,3,FALSE)</x:f>
        <x:v>2024-2</x:v>
      </x:c>
    </x:row>
    <x:row r="538" ht="21" customHeight="1">
      <x:c r="A538" s="3" t="str">
        <x:v>2202012</x:v>
      </x:c>
      <x:c r="B538" s="3" t="str">
        <x:v>SEC006</x:v>
      </x:c>
      <x:c r="C538" s="3" t="n">
        <x:v>9</x:v>
      </x:c>
      <x:c r="D538" s="3" t="str">
        <x:v>absent</x:v>
      </x:c>
      <x:c r="E538" s="5" t="str">
        <x:f>VLOOKUP(B538,Sections!$A$5:$I$45,3,FALSE)</x:f>
        <x:v>2024-2</x:v>
      </x:c>
    </x:row>
    <x:row r="539" ht="21" customHeight="1">
      <x:c r="A539" s="3" t="str">
        <x:v>2202012</x:v>
      </x:c>
      <x:c r="B539" s="3" t="str">
        <x:v>SEC006</x:v>
      </x:c>
      <x:c r="C539" s="3" t="n">
        <x:v>10</x:v>
      </x:c>
      <x:c r="D539" s="3" t="str">
        <x:v>present</x:v>
      </x:c>
      <x:c r="E539" s="5" t="str">
        <x:f>VLOOKUP(B539,Sections!$A$5:$I$45,3,FALSE)</x:f>
        <x:v>2024-2</x:v>
      </x:c>
    </x:row>
    <x:row r="540" ht="21" customHeight="1">
      <x:c r="A540" s="3" t="str">
        <x:v>2202012</x:v>
      </x:c>
      <x:c r="B540" s="3" t="str">
        <x:v>SEC006</x:v>
      </x:c>
      <x:c r="C540" s="3" t="n">
        <x:v>11</x:v>
      </x:c>
      <x:c r="D540" s="3" t="str">
        <x:v>present</x:v>
      </x:c>
      <x:c r="E540" s="5" t="str">
        <x:f>VLOOKUP(B540,Sections!$A$5:$I$45,3,FALSE)</x:f>
        <x:v>2024-2</x:v>
      </x:c>
    </x:row>
    <x:row r="541" ht="21" customHeight="1">
      <x:c r="A541" s="3" t="str">
        <x:v>2202012</x:v>
      </x:c>
      <x:c r="B541" s="3" t="str">
        <x:v>SEC006</x:v>
      </x:c>
      <x:c r="C541" s="3" t="n">
        <x:v>12</x:v>
      </x:c>
      <x:c r="D541" s="3" t="str">
        <x:v>present</x:v>
      </x:c>
      <x:c r="E541" s="5" t="str">
        <x:f>VLOOKUP(B541,Sections!$A$5:$I$45,3,FALSE)</x:f>
        <x:v>2024-2</x:v>
      </x:c>
    </x:row>
    <x:row r="542" ht="21" customHeight="1">
      <x:c r="A542" s="3" t="str">
        <x:v>2202012</x:v>
      </x:c>
      <x:c r="B542" s="3" t="str">
        <x:v>SEC006</x:v>
      </x:c>
      <x:c r="C542" s="3" t="n">
        <x:v>13</x:v>
      </x:c>
      <x:c r="D542" s="3" t="str">
        <x:v>present</x:v>
      </x:c>
      <x:c r="E542" s="5" t="str">
        <x:f>VLOOKUP(B542,Sections!$A$5:$I$45,3,FALSE)</x:f>
        <x:v>2024-2</x:v>
      </x:c>
    </x:row>
    <x:row r="543" ht="21" customHeight="1">
      <x:c r="A543" s="3" t="str">
        <x:v>2202012</x:v>
      </x:c>
      <x:c r="B543" s="3" t="str">
        <x:v>SEC006</x:v>
      </x:c>
      <x:c r="C543" s="3" t="n">
        <x:v>14</x:v>
      </x:c>
      <x:c r="D543" s="3" t="str">
        <x:v>absent</x:v>
      </x:c>
      <x:c r="E543" s="5" t="str">
        <x:f>VLOOKUP(B543,Sections!$A$5:$I$45,3,FALSE)</x:f>
        <x:v>2024-2</x:v>
      </x:c>
    </x:row>
    <x:row r="544" ht="21" customHeight="1">
      <x:c r="A544" s="3" t="str">
        <x:v>2202012</x:v>
      </x:c>
      <x:c r="B544" s="3" t="str">
        <x:v>SEC006</x:v>
      </x:c>
      <x:c r="C544" s="3" t="n">
        <x:v>15</x:v>
      </x:c>
      <x:c r="D544" s="3" t="str">
        <x:v>present</x:v>
      </x:c>
      <x:c r="E544" s="5" t="str">
        <x:f>VLOOKUP(B544,Sections!$A$5:$I$45,3,FALSE)</x:f>
        <x:v>2024-2</x:v>
      </x:c>
    </x:row>
    <x:row r="545" ht="21" customHeight="1">
      <x:c r="A545" s="3" t="str">
        <x:v>2202013</x:v>
      </x:c>
      <x:c r="B545" s="3" t="str">
        <x:v>SEC006</x:v>
      </x:c>
      <x:c r="C545" s="3" t="n">
        <x:v>1</x:v>
      </x:c>
      <x:c r="D545" s="3" t="str">
        <x:v>present</x:v>
      </x:c>
      <x:c r="E545" s="5" t="str">
        <x:f>VLOOKUP(B545,Sections!$A$5:$I$45,3,FALSE)</x:f>
        <x:v>2024-2</x:v>
      </x:c>
    </x:row>
    <x:row r="546" ht="21" customHeight="1">
      <x:c r="A546" s="3" t="str">
        <x:v>2202013</x:v>
      </x:c>
      <x:c r="B546" s="3" t="str">
        <x:v>SEC006</x:v>
      </x:c>
      <x:c r="C546" s="3" t="n">
        <x:v>2</x:v>
      </x:c>
      <x:c r="D546" s="3" t="str">
        <x:v>present</x:v>
      </x:c>
      <x:c r="E546" s="5" t="str">
        <x:f>VLOOKUP(B546,Sections!$A$5:$I$45,3,FALSE)</x:f>
        <x:v>2024-2</x:v>
      </x:c>
    </x:row>
    <x:row r="547" ht="21" customHeight="1">
      <x:c r="A547" s="3" t="str">
        <x:v>2202013</x:v>
      </x:c>
      <x:c r="B547" s="3" t="str">
        <x:v>SEC006</x:v>
      </x:c>
      <x:c r="C547" s="3" t="n">
        <x:v>3</x:v>
      </x:c>
      <x:c r="D547" s="3" t="str">
        <x:v>present</x:v>
      </x:c>
      <x:c r="E547" s="5" t="str">
        <x:f>VLOOKUP(B547,Sections!$A$5:$I$45,3,FALSE)</x:f>
        <x:v>2024-2</x:v>
      </x:c>
    </x:row>
    <x:row r="548" ht="21" customHeight="1">
      <x:c r="A548" s="3" t="str">
        <x:v>2202013</x:v>
      </x:c>
      <x:c r="B548" s="3" t="str">
        <x:v>SEC006</x:v>
      </x:c>
      <x:c r="C548" s="3" t="n">
        <x:v>4</x:v>
      </x:c>
      <x:c r="D548" s="3" t="str">
        <x:v>present</x:v>
      </x:c>
      <x:c r="E548" s="5" t="str">
        <x:f>VLOOKUP(B548,Sections!$A$5:$I$45,3,FALSE)</x:f>
        <x:v>2024-2</x:v>
      </x:c>
    </x:row>
    <x:row r="549" ht="21" customHeight="1">
      <x:c r="A549" s="3" t="str">
        <x:v>2202013</x:v>
      </x:c>
      <x:c r="B549" s="3" t="str">
        <x:v>SEC006</x:v>
      </x:c>
      <x:c r="C549" s="3" t="n">
        <x:v>5</x:v>
      </x:c>
      <x:c r="D549" s="3" t="str">
        <x:v>present</x:v>
      </x:c>
      <x:c r="E549" s="5" t="str">
        <x:f>VLOOKUP(B549,Sections!$A$5:$I$45,3,FALSE)</x:f>
        <x:v>2024-2</x:v>
      </x:c>
    </x:row>
    <x:row r="550" ht="21" customHeight="1">
      <x:c r="A550" s="3" t="str">
        <x:v>2202013</x:v>
      </x:c>
      <x:c r="B550" s="3" t="str">
        <x:v>SEC006</x:v>
      </x:c>
      <x:c r="C550" s="3" t="n">
        <x:v>6</x:v>
      </x:c>
      <x:c r="D550" s="3" t="str">
        <x:v>present</x:v>
      </x:c>
      <x:c r="E550" s="5" t="str">
        <x:f>VLOOKUP(B550,Sections!$A$5:$I$45,3,FALSE)</x:f>
        <x:v>2024-2</x:v>
      </x:c>
    </x:row>
    <x:row r="551" ht="21" customHeight="1">
      <x:c r="A551" s="3" t="str">
        <x:v>2202013</x:v>
      </x:c>
      <x:c r="B551" s="3" t="str">
        <x:v>SEC006</x:v>
      </x:c>
      <x:c r="C551" s="3" t="n">
        <x:v>7</x:v>
      </x:c>
      <x:c r="D551" s="3" t="str">
        <x:v>present</x:v>
      </x:c>
      <x:c r="E551" s="5" t="str">
        <x:f>VLOOKUP(B551,Sections!$A$5:$I$45,3,FALSE)</x:f>
        <x:v>2024-2</x:v>
      </x:c>
    </x:row>
    <x:row r="552" ht="21" customHeight="1">
      <x:c r="A552" s="3" t="str">
        <x:v>2202013</x:v>
      </x:c>
      <x:c r="B552" s="3" t="str">
        <x:v>SEC006</x:v>
      </x:c>
      <x:c r="C552" s="3" t="n">
        <x:v>8</x:v>
      </x:c>
      <x:c r="D552" s="3" t="str">
        <x:v>late</x:v>
      </x:c>
      <x:c r="E552" s="5" t="str">
        <x:f>VLOOKUP(B552,Sections!$A$5:$I$45,3,FALSE)</x:f>
        <x:v>2024-2</x:v>
      </x:c>
    </x:row>
    <x:row r="553" ht="21" customHeight="1">
      <x:c r="A553" s="3" t="str">
        <x:v>2202013</x:v>
      </x:c>
      <x:c r="B553" s="3" t="str">
        <x:v>SEC006</x:v>
      </x:c>
      <x:c r="C553" s="3" t="n">
        <x:v>9</x:v>
      </x:c>
      <x:c r="D553" s="3" t="str">
        <x:v>present</x:v>
      </x:c>
      <x:c r="E553" s="5" t="str">
        <x:f>VLOOKUP(B553,Sections!$A$5:$I$45,3,FALSE)</x:f>
        <x:v>2024-2</x:v>
      </x:c>
    </x:row>
    <x:row r="554" ht="21" customHeight="1">
      <x:c r="A554" s="3" t="str">
        <x:v>2202013</x:v>
      </x:c>
      <x:c r="B554" s="3" t="str">
        <x:v>SEC006</x:v>
      </x:c>
      <x:c r="C554" s="3" t="n">
        <x:v>10</x:v>
      </x:c>
      <x:c r="D554" s="3" t="str">
        <x:v>present</x:v>
      </x:c>
      <x:c r="E554" s="5" t="str">
        <x:f>VLOOKUP(B554,Sections!$A$5:$I$45,3,FALSE)</x:f>
        <x:v>2024-2</x:v>
      </x:c>
    </x:row>
    <x:row r="555" ht="21" customHeight="1">
      <x:c r="A555" s="3" t="str">
        <x:v>2202013</x:v>
      </x:c>
      <x:c r="B555" s="3" t="str">
        <x:v>SEC006</x:v>
      </x:c>
      <x:c r="C555" s="3" t="n">
        <x:v>11</x:v>
      </x:c>
      <x:c r="D555" s="3" t="str">
        <x:v>present</x:v>
      </x:c>
      <x:c r="E555" s="5" t="str">
        <x:f>VLOOKUP(B555,Sections!$A$5:$I$45,3,FALSE)</x:f>
        <x:v>2024-2</x:v>
      </x:c>
    </x:row>
    <x:row r="556" ht="21" customHeight="1">
      <x:c r="A556" s="3" t="str">
        <x:v>2202013</x:v>
      </x:c>
      <x:c r="B556" s="3" t="str">
        <x:v>SEC006</x:v>
      </x:c>
      <x:c r="C556" s="3" t="n">
        <x:v>12</x:v>
      </x:c>
      <x:c r="D556" s="3" t="str">
        <x:v>present</x:v>
      </x:c>
      <x:c r="E556" s="5" t="str">
        <x:f>VLOOKUP(B556,Sections!$A$5:$I$45,3,FALSE)</x:f>
        <x:v>2024-2</x:v>
      </x:c>
    </x:row>
    <x:row r="557" ht="21" customHeight="1">
      <x:c r="A557" s="3" t="str">
        <x:v>2202013</x:v>
      </x:c>
      <x:c r="B557" s="3" t="str">
        <x:v>SEC006</x:v>
      </x:c>
      <x:c r="C557" s="3" t="n">
        <x:v>13</x:v>
      </x:c>
      <x:c r="D557" s="3" t="str">
        <x:v>present</x:v>
      </x:c>
      <x:c r="E557" s="5" t="str">
        <x:f>VLOOKUP(B557,Sections!$A$5:$I$45,3,FALSE)</x:f>
        <x:v>2024-2</x:v>
      </x:c>
    </x:row>
    <x:row r="558" ht="21" customHeight="1">
      <x:c r="A558" s="3" t="str">
        <x:v>2202013</x:v>
      </x:c>
      <x:c r="B558" s="3" t="str">
        <x:v>SEC006</x:v>
      </x:c>
      <x:c r="C558" s="3" t="n">
        <x:v>14</x:v>
      </x:c>
      <x:c r="D558" s="3" t="str">
        <x:v>present</x:v>
      </x:c>
      <x:c r="E558" s="5" t="str">
        <x:f>VLOOKUP(B558,Sections!$A$5:$I$45,3,FALSE)</x:f>
        <x:v>2024-2</x:v>
      </x:c>
    </x:row>
    <x:row r="559" ht="21" customHeight="1">
      <x:c r="A559" s="3" t="str">
        <x:v>2202013</x:v>
      </x:c>
      <x:c r="B559" s="3" t="str">
        <x:v>SEC006</x:v>
      </x:c>
      <x:c r="C559" s="3" t="n">
        <x:v>15</x:v>
      </x:c>
      <x:c r="D559" s="3" t="str">
        <x:v>present</x:v>
      </x:c>
      <x:c r="E559" s="5" t="str">
        <x:f>VLOOKUP(B559,Sections!$A$5:$I$45,3,FALSE)</x:f>
        <x:v>2024-2</x:v>
      </x:c>
    </x:row>
    <x:row r="560" ht="21" customHeight="1">
      <x:c r="A560" s="3" t="str">
        <x:v>2202014</x:v>
      </x:c>
      <x:c r="B560" s="3" t="str">
        <x:v>SEC006</x:v>
      </x:c>
      <x:c r="C560" s="3" t="n">
        <x:v>1</x:v>
      </x:c>
      <x:c r="D560" s="3" t="str">
        <x:v>present</x:v>
      </x:c>
      <x:c r="E560" s="5" t="str">
        <x:f>VLOOKUP(B560,Sections!$A$5:$I$45,3,FALSE)</x:f>
        <x:v>2024-2</x:v>
      </x:c>
    </x:row>
    <x:row r="561" ht="21" customHeight="1">
      <x:c r="A561" s="3" t="str">
        <x:v>2202014</x:v>
      </x:c>
      <x:c r="B561" s="3" t="str">
        <x:v>SEC006</x:v>
      </x:c>
      <x:c r="C561" s="3" t="n">
        <x:v>2</x:v>
      </x:c>
      <x:c r="D561" s="3" t="str">
        <x:v>present</x:v>
      </x:c>
      <x:c r="E561" s="5" t="str">
        <x:f>VLOOKUP(B561,Sections!$A$5:$I$45,3,FALSE)</x:f>
        <x:v>2024-2</x:v>
      </x:c>
    </x:row>
    <x:row r="562" ht="21" customHeight="1">
      <x:c r="A562" s="3" t="str">
        <x:v>2202014</x:v>
      </x:c>
      <x:c r="B562" s="3" t="str">
        <x:v>SEC006</x:v>
      </x:c>
      <x:c r="C562" s="3" t="n">
        <x:v>3</x:v>
      </x:c>
      <x:c r="D562" s="3" t="str">
        <x:v>present</x:v>
      </x:c>
      <x:c r="E562" s="5" t="str">
        <x:f>VLOOKUP(B562,Sections!$A$5:$I$45,3,FALSE)</x:f>
        <x:v>2024-2</x:v>
      </x:c>
    </x:row>
    <x:row r="563" ht="21" customHeight="1">
      <x:c r="A563" s="3" t="str">
        <x:v>2202014</x:v>
      </x:c>
      <x:c r="B563" s="3" t="str">
        <x:v>SEC006</x:v>
      </x:c>
      <x:c r="C563" s="3" t="n">
        <x:v>4</x:v>
      </x:c>
      <x:c r="D563" s="3" t="str">
        <x:v>present</x:v>
      </x:c>
      <x:c r="E563" s="5" t="str">
        <x:f>VLOOKUP(B563,Sections!$A$5:$I$45,3,FALSE)</x:f>
        <x:v>2024-2</x:v>
      </x:c>
    </x:row>
    <x:row r="564" ht="21" customHeight="1">
      <x:c r="A564" s="3" t="str">
        <x:v>2202014</x:v>
      </x:c>
      <x:c r="B564" s="3" t="str">
        <x:v>SEC006</x:v>
      </x:c>
      <x:c r="C564" s="3" t="n">
        <x:v>5</x:v>
      </x:c>
      <x:c r="D564" s="3" t="str">
        <x:v>present</x:v>
      </x:c>
      <x:c r="E564" s="5" t="str">
        <x:f>VLOOKUP(B564,Sections!$A$5:$I$45,3,FALSE)</x:f>
        <x:v>2024-2</x:v>
      </x:c>
    </x:row>
    <x:row r="565" ht="21" customHeight="1">
      <x:c r="A565" s="3" t="str">
        <x:v>2202014</x:v>
      </x:c>
      <x:c r="B565" s="3" t="str">
        <x:v>SEC006</x:v>
      </x:c>
      <x:c r="C565" s="3" t="n">
        <x:v>6</x:v>
      </x:c>
      <x:c r="D565" s="3" t="str">
        <x:v>present</x:v>
      </x:c>
      <x:c r="E565" s="5" t="str">
        <x:f>VLOOKUP(B565,Sections!$A$5:$I$45,3,FALSE)</x:f>
        <x:v>2024-2</x:v>
      </x:c>
    </x:row>
    <x:row r="566" ht="21" customHeight="1">
      <x:c r="A566" s="3" t="str">
        <x:v>2202014</x:v>
      </x:c>
      <x:c r="B566" s="3" t="str">
        <x:v>SEC006</x:v>
      </x:c>
      <x:c r="C566" s="3" t="n">
        <x:v>7</x:v>
      </x:c>
      <x:c r="D566" s="3" t="str">
        <x:v>present</x:v>
      </x:c>
      <x:c r="E566" s="5" t="str">
        <x:f>VLOOKUP(B566,Sections!$A$5:$I$45,3,FALSE)</x:f>
        <x:v>2024-2</x:v>
      </x:c>
    </x:row>
    <x:row r="567" ht="21" customHeight="1">
      <x:c r="A567" s="3" t="str">
        <x:v>2202014</x:v>
      </x:c>
      <x:c r="B567" s="3" t="str">
        <x:v>SEC006</x:v>
      </x:c>
      <x:c r="C567" s="3" t="n">
        <x:v>8</x:v>
      </x:c>
      <x:c r="D567" s="3" t="str">
        <x:v>present</x:v>
      </x:c>
      <x:c r="E567" s="5" t="str">
        <x:f>VLOOKUP(B567,Sections!$A$5:$I$45,3,FALSE)</x:f>
        <x:v>2024-2</x:v>
      </x:c>
    </x:row>
    <x:row r="568" ht="21" customHeight="1">
      <x:c r="A568" s="3" t="str">
        <x:v>2202014</x:v>
      </x:c>
      <x:c r="B568" s="3" t="str">
        <x:v>SEC006</x:v>
      </x:c>
      <x:c r="C568" s="3" t="n">
        <x:v>9</x:v>
      </x:c>
      <x:c r="D568" s="3" t="str">
        <x:v>present</x:v>
      </x:c>
      <x:c r="E568" s="5" t="str">
        <x:f>VLOOKUP(B568,Sections!$A$5:$I$45,3,FALSE)</x:f>
        <x:v>2024-2</x:v>
      </x:c>
    </x:row>
    <x:row r="569" ht="21" customHeight="1">
      <x:c r="A569" s="3" t="str">
        <x:v>2202014</x:v>
      </x:c>
      <x:c r="B569" s="3" t="str">
        <x:v>SEC006</x:v>
      </x:c>
      <x:c r="C569" s="3" t="n">
        <x:v>10</x:v>
      </x:c>
      <x:c r="D569" s="3" t="str">
        <x:v>present</x:v>
      </x:c>
      <x:c r="E569" s="5" t="str">
        <x:f>VLOOKUP(B569,Sections!$A$5:$I$45,3,FALSE)</x:f>
        <x:v>2024-2</x:v>
      </x:c>
    </x:row>
    <x:row r="570" ht="21" customHeight="1">
      <x:c r="A570" s="3" t="str">
        <x:v>2202014</x:v>
      </x:c>
      <x:c r="B570" s="3" t="str">
        <x:v>SEC006</x:v>
      </x:c>
      <x:c r="C570" s="3" t="n">
        <x:v>11</x:v>
      </x:c>
      <x:c r="D570" s="3" t="str">
        <x:v>present</x:v>
      </x:c>
      <x:c r="E570" s="5" t="str">
        <x:f>VLOOKUP(B570,Sections!$A$5:$I$45,3,FALSE)</x:f>
        <x:v>2024-2</x:v>
      </x:c>
    </x:row>
    <x:row r="571" ht="21" customHeight="1">
      <x:c r="A571" s="3" t="str">
        <x:v>2202014</x:v>
      </x:c>
      <x:c r="B571" s="3" t="str">
        <x:v>SEC006</x:v>
      </x:c>
      <x:c r="C571" s="3" t="n">
        <x:v>12</x:v>
      </x:c>
      <x:c r="D571" s="3" t="str">
        <x:v>present</x:v>
      </x:c>
      <x:c r="E571" s="5" t="str">
        <x:f>VLOOKUP(B571,Sections!$A$5:$I$45,3,FALSE)</x:f>
        <x:v>2024-2</x:v>
      </x:c>
    </x:row>
    <x:row r="572" ht="21" customHeight="1">
      <x:c r="A572" s="3" t="str">
        <x:v>2202014</x:v>
      </x:c>
      <x:c r="B572" s="3" t="str">
        <x:v>SEC006</x:v>
      </x:c>
      <x:c r="C572" s="3" t="n">
        <x:v>13</x:v>
      </x:c>
      <x:c r="D572" s="3" t="str">
        <x:v>present</x:v>
      </x:c>
      <x:c r="E572" s="5" t="str">
        <x:f>VLOOKUP(B572,Sections!$A$5:$I$45,3,FALSE)</x:f>
        <x:v>2024-2</x:v>
      </x:c>
    </x:row>
    <x:row r="573" ht="21" customHeight="1">
      <x:c r="A573" s="3" t="str">
        <x:v>2202014</x:v>
      </x:c>
      <x:c r="B573" s="3" t="str">
        <x:v>SEC006</x:v>
      </x:c>
      <x:c r="C573" s="3" t="n">
        <x:v>14</x:v>
      </x:c>
      <x:c r="D573" s="3" t="str">
        <x:v>present</x:v>
      </x:c>
      <x:c r="E573" s="5" t="str">
        <x:f>VLOOKUP(B573,Sections!$A$5:$I$45,3,FALSE)</x:f>
        <x:v>2024-2</x:v>
      </x:c>
    </x:row>
    <x:row r="574" ht="21" customHeight="1">
      <x:c r="A574" s="3" t="str">
        <x:v>2202014</x:v>
      </x:c>
      <x:c r="B574" s="3" t="str">
        <x:v>SEC006</x:v>
      </x:c>
      <x:c r="C574" s="3" t="n">
        <x:v>15</x:v>
      </x:c>
      <x:c r="D574" s="3" t="str">
        <x:v>present</x:v>
      </x:c>
      <x:c r="E574" s="5" t="str">
        <x:f>VLOOKUP(B574,Sections!$A$5:$I$45,3,FALSE)</x:f>
        <x:v>2024-2</x:v>
      </x:c>
    </x:row>
    <x:row r="575" ht="21" customHeight="1">
      <x:c r="A575" s="3" t="str">
        <x:v>2202015</x:v>
      </x:c>
      <x:c r="B575" s="3" t="str">
        <x:v>SEC006</x:v>
      </x:c>
      <x:c r="C575" s="3" t="n">
        <x:v>1</x:v>
      </x:c>
      <x:c r="D575" s="3" t="str">
        <x:v>present</x:v>
      </x:c>
      <x:c r="E575" s="5" t="str">
        <x:f>VLOOKUP(B575,Sections!$A$5:$I$45,3,FALSE)</x:f>
        <x:v>2024-2</x:v>
      </x:c>
    </x:row>
    <x:row r="576" ht="21" customHeight="1">
      <x:c r="A576" s="3" t="str">
        <x:v>2202015</x:v>
      </x:c>
      <x:c r="B576" s="3" t="str">
        <x:v>SEC006</x:v>
      </x:c>
      <x:c r="C576" s="3" t="n">
        <x:v>2</x:v>
      </x:c>
      <x:c r="D576" s="3" t="str">
        <x:v>present</x:v>
      </x:c>
      <x:c r="E576" s="5" t="str">
        <x:f>VLOOKUP(B576,Sections!$A$5:$I$45,3,FALSE)</x:f>
        <x:v>2024-2</x:v>
      </x:c>
    </x:row>
    <x:row r="577" ht="21" customHeight="1">
      <x:c r="A577" s="3" t="str">
        <x:v>2202015</x:v>
      </x:c>
      <x:c r="B577" s="3" t="str">
        <x:v>SEC006</x:v>
      </x:c>
      <x:c r="C577" s="3" t="n">
        <x:v>3</x:v>
      </x:c>
      <x:c r="D577" s="3" t="str">
        <x:v>present</x:v>
      </x:c>
      <x:c r="E577" s="5" t="str">
        <x:f>VLOOKUP(B577,Sections!$A$5:$I$45,3,FALSE)</x:f>
        <x:v>2024-2</x:v>
      </x:c>
    </x:row>
    <x:row r="578" ht="21" customHeight="1">
      <x:c r="A578" s="3" t="str">
        <x:v>2202015</x:v>
      </x:c>
      <x:c r="B578" s="3" t="str">
        <x:v>SEC006</x:v>
      </x:c>
      <x:c r="C578" s="3" t="n">
        <x:v>4</x:v>
      </x:c>
      <x:c r="D578" s="3" t="str">
        <x:v>absent</x:v>
      </x:c>
      <x:c r="E578" s="5" t="str">
        <x:f>VLOOKUP(B578,Sections!$A$5:$I$45,3,FALSE)</x:f>
        <x:v>2024-2</x:v>
      </x:c>
    </x:row>
    <x:row r="579" ht="21" customHeight="1">
      <x:c r="A579" s="3" t="str">
        <x:v>2202015</x:v>
      </x:c>
      <x:c r="B579" s="3" t="str">
        <x:v>SEC006</x:v>
      </x:c>
      <x:c r="C579" s="3" t="n">
        <x:v>5</x:v>
      </x:c>
      <x:c r="D579" s="3" t="str">
        <x:v>absent</x:v>
      </x:c>
      <x:c r="E579" s="5" t="str">
        <x:f>VLOOKUP(B579,Sections!$A$5:$I$45,3,FALSE)</x:f>
        <x:v>2024-2</x:v>
      </x:c>
    </x:row>
    <x:row r="580" ht="21" customHeight="1">
      <x:c r="A580" s="3" t="str">
        <x:v>2202015</x:v>
      </x:c>
      <x:c r="B580" s="3" t="str">
        <x:v>SEC006</x:v>
      </x:c>
      <x:c r="C580" s="3" t="n">
        <x:v>6</x:v>
      </x:c>
      <x:c r="D580" s="3" t="str">
        <x:v>present</x:v>
      </x:c>
      <x:c r="E580" s="5" t="str">
        <x:f>VLOOKUP(B580,Sections!$A$5:$I$45,3,FALSE)</x:f>
        <x:v>2024-2</x:v>
      </x:c>
    </x:row>
    <x:row r="581" ht="21" customHeight="1">
      <x:c r="A581" s="3" t="str">
        <x:v>2202015</x:v>
      </x:c>
      <x:c r="B581" s="3" t="str">
        <x:v>SEC006</x:v>
      </x:c>
      <x:c r="C581" s="3" t="n">
        <x:v>7</x:v>
      </x:c>
      <x:c r="D581" s="3" t="str">
        <x:v>absent</x:v>
      </x:c>
      <x:c r="E581" s="5" t="str">
        <x:f>VLOOKUP(B581,Sections!$A$5:$I$45,3,FALSE)</x:f>
        <x:v>2024-2</x:v>
      </x:c>
    </x:row>
    <x:row r="582" ht="21" customHeight="1">
      <x:c r="A582" s="3" t="str">
        <x:v>2202015</x:v>
      </x:c>
      <x:c r="B582" s="3" t="str">
        <x:v>SEC006</x:v>
      </x:c>
      <x:c r="C582" s="3" t="n">
        <x:v>8</x:v>
      </x:c>
      <x:c r="D582" s="3" t="str">
        <x:v>absent</x:v>
      </x:c>
      <x:c r="E582" s="5" t="str">
        <x:f>VLOOKUP(B582,Sections!$A$5:$I$45,3,FALSE)</x:f>
        <x:v>2024-2</x:v>
      </x:c>
    </x:row>
    <x:row r="583" ht="21" customHeight="1">
      <x:c r="A583" s="3" t="str">
        <x:v>2202015</x:v>
      </x:c>
      <x:c r="B583" s="3" t="str">
        <x:v>SEC006</x:v>
      </x:c>
      <x:c r="C583" s="3" t="n">
        <x:v>9</x:v>
      </x:c>
      <x:c r="D583" s="3" t="str">
        <x:v>present</x:v>
      </x:c>
      <x:c r="E583" s="5" t="str">
        <x:f>VLOOKUP(B583,Sections!$A$5:$I$45,3,FALSE)</x:f>
        <x:v>2024-2</x:v>
      </x:c>
    </x:row>
    <x:row r="584" ht="21" customHeight="1">
      <x:c r="A584" s="3" t="str">
        <x:v>2202015</x:v>
      </x:c>
      <x:c r="B584" s="3" t="str">
        <x:v>SEC006</x:v>
      </x:c>
      <x:c r="C584" s="3" t="n">
        <x:v>10</x:v>
      </x:c>
      <x:c r="D584" s="3" t="str">
        <x:v>present</x:v>
      </x:c>
      <x:c r="E584" s="5" t="str">
        <x:f>VLOOKUP(B584,Sections!$A$5:$I$45,3,FALSE)</x:f>
        <x:v>2024-2</x:v>
      </x:c>
    </x:row>
    <x:row r="585" ht="21" customHeight="1">
      <x:c r="A585" s="3" t="str">
        <x:v>2202015</x:v>
      </x:c>
      <x:c r="B585" s="3" t="str">
        <x:v>SEC006</x:v>
      </x:c>
      <x:c r="C585" s="3" t="n">
        <x:v>11</x:v>
      </x:c>
      <x:c r="D585" s="3" t="str">
        <x:v>present</x:v>
      </x:c>
      <x:c r="E585" s="5" t="str">
        <x:f>VLOOKUP(B585,Sections!$A$5:$I$45,3,FALSE)</x:f>
        <x:v>2024-2</x:v>
      </x:c>
    </x:row>
    <x:row r="586" ht="21" customHeight="1">
      <x:c r="A586" s="3" t="str">
        <x:v>2202015</x:v>
      </x:c>
      <x:c r="B586" s="3" t="str">
        <x:v>SEC006</x:v>
      </x:c>
      <x:c r="C586" s="3" t="n">
        <x:v>12</x:v>
      </x:c>
      <x:c r="D586" s="3" t="str">
        <x:v>present</x:v>
      </x:c>
      <x:c r="E586" s="5" t="str">
        <x:f>VLOOKUP(B586,Sections!$A$5:$I$45,3,FALSE)</x:f>
        <x:v>2024-2</x:v>
      </x:c>
    </x:row>
    <x:row r="587" ht="21" customHeight="1">
      <x:c r="A587" s="3" t="str">
        <x:v>2202015</x:v>
      </x:c>
      <x:c r="B587" s="3" t="str">
        <x:v>SEC006</x:v>
      </x:c>
      <x:c r="C587" s="3" t="n">
        <x:v>13</x:v>
      </x:c>
      <x:c r="D587" s="3" t="str">
        <x:v>absent</x:v>
      </x:c>
      <x:c r="E587" s="5" t="str">
        <x:f>VLOOKUP(B587,Sections!$A$5:$I$45,3,FALSE)</x:f>
        <x:v>2024-2</x:v>
      </x:c>
    </x:row>
    <x:row r="588" ht="21" customHeight="1">
      <x:c r="A588" s="3" t="str">
        <x:v>2202015</x:v>
      </x:c>
      <x:c r="B588" s="3" t="str">
        <x:v>SEC006</x:v>
      </x:c>
      <x:c r="C588" s="3" t="n">
        <x:v>14</x:v>
      </x:c>
      <x:c r="D588" s="3" t="str">
        <x:v>absent</x:v>
      </x:c>
      <x:c r="E588" s="5" t="str">
        <x:f>VLOOKUP(B588,Sections!$A$5:$I$45,3,FALSE)</x:f>
        <x:v>2024-2</x:v>
      </x:c>
    </x:row>
    <x:row r="589" ht="21" customHeight="1">
      <x:c r="A589" s="3" t="str">
        <x:v>2202015</x:v>
      </x:c>
      <x:c r="B589" s="3" t="str">
        <x:v>SEC006</x:v>
      </x:c>
      <x:c r="C589" s="3" t="n">
        <x:v>15</x:v>
      </x:c>
      <x:c r="D589" s="3" t="str">
        <x:v>present</x:v>
      </x:c>
      <x:c r="E589" s="5" t="str">
        <x:f>VLOOKUP(B589,Sections!$A$5:$I$45,3,FALSE)</x:f>
        <x:v>2024-2</x:v>
      </x:c>
    </x:row>
    <x:row r="590" ht="21" customHeight="1">
      <x:c r="A590" s="3" t="str">
        <x:v>2202016</x:v>
      </x:c>
      <x:c r="B590" s="3" t="str">
        <x:v>SEC006</x:v>
      </x:c>
      <x:c r="C590" s="3" t="n">
        <x:v>1</x:v>
      </x:c>
      <x:c r="D590" s="3" t="str">
        <x:v>absent</x:v>
      </x:c>
      <x:c r="E590" s="5" t="str">
        <x:f>VLOOKUP(B590,Sections!$A$5:$I$45,3,FALSE)</x:f>
        <x:v>2024-2</x:v>
      </x:c>
    </x:row>
    <x:row r="591" ht="21" customHeight="1">
      <x:c r="A591" s="3" t="str">
        <x:v>2202016</x:v>
      </x:c>
      <x:c r="B591" s="3" t="str">
        <x:v>SEC006</x:v>
      </x:c>
      <x:c r="C591" s="3" t="n">
        <x:v>2</x:v>
      </x:c>
      <x:c r="D591" s="3" t="str">
        <x:v>present</x:v>
      </x:c>
      <x:c r="E591" s="5" t="str">
        <x:f>VLOOKUP(B591,Sections!$A$5:$I$45,3,FALSE)</x:f>
        <x:v>2024-2</x:v>
      </x:c>
    </x:row>
    <x:row r="592" ht="21" customHeight="1">
      <x:c r="A592" s="3" t="str">
        <x:v>2202016</x:v>
      </x:c>
      <x:c r="B592" s="3" t="str">
        <x:v>SEC006</x:v>
      </x:c>
      <x:c r="C592" s="3" t="n">
        <x:v>3</x:v>
      </x:c>
      <x:c r="D592" s="3" t="str">
        <x:v>present</x:v>
      </x:c>
      <x:c r="E592" s="5" t="str">
        <x:f>VLOOKUP(B592,Sections!$A$5:$I$45,3,FALSE)</x:f>
        <x:v>2024-2</x:v>
      </x:c>
    </x:row>
    <x:row r="593" ht="21" customHeight="1">
      <x:c r="A593" s="3" t="str">
        <x:v>2202016</x:v>
      </x:c>
      <x:c r="B593" s="3" t="str">
        <x:v>SEC006</x:v>
      </x:c>
      <x:c r="C593" s="3" t="n">
        <x:v>4</x:v>
      </x:c>
      <x:c r="D593" s="3" t="str">
        <x:v>present</x:v>
      </x:c>
      <x:c r="E593" s="5" t="str">
        <x:f>VLOOKUP(B593,Sections!$A$5:$I$45,3,FALSE)</x:f>
        <x:v>2024-2</x:v>
      </x:c>
    </x:row>
    <x:row r="594" ht="21" customHeight="1">
      <x:c r="A594" s="3" t="str">
        <x:v>2202016</x:v>
      </x:c>
      <x:c r="B594" s="3" t="str">
        <x:v>SEC006</x:v>
      </x:c>
      <x:c r="C594" s="3" t="n">
        <x:v>5</x:v>
      </x:c>
      <x:c r="D594" s="3" t="str">
        <x:v>present</x:v>
      </x:c>
      <x:c r="E594" s="5" t="str">
        <x:f>VLOOKUP(B594,Sections!$A$5:$I$45,3,FALSE)</x:f>
        <x:v>2024-2</x:v>
      </x:c>
    </x:row>
    <x:row r="595" ht="21" customHeight="1">
      <x:c r="A595" s="3" t="str">
        <x:v>2202016</x:v>
      </x:c>
      <x:c r="B595" s="3" t="str">
        <x:v>SEC006</x:v>
      </x:c>
      <x:c r="C595" s="3" t="n">
        <x:v>6</x:v>
      </x:c>
      <x:c r="D595" s="3" t="str">
        <x:v>present</x:v>
      </x:c>
      <x:c r="E595" s="5" t="str">
        <x:f>VLOOKUP(B595,Sections!$A$5:$I$45,3,FALSE)</x:f>
        <x:v>2024-2</x:v>
      </x:c>
    </x:row>
    <x:row r="596" ht="21" customHeight="1">
      <x:c r="A596" s="3" t="str">
        <x:v>2202016</x:v>
      </x:c>
      <x:c r="B596" s="3" t="str">
        <x:v>SEC006</x:v>
      </x:c>
      <x:c r="C596" s="3" t="n">
        <x:v>7</x:v>
      </x:c>
      <x:c r="D596" s="3" t="str">
        <x:v>present</x:v>
      </x:c>
      <x:c r="E596" s="5" t="str">
        <x:f>VLOOKUP(B596,Sections!$A$5:$I$45,3,FALSE)</x:f>
        <x:v>2024-2</x:v>
      </x:c>
    </x:row>
    <x:row r="597" ht="21" customHeight="1">
      <x:c r="A597" s="3" t="str">
        <x:v>2202016</x:v>
      </x:c>
      <x:c r="B597" s="3" t="str">
        <x:v>SEC006</x:v>
      </x:c>
      <x:c r="C597" s="3" t="n">
        <x:v>8</x:v>
      </x:c>
      <x:c r="D597" s="3" t="str">
        <x:v>absent</x:v>
      </x:c>
      <x:c r="E597" s="5" t="str">
        <x:f>VLOOKUP(B597,Sections!$A$5:$I$45,3,FALSE)</x:f>
        <x:v>2024-2</x:v>
      </x:c>
    </x:row>
    <x:row r="598" ht="21" customHeight="1">
      <x:c r="A598" s="3" t="str">
        <x:v>2202016</x:v>
      </x:c>
      <x:c r="B598" s="3" t="str">
        <x:v>SEC006</x:v>
      </x:c>
      <x:c r="C598" s="3" t="n">
        <x:v>9</x:v>
      </x:c>
      <x:c r="D598" s="3" t="str">
        <x:v>present</x:v>
      </x:c>
      <x:c r="E598" s="5" t="str">
        <x:f>VLOOKUP(B598,Sections!$A$5:$I$45,3,FALSE)</x:f>
        <x:v>2024-2</x:v>
      </x:c>
    </x:row>
    <x:row r="599" ht="21" customHeight="1">
      <x:c r="A599" s="3" t="str">
        <x:v>2202016</x:v>
      </x:c>
      <x:c r="B599" s="3" t="str">
        <x:v>SEC006</x:v>
      </x:c>
      <x:c r="C599" s="3" t="n">
        <x:v>10</x:v>
      </x:c>
      <x:c r="D599" s="3" t="str">
        <x:v>present</x:v>
      </x:c>
      <x:c r="E599" s="5" t="str">
        <x:f>VLOOKUP(B599,Sections!$A$5:$I$45,3,FALSE)</x:f>
        <x:v>2024-2</x:v>
      </x:c>
    </x:row>
    <x:row r="600" ht="21" customHeight="1">
      <x:c r="A600" s="3" t="str">
        <x:v>2202016</x:v>
      </x:c>
      <x:c r="B600" s="3" t="str">
        <x:v>SEC006</x:v>
      </x:c>
      <x:c r="C600" s="3" t="n">
        <x:v>11</x:v>
      </x:c>
      <x:c r="D600" s="3" t="str">
        <x:v>present</x:v>
      </x:c>
      <x:c r="E600" s="5" t="str">
        <x:f>VLOOKUP(B600,Sections!$A$5:$I$45,3,FALSE)</x:f>
        <x:v>2024-2</x:v>
      </x:c>
    </x:row>
    <x:row r="601" ht="21" customHeight="1">
      <x:c r="A601" s="3" t="str">
        <x:v>2202016</x:v>
      </x:c>
      <x:c r="B601" s="3" t="str">
        <x:v>SEC006</x:v>
      </x:c>
      <x:c r="C601" s="3" t="n">
        <x:v>12</x:v>
      </x:c>
      <x:c r="D601" s="3" t="str">
        <x:v>absent</x:v>
      </x:c>
      <x:c r="E601" s="5" t="str">
        <x:f>VLOOKUP(B601,Sections!$A$5:$I$45,3,FALSE)</x:f>
        <x:v>2024-2</x:v>
      </x:c>
    </x:row>
    <x:row r="602" ht="21" customHeight="1">
      <x:c r="A602" s="3" t="str">
        <x:v>2202016</x:v>
      </x:c>
      <x:c r="B602" s="3" t="str">
        <x:v>SEC006</x:v>
      </x:c>
      <x:c r="C602" s="3" t="n">
        <x:v>13</x:v>
      </x:c>
      <x:c r="D602" s="3" t="str">
        <x:v>present</x:v>
      </x:c>
      <x:c r="E602" s="5" t="str">
        <x:f>VLOOKUP(B602,Sections!$A$5:$I$45,3,FALSE)</x:f>
        <x:v>2024-2</x:v>
      </x:c>
    </x:row>
    <x:row r="603" ht="21" customHeight="1">
      <x:c r="A603" s="3" t="str">
        <x:v>2202016</x:v>
      </x:c>
      <x:c r="B603" s="3" t="str">
        <x:v>SEC006</x:v>
      </x:c>
      <x:c r="C603" s="3" t="n">
        <x:v>14</x:v>
      </x:c>
      <x:c r="D603" s="3" t="str">
        <x:v>present</x:v>
      </x:c>
      <x:c r="E603" s="5" t="str">
        <x:f>VLOOKUP(B603,Sections!$A$5:$I$45,3,FALSE)</x:f>
        <x:v>2024-2</x:v>
      </x:c>
    </x:row>
    <x:row r="604" ht="21" customHeight="1">
      <x:c r="A604" s="3" t="str">
        <x:v>2202016</x:v>
      </x:c>
      <x:c r="B604" s="3" t="str">
        <x:v>SEC006</x:v>
      </x:c>
      <x:c r="C604" s="3" t="n">
        <x:v>15</x:v>
      </x:c>
      <x:c r="D604" s="3" t="str">
        <x:v>present</x:v>
      </x:c>
      <x:c r="E604" s="5" t="str">
        <x:f>VLOOKUP(B604,Sections!$A$5:$I$45,3,FALSE)</x:f>
        <x:v>2024-2</x:v>
      </x:c>
    </x:row>
    <x:row r="605" ht="21" customHeight="1">
      <x:c r="A605" s="3" t="str">
        <x:v>2202017</x:v>
      </x:c>
      <x:c r="B605" s="3" t="str">
        <x:v>SEC006</x:v>
      </x:c>
      <x:c r="C605" s="3" t="n">
        <x:v>1</x:v>
      </x:c>
      <x:c r="D605" s="3" t="str">
        <x:v>present</x:v>
      </x:c>
      <x:c r="E605" s="5" t="str">
        <x:f>VLOOKUP(B605,Sections!$A$5:$I$45,3,FALSE)</x:f>
        <x:v>2024-2</x:v>
      </x:c>
    </x:row>
    <x:row r="606" ht="21" customHeight="1">
      <x:c r="A606" s="3" t="str">
        <x:v>2202017</x:v>
      </x:c>
      <x:c r="B606" s="3" t="str">
        <x:v>SEC006</x:v>
      </x:c>
      <x:c r="C606" s="3" t="n">
        <x:v>2</x:v>
      </x:c>
      <x:c r="D606" s="3" t="str">
        <x:v>present</x:v>
      </x:c>
      <x:c r="E606" s="5" t="str">
        <x:f>VLOOKUP(B606,Sections!$A$5:$I$45,3,FALSE)</x:f>
        <x:v>2024-2</x:v>
      </x:c>
    </x:row>
    <x:row r="607" ht="21" customHeight="1">
      <x:c r="A607" s="3" t="str">
        <x:v>2202017</x:v>
      </x:c>
      <x:c r="B607" s="3" t="str">
        <x:v>SEC006</x:v>
      </x:c>
      <x:c r="C607" s="3" t="n">
        <x:v>3</x:v>
      </x:c>
      <x:c r="D607" s="3" t="str">
        <x:v>present</x:v>
      </x:c>
      <x:c r="E607" s="5" t="str">
        <x:f>VLOOKUP(B607,Sections!$A$5:$I$45,3,FALSE)</x:f>
        <x:v>2024-2</x:v>
      </x:c>
    </x:row>
    <x:row r="608" ht="21" customHeight="1">
      <x:c r="A608" s="3" t="str">
        <x:v>2202017</x:v>
      </x:c>
      <x:c r="B608" s="3" t="str">
        <x:v>SEC006</x:v>
      </x:c>
      <x:c r="C608" s="3" t="n">
        <x:v>4</x:v>
      </x:c>
      <x:c r="D608" s="3" t="str">
        <x:v>present</x:v>
      </x:c>
      <x:c r="E608" s="5" t="str">
        <x:f>VLOOKUP(B608,Sections!$A$5:$I$45,3,FALSE)</x:f>
        <x:v>2024-2</x:v>
      </x:c>
    </x:row>
    <x:row r="609" ht="21" customHeight="1">
      <x:c r="A609" s="3" t="str">
        <x:v>2202017</x:v>
      </x:c>
      <x:c r="B609" s="3" t="str">
        <x:v>SEC006</x:v>
      </x:c>
      <x:c r="C609" s="3" t="n">
        <x:v>5</x:v>
      </x:c>
      <x:c r="D609" s="3" t="str">
        <x:v>absent</x:v>
      </x:c>
      <x:c r="E609" s="5" t="str">
        <x:f>VLOOKUP(B609,Sections!$A$5:$I$45,3,FALSE)</x:f>
        <x:v>2024-2</x:v>
      </x:c>
    </x:row>
    <x:row r="610" ht="21" customHeight="1">
      <x:c r="A610" s="3" t="str">
        <x:v>2202017</x:v>
      </x:c>
      <x:c r="B610" s="3" t="str">
        <x:v>SEC006</x:v>
      </x:c>
      <x:c r="C610" s="3" t="n">
        <x:v>6</x:v>
      </x:c>
      <x:c r="D610" s="3" t="str">
        <x:v>present</x:v>
      </x:c>
      <x:c r="E610" s="5" t="str">
        <x:f>VLOOKUP(B610,Sections!$A$5:$I$45,3,FALSE)</x:f>
        <x:v>2024-2</x:v>
      </x:c>
    </x:row>
    <x:row r="611" ht="21" customHeight="1">
      <x:c r="A611" s="3" t="str">
        <x:v>2202017</x:v>
      </x:c>
      <x:c r="B611" s="3" t="str">
        <x:v>SEC006</x:v>
      </x:c>
      <x:c r="C611" s="3" t="n">
        <x:v>7</x:v>
      </x:c>
      <x:c r="D611" s="3" t="str">
        <x:v>present</x:v>
      </x:c>
      <x:c r="E611" s="5" t="str">
        <x:f>VLOOKUP(B611,Sections!$A$5:$I$45,3,FALSE)</x:f>
        <x:v>2024-2</x:v>
      </x:c>
    </x:row>
    <x:row r="612" ht="21" customHeight="1">
      <x:c r="A612" s="3" t="str">
        <x:v>2202017</x:v>
      </x:c>
      <x:c r="B612" s="3" t="str">
        <x:v>SEC006</x:v>
      </x:c>
      <x:c r="C612" s="3" t="n">
        <x:v>8</x:v>
      </x:c>
      <x:c r="D612" s="3" t="str">
        <x:v>absent</x:v>
      </x:c>
      <x:c r="E612" s="5" t="str">
        <x:f>VLOOKUP(B612,Sections!$A$5:$I$45,3,FALSE)</x:f>
        <x:v>2024-2</x:v>
      </x:c>
    </x:row>
    <x:row r="613" ht="21" customHeight="1">
      <x:c r="A613" s="3" t="str">
        <x:v>2202017</x:v>
      </x:c>
      <x:c r="B613" s="3" t="str">
        <x:v>SEC006</x:v>
      </x:c>
      <x:c r="C613" s="3" t="n">
        <x:v>9</x:v>
      </x:c>
      <x:c r="D613" s="3" t="str">
        <x:v>present</x:v>
      </x:c>
      <x:c r="E613" s="5" t="str">
        <x:f>VLOOKUP(B613,Sections!$A$5:$I$45,3,FALSE)</x:f>
        <x:v>2024-2</x:v>
      </x:c>
    </x:row>
    <x:row r="614" ht="21" customHeight="1">
      <x:c r="A614" s="3" t="str">
        <x:v>2202017</x:v>
      </x:c>
      <x:c r="B614" s="3" t="str">
        <x:v>SEC006</x:v>
      </x:c>
      <x:c r="C614" s="3" t="n">
        <x:v>10</x:v>
      </x:c>
      <x:c r="D614" s="3" t="str">
        <x:v>present</x:v>
      </x:c>
      <x:c r="E614" s="5" t="str">
        <x:f>VLOOKUP(B614,Sections!$A$5:$I$45,3,FALSE)</x:f>
        <x:v>2024-2</x:v>
      </x:c>
    </x:row>
    <x:row r="615" ht="21" customHeight="1">
      <x:c r="A615" s="3" t="str">
        <x:v>2202017</x:v>
      </x:c>
      <x:c r="B615" s="3" t="str">
        <x:v>SEC006</x:v>
      </x:c>
      <x:c r="C615" s="3" t="n">
        <x:v>11</x:v>
      </x:c>
      <x:c r="D615" s="3" t="str">
        <x:v>present</x:v>
      </x:c>
      <x:c r="E615" s="5" t="str">
        <x:f>VLOOKUP(B615,Sections!$A$5:$I$45,3,FALSE)</x:f>
        <x:v>2024-2</x:v>
      </x:c>
    </x:row>
    <x:row r="616" ht="21" customHeight="1">
      <x:c r="A616" s="3" t="str">
        <x:v>2202017</x:v>
      </x:c>
      <x:c r="B616" s="3" t="str">
        <x:v>SEC006</x:v>
      </x:c>
      <x:c r="C616" s="3" t="n">
        <x:v>12</x:v>
      </x:c>
      <x:c r="D616" s="3" t="str">
        <x:v>absent</x:v>
      </x:c>
      <x:c r="E616" s="5" t="str">
        <x:f>VLOOKUP(B616,Sections!$A$5:$I$45,3,FALSE)</x:f>
        <x:v>2024-2</x:v>
      </x:c>
    </x:row>
    <x:row r="617" ht="21" customHeight="1">
      <x:c r="A617" s="3" t="str">
        <x:v>2202017</x:v>
      </x:c>
      <x:c r="B617" s="3" t="str">
        <x:v>SEC006</x:v>
      </x:c>
      <x:c r="C617" s="3" t="n">
        <x:v>13</x:v>
      </x:c>
      <x:c r="D617" s="3" t="str">
        <x:v>present</x:v>
      </x:c>
      <x:c r="E617" s="5" t="str">
        <x:f>VLOOKUP(B617,Sections!$A$5:$I$45,3,FALSE)</x:f>
        <x:v>2024-2</x:v>
      </x:c>
    </x:row>
    <x:row r="618" ht="21" customHeight="1">
      <x:c r="A618" s="3" t="str">
        <x:v>2202017</x:v>
      </x:c>
      <x:c r="B618" s="3" t="str">
        <x:v>SEC006</x:v>
      </x:c>
      <x:c r="C618" s="3" t="n">
        <x:v>14</x:v>
      </x:c>
      <x:c r="D618" s="3" t="str">
        <x:v>present</x:v>
      </x:c>
      <x:c r="E618" s="5" t="str">
        <x:f>VLOOKUP(B618,Sections!$A$5:$I$45,3,FALSE)</x:f>
        <x:v>2024-2</x:v>
      </x:c>
    </x:row>
    <x:row r="619" ht="21" customHeight="1">
      <x:c r="A619" s="3" t="str">
        <x:v>2202017</x:v>
      </x:c>
      <x:c r="B619" s="3" t="str">
        <x:v>SEC006</x:v>
      </x:c>
      <x:c r="C619" s="3" t="n">
        <x:v>15</x:v>
      </x:c>
      <x:c r="D619" s="3" t="str">
        <x:v>present</x:v>
      </x:c>
      <x:c r="E619" s="5" t="str">
        <x:f>VLOOKUP(B619,Sections!$A$5:$I$45,3,FALSE)</x:f>
        <x:v>2024-2</x:v>
      </x:c>
    </x:row>
    <x:row r="620" ht="21" customHeight="1">
      <x:c r="A620" s="3" t="str">
        <x:v>2202018</x:v>
      </x:c>
      <x:c r="B620" s="3" t="str">
        <x:v>SEC006</x:v>
      </x:c>
      <x:c r="C620" s="3" t="n">
        <x:v>1</x:v>
      </x:c>
      <x:c r="D620" s="3" t="str">
        <x:v>late</x:v>
      </x:c>
      <x:c r="E620" s="5" t="str">
        <x:f>VLOOKUP(B620,Sections!$A$5:$I$45,3,FALSE)</x:f>
        <x:v>2024-2</x:v>
      </x:c>
    </x:row>
    <x:row r="621" ht="21" customHeight="1">
      <x:c r="A621" s="3" t="str">
        <x:v>2202018</x:v>
      </x:c>
      <x:c r="B621" s="3" t="str">
        <x:v>SEC006</x:v>
      </x:c>
      <x:c r="C621" s="3" t="n">
        <x:v>2</x:v>
      </x:c>
      <x:c r="D621" s="3" t="str">
        <x:v>present</x:v>
      </x:c>
      <x:c r="E621" s="5" t="str">
        <x:f>VLOOKUP(B621,Sections!$A$5:$I$45,3,FALSE)</x:f>
        <x:v>2024-2</x:v>
      </x:c>
    </x:row>
    <x:row r="622" ht="21" customHeight="1">
      <x:c r="A622" s="3" t="str">
        <x:v>2202018</x:v>
      </x:c>
      <x:c r="B622" s="3" t="str">
        <x:v>SEC006</x:v>
      </x:c>
      <x:c r="C622" s="3" t="n">
        <x:v>3</x:v>
      </x:c>
      <x:c r="D622" s="3" t="str">
        <x:v>present</x:v>
      </x:c>
      <x:c r="E622" s="5" t="str">
        <x:f>VLOOKUP(B622,Sections!$A$5:$I$45,3,FALSE)</x:f>
        <x:v>2024-2</x:v>
      </x:c>
    </x:row>
    <x:row r="623" ht="21" customHeight="1">
      <x:c r="A623" s="3" t="str">
        <x:v>2202018</x:v>
      </x:c>
      <x:c r="B623" s="3" t="str">
        <x:v>SEC006</x:v>
      </x:c>
      <x:c r="C623" s="3" t="n">
        <x:v>4</x:v>
      </x:c>
      <x:c r="D623" s="3" t="str">
        <x:v>present</x:v>
      </x:c>
      <x:c r="E623" s="5" t="str">
        <x:f>VLOOKUP(B623,Sections!$A$5:$I$45,3,FALSE)</x:f>
        <x:v>2024-2</x:v>
      </x:c>
    </x:row>
    <x:row r="624" ht="21" customHeight="1">
      <x:c r="A624" s="3" t="str">
        <x:v>2202018</x:v>
      </x:c>
      <x:c r="B624" s="3" t="str">
        <x:v>SEC006</x:v>
      </x:c>
      <x:c r="C624" s="3" t="n">
        <x:v>5</x:v>
      </x:c>
      <x:c r="D624" s="3" t="str">
        <x:v>present</x:v>
      </x:c>
      <x:c r="E624" s="5" t="str">
        <x:f>VLOOKUP(B624,Sections!$A$5:$I$45,3,FALSE)</x:f>
        <x:v>2024-2</x:v>
      </x:c>
    </x:row>
    <x:row r="625" ht="21" customHeight="1">
      <x:c r="A625" s="3" t="str">
        <x:v>2202018</x:v>
      </x:c>
      <x:c r="B625" s="3" t="str">
        <x:v>SEC006</x:v>
      </x:c>
      <x:c r="C625" s="3" t="n">
        <x:v>6</x:v>
      </x:c>
      <x:c r="D625" s="3" t="str">
        <x:v>present</x:v>
      </x:c>
      <x:c r="E625" s="5" t="str">
        <x:f>VLOOKUP(B625,Sections!$A$5:$I$45,3,FALSE)</x:f>
        <x:v>2024-2</x:v>
      </x:c>
    </x:row>
    <x:row r="626" ht="21" customHeight="1">
      <x:c r="A626" s="3" t="str">
        <x:v>2202018</x:v>
      </x:c>
      <x:c r="B626" s="3" t="str">
        <x:v>SEC006</x:v>
      </x:c>
      <x:c r="C626" s="3" t="n">
        <x:v>7</x:v>
      </x:c>
      <x:c r="D626" s="3" t="str">
        <x:v>present</x:v>
      </x:c>
      <x:c r="E626" s="5" t="str">
        <x:f>VLOOKUP(B626,Sections!$A$5:$I$45,3,FALSE)</x:f>
        <x:v>2024-2</x:v>
      </x:c>
    </x:row>
    <x:row r="627" ht="21" customHeight="1">
      <x:c r="A627" s="3" t="str">
        <x:v>2202018</x:v>
      </x:c>
      <x:c r="B627" s="3" t="str">
        <x:v>SEC006</x:v>
      </x:c>
      <x:c r="C627" s="3" t="n">
        <x:v>8</x:v>
      </x:c>
      <x:c r="D627" s="3" t="str">
        <x:v>absent</x:v>
      </x:c>
      <x:c r="E627" s="5" t="str">
        <x:f>VLOOKUP(B627,Sections!$A$5:$I$45,3,FALSE)</x:f>
        <x:v>2024-2</x:v>
      </x:c>
    </x:row>
    <x:row r="628" ht="21" customHeight="1">
      <x:c r="A628" s="3" t="str">
        <x:v>2202018</x:v>
      </x:c>
      <x:c r="B628" s="3" t="str">
        <x:v>SEC006</x:v>
      </x:c>
      <x:c r="C628" s="3" t="n">
        <x:v>9</x:v>
      </x:c>
      <x:c r="D628" s="3" t="str">
        <x:v>present</x:v>
      </x:c>
      <x:c r="E628" s="5" t="str">
        <x:f>VLOOKUP(B628,Sections!$A$5:$I$45,3,FALSE)</x:f>
        <x:v>2024-2</x:v>
      </x:c>
    </x:row>
    <x:row r="629" ht="21" customHeight="1">
      <x:c r="A629" s="3" t="str">
        <x:v>2202018</x:v>
      </x:c>
      <x:c r="B629" s="3" t="str">
        <x:v>SEC006</x:v>
      </x:c>
      <x:c r="C629" s="3" t="n">
        <x:v>10</x:v>
      </x:c>
      <x:c r="D629" s="3" t="str">
        <x:v>present</x:v>
      </x:c>
      <x:c r="E629" s="5" t="str">
        <x:f>VLOOKUP(B629,Sections!$A$5:$I$45,3,FALSE)</x:f>
        <x:v>2024-2</x:v>
      </x:c>
    </x:row>
    <x:row r="630" ht="21" customHeight="1">
      <x:c r="A630" s="3" t="str">
        <x:v>2202018</x:v>
      </x:c>
      <x:c r="B630" s="3" t="str">
        <x:v>SEC006</x:v>
      </x:c>
      <x:c r="C630" s="3" t="n">
        <x:v>11</x:v>
      </x:c>
      <x:c r="D630" s="3" t="str">
        <x:v>present</x:v>
      </x:c>
      <x:c r="E630" s="5" t="str">
        <x:f>VLOOKUP(B630,Sections!$A$5:$I$45,3,FALSE)</x:f>
        <x:v>2024-2</x:v>
      </x:c>
    </x:row>
    <x:row r="631" ht="21" customHeight="1">
      <x:c r="A631" s="3" t="str">
        <x:v>2202018</x:v>
      </x:c>
      <x:c r="B631" s="3" t="str">
        <x:v>SEC006</x:v>
      </x:c>
      <x:c r="C631" s="3" t="n">
        <x:v>12</x:v>
      </x:c>
      <x:c r="D631" s="3" t="str">
        <x:v>present</x:v>
      </x:c>
      <x:c r="E631" s="5" t="str">
        <x:f>VLOOKUP(B631,Sections!$A$5:$I$45,3,FALSE)</x:f>
        <x:v>2024-2</x:v>
      </x:c>
    </x:row>
    <x:row r="632" ht="21" customHeight="1">
      <x:c r="A632" s="3" t="str">
        <x:v>2202018</x:v>
      </x:c>
      <x:c r="B632" s="3" t="str">
        <x:v>SEC006</x:v>
      </x:c>
      <x:c r="C632" s="3" t="n">
        <x:v>13</x:v>
      </x:c>
      <x:c r="D632" s="3" t="str">
        <x:v>present</x:v>
      </x:c>
      <x:c r="E632" s="5" t="str">
        <x:f>VLOOKUP(B632,Sections!$A$5:$I$45,3,FALSE)</x:f>
        <x:v>2024-2</x:v>
      </x:c>
    </x:row>
    <x:row r="633" ht="21" customHeight="1">
      <x:c r="A633" s="3" t="str">
        <x:v>2202018</x:v>
      </x:c>
      <x:c r="B633" s="3" t="str">
        <x:v>SEC006</x:v>
      </x:c>
      <x:c r="C633" s="3" t="n">
        <x:v>14</x:v>
      </x:c>
      <x:c r="D633" s="3" t="str">
        <x:v>present</x:v>
      </x:c>
      <x:c r="E633" s="5" t="str">
        <x:f>VLOOKUP(B633,Sections!$A$5:$I$45,3,FALSE)</x:f>
        <x:v>2024-2</x:v>
      </x:c>
    </x:row>
    <x:row r="634" ht="21" customHeight="1">
      <x:c r="A634" s="3" t="str">
        <x:v>2202018</x:v>
      </x:c>
      <x:c r="B634" s="3" t="str">
        <x:v>SEC006</x:v>
      </x:c>
      <x:c r="C634" s="3" t="n">
        <x:v>15</x:v>
      </x:c>
      <x:c r="D634" s="3" t="str">
        <x:v>present</x:v>
      </x:c>
      <x:c r="E634" s="5" t="str">
        <x:f>VLOOKUP(B634,Sections!$A$5:$I$45,3,FALSE)</x:f>
        <x:v>2024-2</x:v>
      </x:c>
    </x:row>
    <x:row r="635" ht="21" customHeight="1">
      <x:c r="A635" s="3" t="str">
        <x:v>2202019</x:v>
      </x:c>
      <x:c r="B635" s="3" t="str">
        <x:v>SEC006</x:v>
      </x:c>
      <x:c r="C635" s="3" t="n">
        <x:v>1</x:v>
      </x:c>
      <x:c r="D635" s="3" t="str">
        <x:v>present</x:v>
      </x:c>
      <x:c r="E635" s="5" t="str">
        <x:f>VLOOKUP(B635,Sections!$A$5:$I$45,3,FALSE)</x:f>
        <x:v>2024-2</x:v>
      </x:c>
    </x:row>
    <x:row r="636" ht="21" customHeight="1">
      <x:c r="A636" s="3" t="str">
        <x:v>2202019</x:v>
      </x:c>
      <x:c r="B636" s="3" t="str">
        <x:v>SEC006</x:v>
      </x:c>
      <x:c r="C636" s="3" t="n">
        <x:v>2</x:v>
      </x:c>
      <x:c r="D636" s="3" t="str">
        <x:v>present</x:v>
      </x:c>
      <x:c r="E636" s="5" t="str">
        <x:f>VLOOKUP(B636,Sections!$A$5:$I$45,3,FALSE)</x:f>
        <x:v>2024-2</x:v>
      </x:c>
    </x:row>
    <x:row r="637" ht="21" customHeight="1">
      <x:c r="A637" s="3" t="str">
        <x:v>2202019</x:v>
      </x:c>
      <x:c r="B637" s="3" t="str">
        <x:v>SEC006</x:v>
      </x:c>
      <x:c r="C637" s="3" t="n">
        <x:v>3</x:v>
      </x:c>
      <x:c r="D637" s="3" t="str">
        <x:v>present</x:v>
      </x:c>
      <x:c r="E637" s="5" t="str">
        <x:f>VLOOKUP(B637,Sections!$A$5:$I$45,3,FALSE)</x:f>
        <x:v>2024-2</x:v>
      </x:c>
    </x:row>
    <x:row r="638" ht="21" customHeight="1">
      <x:c r="A638" s="3" t="str">
        <x:v>2202019</x:v>
      </x:c>
      <x:c r="B638" s="3" t="str">
        <x:v>SEC006</x:v>
      </x:c>
      <x:c r="C638" s="3" t="n">
        <x:v>4</x:v>
      </x:c>
      <x:c r="D638" s="3" t="str">
        <x:v>excused</x:v>
      </x:c>
      <x:c r="E638" s="5" t="str">
        <x:f>VLOOKUP(B638,Sections!$A$5:$I$45,3,FALSE)</x:f>
        <x:v>2024-2</x:v>
      </x:c>
    </x:row>
    <x:row r="639" ht="21" customHeight="1">
      <x:c r="A639" s="3" t="str">
        <x:v>2202019</x:v>
      </x:c>
      <x:c r="B639" s="3" t="str">
        <x:v>SEC006</x:v>
      </x:c>
      <x:c r="C639" s="3" t="n">
        <x:v>5</x:v>
      </x:c>
      <x:c r="D639" s="3" t="str">
        <x:v>excused</x:v>
      </x:c>
      <x:c r="E639" s="5" t="str">
        <x:f>VLOOKUP(B639,Sections!$A$5:$I$45,3,FALSE)</x:f>
        <x:v>2024-2</x:v>
      </x:c>
    </x:row>
    <x:row r="640" ht="21" customHeight="1">
      <x:c r="A640" s="3" t="str">
        <x:v>2202019</x:v>
      </x:c>
      <x:c r="B640" s="3" t="str">
        <x:v>SEC006</x:v>
      </x:c>
      <x:c r="C640" s="3" t="n">
        <x:v>6</x:v>
      </x:c>
      <x:c r="D640" s="3" t="str">
        <x:v>present</x:v>
      </x:c>
      <x:c r="E640" s="5" t="str">
        <x:f>VLOOKUP(B640,Sections!$A$5:$I$45,3,FALSE)</x:f>
        <x:v>2024-2</x:v>
      </x:c>
    </x:row>
    <x:row r="641" ht="21" customHeight="1">
      <x:c r="A641" s="3" t="str">
        <x:v>2202019</x:v>
      </x:c>
      <x:c r="B641" s="3" t="str">
        <x:v>SEC006</x:v>
      </x:c>
      <x:c r="C641" s="3" t="n">
        <x:v>7</x:v>
      </x:c>
      <x:c r="D641" s="3" t="str">
        <x:v>present</x:v>
      </x:c>
      <x:c r="E641" s="5" t="str">
        <x:f>VLOOKUP(B641,Sections!$A$5:$I$45,3,FALSE)</x:f>
        <x:v>2024-2</x:v>
      </x:c>
    </x:row>
    <x:row r="642" ht="21" customHeight="1">
      <x:c r="A642" s="3" t="str">
        <x:v>2202019</x:v>
      </x:c>
      <x:c r="B642" s="3" t="str">
        <x:v>SEC006</x:v>
      </x:c>
      <x:c r="C642" s="3" t="n">
        <x:v>8</x:v>
      </x:c>
      <x:c r="D642" s="3" t="str">
        <x:v>present</x:v>
      </x:c>
      <x:c r="E642" s="5" t="str">
        <x:f>VLOOKUP(B642,Sections!$A$5:$I$45,3,FALSE)</x:f>
        <x:v>2024-2</x:v>
      </x:c>
    </x:row>
    <x:row r="643" ht="21" customHeight="1">
      <x:c r="A643" s="3" t="str">
        <x:v>2202019</x:v>
      </x:c>
      <x:c r="B643" s="3" t="str">
        <x:v>SEC006</x:v>
      </x:c>
      <x:c r="C643" s="3" t="n">
        <x:v>9</x:v>
      </x:c>
      <x:c r="D643" s="3" t="str">
        <x:v>present</x:v>
      </x:c>
      <x:c r="E643" s="5" t="str">
        <x:f>VLOOKUP(B643,Sections!$A$5:$I$45,3,FALSE)</x:f>
        <x:v>2024-2</x:v>
      </x:c>
    </x:row>
    <x:row r="644" ht="21" customHeight="1">
      <x:c r="A644" s="3" t="str">
        <x:v>2202019</x:v>
      </x:c>
      <x:c r="B644" s="3" t="str">
        <x:v>SEC006</x:v>
      </x:c>
      <x:c r="C644" s="3" t="n">
        <x:v>10</x:v>
      </x:c>
      <x:c r="D644" s="3" t="str">
        <x:v>late</x:v>
      </x:c>
      <x:c r="E644" s="5" t="str">
        <x:f>VLOOKUP(B644,Sections!$A$5:$I$45,3,FALSE)</x:f>
        <x:v>2024-2</x:v>
      </x:c>
    </x:row>
    <x:row r="645" ht="21" customHeight="1">
      <x:c r="A645" s="3" t="str">
        <x:v>2202019</x:v>
      </x:c>
      <x:c r="B645" s="3" t="str">
        <x:v>SEC006</x:v>
      </x:c>
      <x:c r="C645" s="3" t="n">
        <x:v>11</x:v>
      </x:c>
      <x:c r="D645" s="3" t="str">
        <x:v>present</x:v>
      </x:c>
      <x:c r="E645" s="5" t="str">
        <x:f>VLOOKUP(B645,Sections!$A$5:$I$45,3,FALSE)</x:f>
        <x:v>2024-2</x:v>
      </x:c>
    </x:row>
    <x:row r="646" ht="21" customHeight="1">
      <x:c r="A646" s="3" t="str">
        <x:v>2202019</x:v>
      </x:c>
      <x:c r="B646" s="3" t="str">
        <x:v>SEC006</x:v>
      </x:c>
      <x:c r="C646" s="3" t="n">
        <x:v>12</x:v>
      </x:c>
      <x:c r="D646" s="3" t="str">
        <x:v>present</x:v>
      </x:c>
      <x:c r="E646" s="5" t="str">
        <x:f>VLOOKUP(B646,Sections!$A$5:$I$45,3,FALSE)</x:f>
        <x:v>2024-2</x:v>
      </x:c>
    </x:row>
    <x:row r="647" ht="21" customHeight="1">
      <x:c r="A647" s="3" t="str">
        <x:v>2202019</x:v>
      </x:c>
      <x:c r="B647" s="3" t="str">
        <x:v>SEC006</x:v>
      </x:c>
      <x:c r="C647" s="3" t="n">
        <x:v>13</x:v>
      </x:c>
      <x:c r="D647" s="3" t="str">
        <x:v>present</x:v>
      </x:c>
      <x:c r="E647" s="5" t="str">
        <x:f>VLOOKUP(B647,Sections!$A$5:$I$45,3,FALSE)</x:f>
        <x:v>2024-2</x:v>
      </x:c>
    </x:row>
    <x:row r="648" ht="21" customHeight="1">
      <x:c r="A648" s="3" t="str">
        <x:v>2202019</x:v>
      </x:c>
      <x:c r="B648" s="3" t="str">
        <x:v>SEC006</x:v>
      </x:c>
      <x:c r="C648" s="3" t="n">
        <x:v>14</x:v>
      </x:c>
      <x:c r="D648" s="3" t="str">
        <x:v>present</x:v>
      </x:c>
      <x:c r="E648" s="5" t="str">
        <x:f>VLOOKUP(B648,Sections!$A$5:$I$45,3,FALSE)</x:f>
        <x:v>2024-2</x:v>
      </x:c>
    </x:row>
    <x:row r="649" ht="21" customHeight="1">
      <x:c r="A649" s="3" t="str">
        <x:v>2202019</x:v>
      </x:c>
      <x:c r="B649" s="3" t="str">
        <x:v>SEC006</x:v>
      </x:c>
      <x:c r="C649" s="3" t="n">
        <x:v>15</x:v>
      </x:c>
      <x:c r="D649" s="3" t="str">
        <x:v>present</x:v>
      </x:c>
      <x:c r="E649" s="5" t="str">
        <x:f>VLOOKUP(B649,Sections!$A$5:$I$45,3,FALSE)</x:f>
        <x:v>2024-2</x:v>
      </x:c>
    </x:row>
    <x:row r="650" ht="21" customHeight="1">
      <x:c r="A650" s="3" t="str">
        <x:v>2202020</x:v>
      </x:c>
      <x:c r="B650" s="3" t="str">
        <x:v>SEC006</x:v>
      </x:c>
      <x:c r="C650" s="3" t="n">
        <x:v>1</x:v>
      </x:c>
      <x:c r="D650" s="3" t="str">
        <x:v>present</x:v>
      </x:c>
      <x:c r="E650" s="5" t="str">
        <x:f>VLOOKUP(B650,Sections!$A$5:$I$45,3,FALSE)</x:f>
        <x:v>2024-2</x:v>
      </x:c>
    </x:row>
    <x:row r="651" ht="21" customHeight="1">
      <x:c r="A651" s="3" t="str">
        <x:v>2202020</x:v>
      </x:c>
      <x:c r="B651" s="3" t="str">
        <x:v>SEC006</x:v>
      </x:c>
      <x:c r="C651" s="3" t="n">
        <x:v>2</x:v>
      </x:c>
      <x:c r="D651" s="3" t="str">
        <x:v>present</x:v>
      </x:c>
      <x:c r="E651" s="5" t="str">
        <x:f>VLOOKUP(B651,Sections!$A$5:$I$45,3,FALSE)</x:f>
        <x:v>2024-2</x:v>
      </x:c>
    </x:row>
    <x:row r="652" ht="21" customHeight="1">
      <x:c r="A652" s="3" t="str">
        <x:v>2202020</x:v>
      </x:c>
      <x:c r="B652" s="3" t="str">
        <x:v>SEC006</x:v>
      </x:c>
      <x:c r="C652" s="3" t="n">
        <x:v>3</x:v>
      </x:c>
      <x:c r="D652" s="3" t="str">
        <x:v>absent</x:v>
      </x:c>
      <x:c r="E652" s="5" t="str">
        <x:f>VLOOKUP(B652,Sections!$A$5:$I$45,3,FALSE)</x:f>
        <x:v>2024-2</x:v>
      </x:c>
    </x:row>
    <x:row r="653" ht="21" customHeight="1">
      <x:c r="A653" s="3" t="str">
        <x:v>2202020</x:v>
      </x:c>
      <x:c r="B653" s="3" t="str">
        <x:v>SEC006</x:v>
      </x:c>
      <x:c r="C653" s="3" t="n">
        <x:v>4</x:v>
      </x:c>
      <x:c r="D653" s="3" t="str">
        <x:v>present</x:v>
      </x:c>
      <x:c r="E653" s="5" t="str">
        <x:f>VLOOKUP(B653,Sections!$A$5:$I$45,3,FALSE)</x:f>
        <x:v>2024-2</x:v>
      </x:c>
    </x:row>
    <x:row r="654" ht="21" customHeight="1">
      <x:c r="A654" s="3" t="str">
        <x:v>2202020</x:v>
      </x:c>
      <x:c r="B654" s="3" t="str">
        <x:v>SEC006</x:v>
      </x:c>
      <x:c r="C654" s="3" t="n">
        <x:v>5</x:v>
      </x:c>
      <x:c r="D654" s="3" t="str">
        <x:v>present</x:v>
      </x:c>
      <x:c r="E654" s="5" t="str">
        <x:f>VLOOKUP(B654,Sections!$A$5:$I$45,3,FALSE)</x:f>
        <x:v>2024-2</x:v>
      </x:c>
    </x:row>
    <x:row r="655" ht="21" customHeight="1">
      <x:c r="A655" s="3" t="str">
        <x:v>2202020</x:v>
      </x:c>
      <x:c r="B655" s="3" t="str">
        <x:v>SEC006</x:v>
      </x:c>
      <x:c r="C655" s="3" t="n">
        <x:v>6</x:v>
      </x:c>
      <x:c r="D655" s="3" t="str">
        <x:v>late</x:v>
      </x:c>
      <x:c r="E655" s="5" t="str">
        <x:f>VLOOKUP(B655,Sections!$A$5:$I$45,3,FALSE)</x:f>
        <x:v>2024-2</x:v>
      </x:c>
    </x:row>
    <x:row r="656" ht="21" customHeight="1">
      <x:c r="A656" s="3" t="str">
        <x:v>2202020</x:v>
      </x:c>
      <x:c r="B656" s="3" t="str">
        <x:v>SEC006</x:v>
      </x:c>
      <x:c r="C656" s="3" t="n">
        <x:v>7</x:v>
      </x:c>
      <x:c r="D656" s="3" t="str">
        <x:v>absent</x:v>
      </x:c>
      <x:c r="E656" s="5" t="str">
        <x:f>VLOOKUP(B656,Sections!$A$5:$I$45,3,FALSE)</x:f>
        <x:v>2024-2</x:v>
      </x:c>
    </x:row>
    <x:row r="657" ht="21" customHeight="1">
      <x:c r="A657" s="3" t="str">
        <x:v>2202020</x:v>
      </x:c>
      <x:c r="B657" s="3" t="str">
        <x:v>SEC006</x:v>
      </x:c>
      <x:c r="C657" s="3" t="n">
        <x:v>8</x:v>
      </x:c>
      <x:c r="D657" s="3" t="str">
        <x:v>present</x:v>
      </x:c>
      <x:c r="E657" s="5" t="str">
        <x:f>VLOOKUP(B657,Sections!$A$5:$I$45,3,FALSE)</x:f>
        <x:v>2024-2</x:v>
      </x:c>
    </x:row>
    <x:row r="658" ht="21" customHeight="1">
      <x:c r="A658" s="3" t="str">
        <x:v>2202020</x:v>
      </x:c>
      <x:c r="B658" s="3" t="str">
        <x:v>SEC006</x:v>
      </x:c>
      <x:c r="C658" s="3" t="n">
        <x:v>9</x:v>
      </x:c>
      <x:c r="D658" s="3" t="str">
        <x:v>present</x:v>
      </x:c>
      <x:c r="E658" s="5" t="str">
        <x:f>VLOOKUP(B658,Sections!$A$5:$I$45,3,FALSE)</x:f>
        <x:v>2024-2</x:v>
      </x:c>
    </x:row>
    <x:row r="659" ht="21" customHeight="1">
      <x:c r="A659" s="3" t="str">
        <x:v>2202020</x:v>
      </x:c>
      <x:c r="B659" s="3" t="str">
        <x:v>SEC006</x:v>
      </x:c>
      <x:c r="C659" s="3" t="n">
        <x:v>10</x:v>
      </x:c>
      <x:c r="D659" s="3" t="str">
        <x:v>present</x:v>
      </x:c>
      <x:c r="E659" s="5" t="str">
        <x:f>VLOOKUP(B659,Sections!$A$5:$I$45,3,FALSE)</x:f>
        <x:v>2024-2</x:v>
      </x:c>
    </x:row>
    <x:row r="660" ht="21" customHeight="1">
      <x:c r="A660" s="3" t="str">
        <x:v>2202020</x:v>
      </x:c>
      <x:c r="B660" s="3" t="str">
        <x:v>SEC006</x:v>
      </x:c>
      <x:c r="C660" s="3" t="n">
        <x:v>11</x:v>
      </x:c>
      <x:c r="D660" s="3" t="str">
        <x:v>present</x:v>
      </x:c>
      <x:c r="E660" s="5" t="str">
        <x:f>VLOOKUP(B660,Sections!$A$5:$I$45,3,FALSE)</x:f>
        <x:v>2024-2</x:v>
      </x:c>
    </x:row>
    <x:row r="661" ht="21" customHeight="1">
      <x:c r="A661" s="3" t="str">
        <x:v>2202020</x:v>
      </x:c>
      <x:c r="B661" s="3" t="str">
        <x:v>SEC006</x:v>
      </x:c>
      <x:c r="C661" s="3" t="n">
        <x:v>12</x:v>
      </x:c>
      <x:c r="D661" s="3" t="str">
        <x:v>present</x:v>
      </x:c>
      <x:c r="E661" s="5" t="str">
        <x:f>VLOOKUP(B661,Sections!$A$5:$I$45,3,FALSE)</x:f>
        <x:v>2024-2</x:v>
      </x:c>
    </x:row>
    <x:row r="662" ht="21" customHeight="1">
      <x:c r="A662" s="3" t="str">
        <x:v>2202020</x:v>
      </x:c>
      <x:c r="B662" s="3" t="str">
        <x:v>SEC006</x:v>
      </x:c>
      <x:c r="C662" s="3" t="n">
        <x:v>13</x:v>
      </x:c>
      <x:c r="D662" s="3" t="str">
        <x:v>present</x:v>
      </x:c>
      <x:c r="E662" s="5" t="str">
        <x:f>VLOOKUP(B662,Sections!$A$5:$I$45,3,FALSE)</x:f>
        <x:v>2024-2</x:v>
      </x:c>
    </x:row>
    <x:row r="663" ht="21" customHeight="1">
      <x:c r="A663" s="3" t="str">
        <x:v>2202020</x:v>
      </x:c>
      <x:c r="B663" s="3" t="str">
        <x:v>SEC006</x:v>
      </x:c>
      <x:c r="C663" s="3" t="n">
        <x:v>14</x:v>
      </x:c>
      <x:c r="D663" s="3" t="str">
        <x:v>present</x:v>
      </x:c>
      <x:c r="E663" s="5" t="str">
        <x:f>VLOOKUP(B663,Sections!$A$5:$I$45,3,FALSE)</x:f>
        <x:v>2024-2</x:v>
      </x:c>
    </x:row>
    <x:row r="664" ht="21" customHeight="1">
      <x:c r="A664" s="3" t="str">
        <x:v>2202020</x:v>
      </x:c>
      <x:c r="B664" s="3" t="str">
        <x:v>SEC006</x:v>
      </x:c>
      <x:c r="C664" s="3" t="n">
        <x:v>15</x:v>
      </x:c>
      <x:c r="D664" s="3" t="str">
        <x:v>present</x:v>
      </x:c>
      <x:c r="E664" s="5" t="str">
        <x:f>VLOOKUP(B664,Sections!$A$5:$I$45,3,FALSE)</x:f>
        <x:v>2024-2</x:v>
      </x:c>
    </x:row>
    <x:row r="665" ht="21" customHeight="1">
      <x:c r="A665" s="3" t="str">
        <x:v>2202005</x:v>
      </x:c>
      <x:c r="B665" s="3" t="str">
        <x:v>SEC007</x:v>
      </x:c>
      <x:c r="C665" s="3" t="n">
        <x:v>1</x:v>
      </x:c>
      <x:c r="D665" s="3" t="str">
        <x:v>present</x:v>
      </x:c>
      <x:c r="E665" s="5" t="str">
        <x:f>VLOOKUP(B665,Sections!$A$5:$I$45,3,FALSE)</x:f>
        <x:v>2025-1</x:v>
      </x:c>
    </x:row>
    <x:row r="666" ht="21" customHeight="1">
      <x:c r="A666" s="3" t="str">
        <x:v>2202005</x:v>
      </x:c>
      <x:c r="B666" s="3" t="str">
        <x:v>SEC007</x:v>
      </x:c>
      <x:c r="C666" s="3" t="n">
        <x:v>2</x:v>
      </x:c>
      <x:c r="D666" s="3" t="str">
        <x:v>absent</x:v>
      </x:c>
      <x:c r="E666" s="5" t="str">
        <x:f>VLOOKUP(B666,Sections!$A$5:$I$45,3,FALSE)</x:f>
        <x:v>2025-1</x:v>
      </x:c>
    </x:row>
    <x:row r="667" ht="21" customHeight="1">
      <x:c r="A667" s="3" t="str">
        <x:v>2202005</x:v>
      </x:c>
      <x:c r="B667" s="3" t="str">
        <x:v>SEC007</x:v>
      </x:c>
      <x:c r="C667" s="3" t="n">
        <x:v>3</x:v>
      </x:c>
      <x:c r="D667" s="3" t="str">
        <x:v>absent</x:v>
      </x:c>
      <x:c r="E667" s="5" t="str">
        <x:f>VLOOKUP(B667,Sections!$A$5:$I$45,3,FALSE)</x:f>
        <x:v>2025-1</x:v>
      </x:c>
    </x:row>
    <x:row r="668" ht="21" customHeight="1">
      <x:c r="A668" s="3" t="str">
        <x:v>2202005</x:v>
      </x:c>
      <x:c r="B668" s="3" t="str">
        <x:v>SEC007</x:v>
      </x:c>
      <x:c r="C668" s="3" t="n">
        <x:v>4</x:v>
      </x:c>
      <x:c r="D668" s="3" t="str">
        <x:v>late</x:v>
      </x:c>
      <x:c r="E668" s="5" t="str">
        <x:f>VLOOKUP(B668,Sections!$A$5:$I$45,3,FALSE)</x:f>
        <x:v>2025-1</x:v>
      </x:c>
    </x:row>
    <x:row r="669" ht="21" customHeight="1">
      <x:c r="A669" s="3" t="str">
        <x:v>2202005</x:v>
      </x:c>
      <x:c r="B669" s="3" t="str">
        <x:v>SEC007</x:v>
      </x:c>
      <x:c r="C669" s="3" t="n">
        <x:v>5</x:v>
      </x:c>
      <x:c r="D669" s="3" t="str">
        <x:v>excused</x:v>
      </x:c>
      <x:c r="E669" s="5" t="str">
        <x:f>VLOOKUP(B669,Sections!$A$5:$I$45,3,FALSE)</x:f>
        <x:v>2025-1</x:v>
      </x:c>
    </x:row>
    <x:row r="670" ht="21" customHeight="1">
      <x:c r="A670" s="3" t="str">
        <x:v>2202005</x:v>
      </x:c>
      <x:c r="B670" s="3" t="str">
        <x:v>SEC007</x:v>
      </x:c>
      <x:c r="C670" s="3" t="n">
        <x:v>6</x:v>
      </x:c>
      <x:c r="D670" s="3" t="str">
        <x:v>present</x:v>
      </x:c>
      <x:c r="E670" s="5" t="str">
        <x:f>VLOOKUP(B670,Sections!$A$5:$I$45,3,FALSE)</x:f>
        <x:v>2025-1</x:v>
      </x:c>
    </x:row>
    <x:row r="671" ht="21" customHeight="1">
      <x:c r="A671" s="3" t="str">
        <x:v>2202005</x:v>
      </x:c>
      <x:c r="B671" s="3" t="str">
        <x:v>SEC007</x:v>
      </x:c>
      <x:c r="C671" s="3" t="n">
        <x:v>7</x:v>
      </x:c>
      <x:c r="D671" s="3" t="str">
        <x:v>present</x:v>
      </x:c>
      <x:c r="E671" s="5" t="str">
        <x:f>VLOOKUP(B671,Sections!$A$5:$I$45,3,FALSE)</x:f>
        <x:v>2025-1</x:v>
      </x:c>
    </x:row>
    <x:row r="672" ht="21" customHeight="1">
      <x:c r="A672" s="3" t="str">
        <x:v>2202005</x:v>
      </x:c>
      <x:c r="B672" s="3" t="str">
        <x:v>SEC007</x:v>
      </x:c>
      <x:c r="C672" s="3" t="n">
        <x:v>8</x:v>
      </x:c>
      <x:c r="D672" s="3" t="str">
        <x:v>present</x:v>
      </x:c>
      <x:c r="E672" s="5" t="str">
        <x:f>VLOOKUP(B672,Sections!$A$5:$I$45,3,FALSE)</x:f>
        <x:v>2025-1</x:v>
      </x:c>
    </x:row>
    <x:row r="673" ht="21" customHeight="1">
      <x:c r="A673" s="3" t="str">
        <x:v>2202005</x:v>
      </x:c>
      <x:c r="B673" s="3" t="str">
        <x:v>SEC007</x:v>
      </x:c>
      <x:c r="C673" s="3" t="n">
        <x:v>9</x:v>
      </x:c>
      <x:c r="D673" s="3" t="str">
        <x:v>present</x:v>
      </x:c>
      <x:c r="E673" s="5" t="str">
        <x:f>VLOOKUP(B673,Sections!$A$5:$I$45,3,FALSE)</x:f>
        <x:v>2025-1</x:v>
      </x:c>
    </x:row>
    <x:row r="674" ht="21" customHeight="1">
      <x:c r="A674" s="3" t="str">
        <x:v>2202005</x:v>
      </x:c>
      <x:c r="B674" s="3" t="str">
        <x:v>SEC007</x:v>
      </x:c>
      <x:c r="C674" s="3" t="n">
        <x:v>10</x:v>
      </x:c>
      <x:c r="D674" s="3" t="str">
        <x:v>present</x:v>
      </x:c>
      <x:c r="E674" s="5" t="str">
        <x:f>VLOOKUP(B674,Sections!$A$5:$I$45,3,FALSE)</x:f>
        <x:v>2025-1</x:v>
      </x:c>
    </x:row>
    <x:row r="675" ht="21" customHeight="1">
      <x:c r="A675" s="3" t="str">
        <x:v>2202005</x:v>
      </x:c>
      <x:c r="B675" s="3" t="str">
        <x:v>SEC007</x:v>
      </x:c>
      <x:c r="C675" s="3" t="n">
        <x:v>11</x:v>
      </x:c>
      <x:c r="D675" s="3" t="str">
        <x:v>absent</x:v>
      </x:c>
      <x:c r="E675" s="5" t="str">
        <x:f>VLOOKUP(B675,Sections!$A$5:$I$45,3,FALSE)</x:f>
        <x:v>2025-1</x:v>
      </x:c>
    </x:row>
    <x:row r="676" ht="21" customHeight="1">
      <x:c r="A676" s="3" t="str">
        <x:v>2202005</x:v>
      </x:c>
      <x:c r="B676" s="3" t="str">
        <x:v>SEC007</x:v>
      </x:c>
      <x:c r="C676" s="3" t="n">
        <x:v>12</x:v>
      </x:c>
      <x:c r="D676" s="3" t="str">
        <x:v>absent</x:v>
      </x:c>
      <x:c r="E676" s="5" t="str">
        <x:f>VLOOKUP(B676,Sections!$A$5:$I$45,3,FALSE)</x:f>
        <x:v>2025-1</x:v>
      </x:c>
    </x:row>
    <x:row r="677" ht="21" customHeight="1">
      <x:c r="A677" s="3" t="str">
        <x:v>2202005</x:v>
      </x:c>
      <x:c r="B677" s="3" t="str">
        <x:v>SEC007</x:v>
      </x:c>
      <x:c r="C677" s="3" t="n">
        <x:v>13</x:v>
      </x:c>
      <x:c r="D677" s="3" t="str">
        <x:v>present</x:v>
      </x:c>
      <x:c r="E677" s="5" t="str">
        <x:f>VLOOKUP(B677,Sections!$A$5:$I$45,3,FALSE)</x:f>
        <x:v>2025-1</x:v>
      </x:c>
    </x:row>
    <x:row r="678" ht="21" customHeight="1">
      <x:c r="A678" s="3" t="str">
        <x:v>2202005</x:v>
      </x:c>
      <x:c r="B678" s="3" t="str">
        <x:v>SEC007</x:v>
      </x:c>
      <x:c r="C678" s="3" t="n">
        <x:v>14</x:v>
      </x:c>
      <x:c r="D678" s="3" t="str">
        <x:v>absent</x:v>
      </x:c>
      <x:c r="E678" s="5" t="str">
        <x:f>VLOOKUP(B678,Sections!$A$5:$I$45,3,FALSE)</x:f>
        <x:v>2025-1</x:v>
      </x:c>
    </x:row>
    <x:row r="679" ht="21" customHeight="1">
      <x:c r="A679" s="3" t="str">
        <x:v>2202005</x:v>
      </x:c>
      <x:c r="B679" s="3" t="str">
        <x:v>SEC007</x:v>
      </x:c>
      <x:c r="C679" s="3" t="n">
        <x:v>15</x:v>
      </x:c>
      <x:c r="D679" s="3" t="str">
        <x:v>present</x:v>
      </x:c>
      <x:c r="E679" s="5" t="str">
        <x:f>VLOOKUP(B679,Sections!$A$5:$I$45,3,FALSE)</x:f>
        <x:v>2025-1</x:v>
      </x:c>
    </x:row>
    <x:row r="680" ht="21" customHeight="1">
      <x:c r="A680" s="3" t="str">
        <x:v>2202010</x:v>
      </x:c>
      <x:c r="B680" s="3" t="str">
        <x:v>SEC007</x:v>
      </x:c>
      <x:c r="C680" s="3" t="n">
        <x:v>1</x:v>
      </x:c>
      <x:c r="D680" s="3" t="str">
        <x:v>present</x:v>
      </x:c>
      <x:c r="E680" s="5" t="str">
        <x:f>VLOOKUP(B680,Sections!$A$5:$I$45,3,FALSE)</x:f>
        <x:v>2025-1</x:v>
      </x:c>
    </x:row>
    <x:row r="681" ht="21" customHeight="1">
      <x:c r="A681" s="3" t="str">
        <x:v>2202010</x:v>
      </x:c>
      <x:c r="B681" s="3" t="str">
        <x:v>SEC007</x:v>
      </x:c>
      <x:c r="C681" s="3" t="n">
        <x:v>2</x:v>
      </x:c>
      <x:c r="D681" s="3" t="str">
        <x:v>absent</x:v>
      </x:c>
      <x:c r="E681" s="5" t="str">
        <x:f>VLOOKUP(B681,Sections!$A$5:$I$45,3,FALSE)</x:f>
        <x:v>2025-1</x:v>
      </x:c>
    </x:row>
    <x:row r="682" ht="21" customHeight="1">
      <x:c r="A682" s="3" t="str">
        <x:v>2202010</x:v>
      </x:c>
      <x:c r="B682" s="3" t="str">
        <x:v>SEC007</x:v>
      </x:c>
      <x:c r="C682" s="3" t="n">
        <x:v>3</x:v>
      </x:c>
      <x:c r="D682" s="3" t="str">
        <x:v>present</x:v>
      </x:c>
      <x:c r="E682" s="5" t="str">
        <x:f>VLOOKUP(B682,Sections!$A$5:$I$45,3,FALSE)</x:f>
        <x:v>2025-1</x:v>
      </x:c>
    </x:row>
    <x:row r="683" ht="21" customHeight="1">
      <x:c r="A683" s="3" t="str">
        <x:v>2202010</x:v>
      </x:c>
      <x:c r="B683" s="3" t="str">
        <x:v>SEC007</x:v>
      </x:c>
      <x:c r="C683" s="3" t="n">
        <x:v>4</x:v>
      </x:c>
      <x:c r="D683" s="3" t="str">
        <x:v>present</x:v>
      </x:c>
      <x:c r="E683" s="5" t="str">
        <x:f>VLOOKUP(B683,Sections!$A$5:$I$45,3,FALSE)</x:f>
        <x:v>2025-1</x:v>
      </x:c>
    </x:row>
    <x:row r="684" ht="21" customHeight="1">
      <x:c r="A684" s="3" t="str">
        <x:v>2202010</x:v>
      </x:c>
      <x:c r="B684" s="3" t="str">
        <x:v>SEC007</x:v>
      </x:c>
      <x:c r="C684" s="3" t="n">
        <x:v>5</x:v>
      </x:c>
      <x:c r="D684" s="3" t="str">
        <x:v>present</x:v>
      </x:c>
      <x:c r="E684" s="5" t="str">
        <x:f>VLOOKUP(B684,Sections!$A$5:$I$45,3,FALSE)</x:f>
        <x:v>2025-1</x:v>
      </x:c>
    </x:row>
    <x:row r="685" ht="21" customHeight="1">
      <x:c r="A685" s="3" t="str">
        <x:v>2202010</x:v>
      </x:c>
      <x:c r="B685" s="3" t="str">
        <x:v>SEC007</x:v>
      </x:c>
      <x:c r="C685" s="3" t="n">
        <x:v>6</x:v>
      </x:c>
      <x:c r="D685" s="3" t="str">
        <x:v>absent</x:v>
      </x:c>
      <x:c r="E685" s="5" t="str">
        <x:f>VLOOKUP(B685,Sections!$A$5:$I$45,3,FALSE)</x:f>
        <x:v>2025-1</x:v>
      </x:c>
    </x:row>
    <x:row r="686" ht="21" customHeight="1">
      <x:c r="A686" s="3" t="str">
        <x:v>2202010</x:v>
      </x:c>
      <x:c r="B686" s="3" t="str">
        <x:v>SEC007</x:v>
      </x:c>
      <x:c r="C686" s="3" t="n">
        <x:v>7</x:v>
      </x:c>
      <x:c r="D686" s="3" t="str">
        <x:v>present</x:v>
      </x:c>
      <x:c r="E686" s="5" t="str">
        <x:f>VLOOKUP(B686,Sections!$A$5:$I$45,3,FALSE)</x:f>
        <x:v>2025-1</x:v>
      </x:c>
    </x:row>
    <x:row r="687" ht="21" customHeight="1">
      <x:c r="A687" s="3" t="str">
        <x:v>2202010</x:v>
      </x:c>
      <x:c r="B687" s="3" t="str">
        <x:v>SEC007</x:v>
      </x:c>
      <x:c r="C687" s="3" t="n">
        <x:v>8</x:v>
      </x:c>
      <x:c r="D687" s="3" t="str">
        <x:v>excused</x:v>
      </x:c>
      <x:c r="E687" s="5" t="str">
        <x:f>VLOOKUP(B687,Sections!$A$5:$I$45,3,FALSE)</x:f>
        <x:v>2025-1</x:v>
      </x:c>
    </x:row>
    <x:row r="688" ht="21" customHeight="1">
      <x:c r="A688" s="3" t="str">
        <x:v>2202010</x:v>
      </x:c>
      <x:c r="B688" s="3" t="str">
        <x:v>SEC007</x:v>
      </x:c>
      <x:c r="C688" s="3" t="n">
        <x:v>9</x:v>
      </x:c>
      <x:c r="D688" s="3" t="str">
        <x:v>present</x:v>
      </x:c>
      <x:c r="E688" s="5" t="str">
        <x:f>VLOOKUP(B688,Sections!$A$5:$I$45,3,FALSE)</x:f>
        <x:v>2025-1</x:v>
      </x:c>
    </x:row>
    <x:row r="689" ht="21" customHeight="1">
      <x:c r="A689" s="3" t="str">
        <x:v>2202010</x:v>
      </x:c>
      <x:c r="B689" s="3" t="str">
        <x:v>SEC007</x:v>
      </x:c>
      <x:c r="C689" s="3" t="n">
        <x:v>10</x:v>
      </x:c>
      <x:c r="D689" s="3" t="str">
        <x:v>present</x:v>
      </x:c>
      <x:c r="E689" s="5" t="str">
        <x:f>VLOOKUP(B689,Sections!$A$5:$I$45,3,FALSE)</x:f>
        <x:v>2025-1</x:v>
      </x:c>
    </x:row>
    <x:row r="690" ht="21" customHeight="1">
      <x:c r="A690" s="3" t="str">
        <x:v>2202010</x:v>
      </x:c>
      <x:c r="B690" s="3" t="str">
        <x:v>SEC007</x:v>
      </x:c>
      <x:c r="C690" s="3" t="n">
        <x:v>11</x:v>
      </x:c>
      <x:c r="D690" s="3" t="str">
        <x:v>late</x:v>
      </x:c>
      <x:c r="E690" s="5" t="str">
        <x:f>VLOOKUP(B690,Sections!$A$5:$I$45,3,FALSE)</x:f>
        <x:v>2025-1</x:v>
      </x:c>
    </x:row>
    <x:row r="691" ht="21" customHeight="1">
      <x:c r="A691" s="3" t="str">
        <x:v>2202010</x:v>
      </x:c>
      <x:c r="B691" s="3" t="str">
        <x:v>SEC007</x:v>
      </x:c>
      <x:c r="C691" s="3" t="n">
        <x:v>12</x:v>
      </x:c>
      <x:c r="D691" s="3" t="str">
        <x:v>absent</x:v>
      </x:c>
      <x:c r="E691" s="5" t="str">
        <x:f>VLOOKUP(B691,Sections!$A$5:$I$45,3,FALSE)</x:f>
        <x:v>2025-1</x:v>
      </x:c>
    </x:row>
    <x:row r="692" ht="21" customHeight="1">
      <x:c r="A692" s="3" t="str">
        <x:v>2202010</x:v>
      </x:c>
      <x:c r="B692" s="3" t="str">
        <x:v>SEC007</x:v>
      </x:c>
      <x:c r="C692" s="3" t="n">
        <x:v>13</x:v>
      </x:c>
      <x:c r="D692" s="3" t="str">
        <x:v>present</x:v>
      </x:c>
      <x:c r="E692" s="5" t="str">
        <x:f>VLOOKUP(B692,Sections!$A$5:$I$45,3,FALSE)</x:f>
        <x:v>2025-1</x:v>
      </x:c>
    </x:row>
    <x:row r="693" ht="21" customHeight="1">
      <x:c r="A693" s="3" t="str">
        <x:v>2202010</x:v>
      </x:c>
      <x:c r="B693" s="3" t="str">
        <x:v>SEC007</x:v>
      </x:c>
      <x:c r="C693" s="3" t="n">
        <x:v>14</x:v>
      </x:c>
      <x:c r="D693" s="3" t="str">
        <x:v>present</x:v>
      </x:c>
      <x:c r="E693" s="5" t="str">
        <x:f>VLOOKUP(B693,Sections!$A$5:$I$45,3,FALSE)</x:f>
        <x:v>2025-1</x:v>
      </x:c>
    </x:row>
    <x:row r="694" ht="21" customHeight="1">
      <x:c r="A694" s="3" t="str">
        <x:v>2202010</x:v>
      </x:c>
      <x:c r="B694" s="3" t="str">
        <x:v>SEC007</x:v>
      </x:c>
      <x:c r="C694" s="3" t="n">
        <x:v>15</x:v>
      </x:c>
      <x:c r="D694" s="3" t="str">
        <x:v>present</x:v>
      </x:c>
      <x:c r="E694" s="5" t="str">
        <x:f>VLOOKUP(B694,Sections!$A$5:$I$45,3,FALSE)</x:f>
        <x:v>2025-1</x:v>
      </x:c>
    </x:row>
    <x:row r="695" ht="21" customHeight="1">
      <x:c r="A695" s="3" t="str">
        <x:v>2202015</x:v>
      </x:c>
      <x:c r="B695" s="3" t="str">
        <x:v>SEC008</x:v>
      </x:c>
      <x:c r="C695" s="3" t="n">
        <x:v>1</x:v>
      </x:c>
      <x:c r="D695" s="3" t="str">
        <x:v>present</x:v>
      </x:c>
      <x:c r="E695" s="5" t="str">
        <x:f>VLOOKUP(B695,Sections!$A$5:$I$45,3,FALSE)</x:f>
        <x:v>2025-1</x:v>
      </x:c>
    </x:row>
    <x:row r="696" ht="21" customHeight="1">
      <x:c r="A696" s="3" t="str">
        <x:v>2202015</x:v>
      </x:c>
      <x:c r="B696" s="3" t="str">
        <x:v>SEC008</x:v>
      </x:c>
      <x:c r="C696" s="3" t="n">
        <x:v>2</x:v>
      </x:c>
      <x:c r="D696" s="3" t="str">
        <x:v>absent</x:v>
      </x:c>
      <x:c r="E696" s="5" t="str">
        <x:f>VLOOKUP(B696,Sections!$A$5:$I$45,3,FALSE)</x:f>
        <x:v>2025-1</x:v>
      </x:c>
    </x:row>
    <x:row r="697" ht="21" customHeight="1">
      <x:c r="A697" s="3" t="str">
        <x:v>2202015</x:v>
      </x:c>
      <x:c r="B697" s="3" t="str">
        <x:v>SEC008</x:v>
      </x:c>
      <x:c r="C697" s="3" t="n">
        <x:v>3</x:v>
      </x:c>
      <x:c r="D697" s="3" t="str">
        <x:v>absent</x:v>
      </x:c>
      <x:c r="E697" s="5" t="str">
        <x:f>VLOOKUP(B697,Sections!$A$5:$I$45,3,FALSE)</x:f>
        <x:v>2025-1</x:v>
      </x:c>
    </x:row>
    <x:row r="698" ht="21" customHeight="1">
      <x:c r="A698" s="3" t="str">
        <x:v>2202015</x:v>
      </x:c>
      <x:c r="B698" s="3" t="str">
        <x:v>SEC008</x:v>
      </x:c>
      <x:c r="C698" s="3" t="n">
        <x:v>4</x:v>
      </x:c>
      <x:c r="D698" s="3" t="str">
        <x:v>late</x:v>
      </x:c>
      <x:c r="E698" s="5" t="str">
        <x:f>VLOOKUP(B698,Sections!$A$5:$I$45,3,FALSE)</x:f>
        <x:v>2025-1</x:v>
      </x:c>
    </x:row>
    <x:row r="699" ht="21" customHeight="1">
      <x:c r="A699" s="3" t="str">
        <x:v>2202015</x:v>
      </x:c>
      <x:c r="B699" s="3" t="str">
        <x:v>SEC008</x:v>
      </x:c>
      <x:c r="C699" s="3" t="n">
        <x:v>5</x:v>
      </x:c>
      <x:c r="D699" s="3" t="str">
        <x:v>present</x:v>
      </x:c>
      <x:c r="E699" s="5" t="str">
        <x:f>VLOOKUP(B699,Sections!$A$5:$I$45,3,FALSE)</x:f>
        <x:v>2025-1</x:v>
      </x:c>
    </x:row>
    <x:row r="700" ht="21" customHeight="1">
      <x:c r="A700" s="3" t="str">
        <x:v>2202015</x:v>
      </x:c>
      <x:c r="B700" s="3" t="str">
        <x:v>SEC008</x:v>
      </x:c>
      <x:c r="C700" s="3" t="n">
        <x:v>6</x:v>
      </x:c>
      <x:c r="D700" s="3" t="str">
        <x:v>present</x:v>
      </x:c>
      <x:c r="E700" s="5" t="str">
        <x:f>VLOOKUP(B700,Sections!$A$5:$I$45,3,FALSE)</x:f>
        <x:v>2025-1</x:v>
      </x:c>
    </x:row>
    <x:row r="701" ht="21" customHeight="1">
      <x:c r="A701" s="3" t="str">
        <x:v>2202015</x:v>
      </x:c>
      <x:c r="B701" s="3" t="str">
        <x:v>SEC008</x:v>
      </x:c>
      <x:c r="C701" s="3" t="n">
        <x:v>7</x:v>
      </x:c>
      <x:c r="D701" s="3" t="str">
        <x:v>late</x:v>
      </x:c>
      <x:c r="E701" s="5" t="str">
        <x:f>VLOOKUP(B701,Sections!$A$5:$I$45,3,FALSE)</x:f>
        <x:v>2025-1</x:v>
      </x:c>
    </x:row>
    <x:row r="702" ht="21" customHeight="1">
      <x:c r="A702" s="3" t="str">
        <x:v>2202015</x:v>
      </x:c>
      <x:c r="B702" s="3" t="str">
        <x:v>SEC008</x:v>
      </x:c>
      <x:c r="C702" s="3" t="n">
        <x:v>8</x:v>
      </x:c>
      <x:c r="D702" s="3" t="str">
        <x:v>present</x:v>
      </x:c>
      <x:c r="E702" s="5" t="str">
        <x:f>VLOOKUP(B702,Sections!$A$5:$I$45,3,FALSE)</x:f>
        <x:v>2025-1</x:v>
      </x:c>
    </x:row>
    <x:row r="703" ht="21" customHeight="1">
      <x:c r="A703" s="3" t="str">
        <x:v>2202015</x:v>
      </x:c>
      <x:c r="B703" s="3" t="str">
        <x:v>SEC008</x:v>
      </x:c>
      <x:c r="C703" s="3" t="n">
        <x:v>9</x:v>
      </x:c>
      <x:c r="D703" s="3" t="str">
        <x:v>present</x:v>
      </x:c>
      <x:c r="E703" s="5" t="str">
        <x:f>VLOOKUP(B703,Sections!$A$5:$I$45,3,FALSE)</x:f>
        <x:v>2025-1</x:v>
      </x:c>
    </x:row>
    <x:row r="704" ht="21" customHeight="1">
      <x:c r="A704" s="3" t="str">
        <x:v>2202015</x:v>
      </x:c>
      <x:c r="B704" s="3" t="str">
        <x:v>SEC008</x:v>
      </x:c>
      <x:c r="C704" s="3" t="n">
        <x:v>10</x:v>
      </x:c>
      <x:c r="D704" s="3" t="str">
        <x:v>present</x:v>
      </x:c>
      <x:c r="E704" s="5" t="str">
        <x:f>VLOOKUP(B704,Sections!$A$5:$I$45,3,FALSE)</x:f>
        <x:v>2025-1</x:v>
      </x:c>
    </x:row>
    <x:row r="705" ht="21" customHeight="1">
      <x:c r="A705" s="3" t="str">
        <x:v>2202015</x:v>
      </x:c>
      <x:c r="B705" s="3" t="str">
        <x:v>SEC008</x:v>
      </x:c>
      <x:c r="C705" s="3" t="n">
        <x:v>11</x:v>
      </x:c>
      <x:c r="D705" s="3" t="str">
        <x:v>absent</x:v>
      </x:c>
      <x:c r="E705" s="5" t="str">
        <x:f>VLOOKUP(B705,Sections!$A$5:$I$45,3,FALSE)</x:f>
        <x:v>2025-1</x:v>
      </x:c>
    </x:row>
    <x:row r="706" ht="21" customHeight="1">
      <x:c r="A706" s="3" t="str">
        <x:v>2202015</x:v>
      </x:c>
      <x:c r="B706" s="3" t="str">
        <x:v>SEC008</x:v>
      </x:c>
      <x:c r="C706" s="3" t="n">
        <x:v>12</x:v>
      </x:c>
      <x:c r="D706" s="3" t="str">
        <x:v>late</x:v>
      </x:c>
      <x:c r="E706" s="5" t="str">
        <x:f>VLOOKUP(B706,Sections!$A$5:$I$45,3,FALSE)</x:f>
        <x:v>2025-1</x:v>
      </x:c>
    </x:row>
    <x:row r="707" ht="21" customHeight="1">
      <x:c r="A707" s="3" t="str">
        <x:v>2202015</x:v>
      </x:c>
      <x:c r="B707" s="3" t="str">
        <x:v>SEC008</x:v>
      </x:c>
      <x:c r="C707" s="3" t="n">
        <x:v>13</x:v>
      </x:c>
      <x:c r="D707" s="3" t="str">
        <x:v>excused</x:v>
      </x:c>
      <x:c r="E707" s="5" t="str">
        <x:f>VLOOKUP(B707,Sections!$A$5:$I$45,3,FALSE)</x:f>
        <x:v>2025-1</x:v>
      </x:c>
    </x:row>
    <x:row r="708" ht="21" customHeight="1">
      <x:c r="A708" s="3" t="str">
        <x:v>2202015</x:v>
      </x:c>
      <x:c r="B708" s="3" t="str">
        <x:v>SEC008</x:v>
      </x:c>
      <x:c r="C708" s="3" t="n">
        <x:v>14</x:v>
      </x:c>
      <x:c r="D708" s="3" t="str">
        <x:v>late</x:v>
      </x:c>
      <x:c r="E708" s="5" t="str">
        <x:f>VLOOKUP(B708,Sections!$A$5:$I$45,3,FALSE)</x:f>
        <x:v>2025-1</x:v>
      </x:c>
    </x:row>
    <x:row r="709" ht="21" customHeight="1">
      <x:c r="A709" s="3" t="str">
        <x:v>2202015</x:v>
      </x:c>
      <x:c r="B709" s="3" t="str">
        <x:v>SEC008</x:v>
      </x:c>
      <x:c r="C709" s="3" t="n">
        <x:v>15</x:v>
      </x:c>
      <x:c r="D709" s="3" t="str">
        <x:v>absent</x:v>
      </x:c>
      <x:c r="E709" s="5" t="str">
        <x:f>VLOOKUP(B709,Sections!$A$5:$I$45,3,FALSE)</x:f>
        <x:v>2025-1</x:v>
      </x:c>
    </x:row>
    <x:row r="710" ht="21" customHeight="1">
      <x:c r="A710" s="3" t="str">
        <x:v>2202020</x:v>
      </x:c>
      <x:c r="B710" s="3" t="str">
        <x:v>SEC008</x:v>
      </x:c>
      <x:c r="C710" s="3" t="n">
        <x:v>1</x:v>
      </x:c>
      <x:c r="D710" s="3" t="str">
        <x:v>absent</x:v>
      </x:c>
      <x:c r="E710" s="5" t="str">
        <x:f>VLOOKUP(B710,Sections!$A$5:$I$45,3,FALSE)</x:f>
        <x:v>2025-1</x:v>
      </x:c>
    </x:row>
    <x:row r="711" ht="21" customHeight="1">
      <x:c r="A711" s="3" t="str">
        <x:v>2202020</x:v>
      </x:c>
      <x:c r="B711" s="3" t="str">
        <x:v>SEC008</x:v>
      </x:c>
      <x:c r="C711" s="3" t="n">
        <x:v>2</x:v>
      </x:c>
      <x:c r="D711" s="3" t="str">
        <x:v>present</x:v>
      </x:c>
      <x:c r="E711" s="5" t="str">
        <x:f>VLOOKUP(B711,Sections!$A$5:$I$45,3,FALSE)</x:f>
        <x:v>2025-1</x:v>
      </x:c>
    </x:row>
    <x:row r="712" ht="21" customHeight="1">
      <x:c r="A712" s="3" t="str">
        <x:v>2202020</x:v>
      </x:c>
      <x:c r="B712" s="3" t="str">
        <x:v>SEC008</x:v>
      </x:c>
      <x:c r="C712" s="3" t="n">
        <x:v>3</x:v>
      </x:c>
      <x:c r="D712" s="3" t="str">
        <x:v>absent</x:v>
      </x:c>
      <x:c r="E712" s="5" t="str">
        <x:f>VLOOKUP(B712,Sections!$A$5:$I$45,3,FALSE)</x:f>
        <x:v>2025-1</x:v>
      </x:c>
    </x:row>
    <x:row r="713" ht="21" customHeight="1">
      <x:c r="A713" s="3" t="str">
        <x:v>2202020</x:v>
      </x:c>
      <x:c r="B713" s="3" t="str">
        <x:v>SEC008</x:v>
      </x:c>
      <x:c r="C713" s="3" t="n">
        <x:v>4</x:v>
      </x:c>
      <x:c r="D713" s="3" t="str">
        <x:v>present</x:v>
      </x:c>
      <x:c r="E713" s="5" t="str">
        <x:f>VLOOKUP(B713,Sections!$A$5:$I$45,3,FALSE)</x:f>
        <x:v>2025-1</x:v>
      </x:c>
    </x:row>
    <x:row r="714" ht="21" customHeight="1">
      <x:c r="A714" s="3" t="str">
        <x:v>2202020</x:v>
      </x:c>
      <x:c r="B714" s="3" t="str">
        <x:v>SEC008</x:v>
      </x:c>
      <x:c r="C714" s="3" t="n">
        <x:v>5</x:v>
      </x:c>
      <x:c r="D714" s="3" t="str">
        <x:v>absent</x:v>
      </x:c>
      <x:c r="E714" s="5" t="str">
        <x:f>VLOOKUP(B714,Sections!$A$5:$I$45,3,FALSE)</x:f>
        <x:v>2025-1</x:v>
      </x:c>
    </x:row>
    <x:row r="715" ht="21" customHeight="1">
      <x:c r="A715" s="3" t="str">
        <x:v>2202020</x:v>
      </x:c>
      <x:c r="B715" s="3" t="str">
        <x:v>SEC008</x:v>
      </x:c>
      <x:c r="C715" s="3" t="n">
        <x:v>6</x:v>
      </x:c>
      <x:c r="D715" s="3" t="str">
        <x:v>absent</x:v>
      </x:c>
      <x:c r="E715" s="5" t="str">
        <x:f>VLOOKUP(B715,Sections!$A$5:$I$45,3,FALSE)</x:f>
        <x:v>2025-1</x:v>
      </x:c>
    </x:row>
    <x:row r="716" ht="21" customHeight="1">
      <x:c r="A716" s="3" t="str">
        <x:v>2202020</x:v>
      </x:c>
      <x:c r="B716" s="3" t="str">
        <x:v>SEC008</x:v>
      </x:c>
      <x:c r="C716" s="3" t="n">
        <x:v>7</x:v>
      </x:c>
      <x:c r="D716" s="3" t="str">
        <x:v>absent</x:v>
      </x:c>
      <x:c r="E716" s="5" t="str">
        <x:f>VLOOKUP(B716,Sections!$A$5:$I$45,3,FALSE)</x:f>
        <x:v>2025-1</x:v>
      </x:c>
    </x:row>
    <x:row r="717" ht="21" customHeight="1">
      <x:c r="A717" s="3" t="str">
        <x:v>2202020</x:v>
      </x:c>
      <x:c r="B717" s="3" t="str">
        <x:v>SEC008</x:v>
      </x:c>
      <x:c r="C717" s="3" t="n">
        <x:v>8</x:v>
      </x:c>
      <x:c r="D717" s="3" t="str">
        <x:v>absent</x:v>
      </x:c>
      <x:c r="E717" s="5" t="str">
        <x:f>VLOOKUP(B717,Sections!$A$5:$I$45,3,FALSE)</x:f>
        <x:v>2025-1</x:v>
      </x:c>
    </x:row>
    <x:row r="718" ht="21" customHeight="1">
      <x:c r="A718" s="3" t="str">
        <x:v>2202020</x:v>
      </x:c>
      <x:c r="B718" s="3" t="str">
        <x:v>SEC008</x:v>
      </x:c>
      <x:c r="C718" s="3" t="n">
        <x:v>9</x:v>
      </x:c>
      <x:c r="D718" s="3" t="str">
        <x:v>present</x:v>
      </x:c>
      <x:c r="E718" s="5" t="str">
        <x:f>VLOOKUP(B718,Sections!$A$5:$I$45,3,FALSE)</x:f>
        <x:v>2025-1</x:v>
      </x:c>
    </x:row>
    <x:row r="719" ht="21" customHeight="1">
      <x:c r="A719" s="3" t="str">
        <x:v>2202020</x:v>
      </x:c>
      <x:c r="B719" s="3" t="str">
        <x:v>SEC008</x:v>
      </x:c>
      <x:c r="C719" s="3" t="n">
        <x:v>10</x:v>
      </x:c>
      <x:c r="D719" s="3" t="str">
        <x:v>excused</x:v>
      </x:c>
      <x:c r="E719" s="5" t="str">
        <x:f>VLOOKUP(B719,Sections!$A$5:$I$45,3,FALSE)</x:f>
        <x:v>2025-1</x:v>
      </x:c>
    </x:row>
    <x:row r="720" ht="21" customHeight="1">
      <x:c r="A720" s="3" t="str">
        <x:v>2202020</x:v>
      </x:c>
      <x:c r="B720" s="3" t="str">
        <x:v>SEC008</x:v>
      </x:c>
      <x:c r="C720" s="3" t="n">
        <x:v>11</x:v>
      </x:c>
      <x:c r="D720" s="3" t="str">
        <x:v>absent</x:v>
      </x:c>
      <x:c r="E720" s="5" t="str">
        <x:f>VLOOKUP(B720,Sections!$A$5:$I$45,3,FALSE)</x:f>
        <x:v>2025-1</x:v>
      </x:c>
    </x:row>
    <x:row r="721" ht="21" customHeight="1">
      <x:c r="A721" s="3" t="str">
        <x:v>2202020</x:v>
      </x:c>
      <x:c r="B721" s="3" t="str">
        <x:v>SEC008</x:v>
      </x:c>
      <x:c r="C721" s="3" t="n">
        <x:v>12</x:v>
      </x:c>
      <x:c r="D721" s="3" t="str">
        <x:v>present</x:v>
      </x:c>
      <x:c r="E721" s="5" t="str">
        <x:f>VLOOKUP(B721,Sections!$A$5:$I$45,3,FALSE)</x:f>
        <x:v>2025-1</x:v>
      </x:c>
    </x:row>
    <x:row r="722" ht="21" customHeight="1">
      <x:c r="A722" s="3" t="str">
        <x:v>2202020</x:v>
      </x:c>
      <x:c r="B722" s="3" t="str">
        <x:v>SEC008</x:v>
      </x:c>
      <x:c r="C722" s="3" t="n">
        <x:v>13</x:v>
      </x:c>
      <x:c r="D722" s="3" t="str">
        <x:v>present</x:v>
      </x:c>
      <x:c r="E722" s="5" t="str">
        <x:f>VLOOKUP(B722,Sections!$A$5:$I$45,3,FALSE)</x:f>
        <x:v>2025-1</x:v>
      </x:c>
    </x:row>
    <x:row r="723" ht="21" customHeight="1">
      <x:c r="A723" s="3" t="str">
        <x:v>2202020</x:v>
      </x:c>
      <x:c r="B723" s="3" t="str">
        <x:v>SEC008</x:v>
      </x:c>
      <x:c r="C723" s="3" t="n">
        <x:v>14</x:v>
      </x:c>
      <x:c r="D723" s="3" t="str">
        <x:v>present</x:v>
      </x:c>
      <x:c r="E723" s="5" t="str">
        <x:f>VLOOKUP(B723,Sections!$A$5:$I$45,3,FALSE)</x:f>
        <x:v>2025-1</x:v>
      </x:c>
    </x:row>
    <x:row r="724" ht="21" customHeight="1">
      <x:c r="A724" s="3" t="str">
        <x:v>2202020</x:v>
      </x:c>
      <x:c r="B724" s="3" t="str">
        <x:v>SEC008</x:v>
      </x:c>
      <x:c r="C724" s="3" t="n">
        <x:v>15</x:v>
      </x:c>
      <x:c r="D724" s="3" t="str">
        <x:v>absent</x:v>
      </x:c>
      <x:c r="E724" s="5" t="str">
        <x:f>VLOOKUP(B724,Sections!$A$5:$I$45,3,FALSE)</x:f>
        <x:v>2025-1</x:v>
      </x:c>
    </x:row>
    <x:row r="725" ht="21" customHeight="1">
      <x:c r="A725" s="3" t="str">
        <x:v>2202001</x:v>
      </x:c>
      <x:c r="B725" s="3" t="str">
        <x:v>SEC009</x:v>
      </x:c>
      <x:c r="C725" s="3" t="n">
        <x:v>1</x:v>
      </x:c>
      <x:c r="D725" s="3" t="str">
        <x:v>present</x:v>
      </x:c>
      <x:c r="E725" s="5" t="str">
        <x:f>VLOOKUP(B725,Sections!$A$5:$I$45,3,FALSE)</x:f>
        <x:v>2024-2</x:v>
      </x:c>
    </x:row>
    <x:row r="726" ht="21" customHeight="1">
      <x:c r="A726" s="3" t="str">
        <x:v>2202001</x:v>
      </x:c>
      <x:c r="B726" s="3" t="str">
        <x:v>SEC009</x:v>
      </x:c>
      <x:c r="C726" s="3" t="n">
        <x:v>2</x:v>
      </x:c>
      <x:c r="D726" s="3" t="str">
        <x:v>present</x:v>
      </x:c>
      <x:c r="E726" s="5" t="str">
        <x:f>VLOOKUP(B726,Sections!$A$5:$I$45,3,FALSE)</x:f>
        <x:v>2024-2</x:v>
      </x:c>
    </x:row>
    <x:row r="727" ht="21" customHeight="1">
      <x:c r="A727" s="3" t="str">
        <x:v>2202001</x:v>
      </x:c>
      <x:c r="B727" s="3" t="str">
        <x:v>SEC009</x:v>
      </x:c>
      <x:c r="C727" s="3" t="n">
        <x:v>3</x:v>
      </x:c>
      <x:c r="D727" s="3" t="str">
        <x:v>excused</x:v>
      </x:c>
      <x:c r="E727" s="5" t="str">
        <x:f>VLOOKUP(B727,Sections!$A$5:$I$45,3,FALSE)</x:f>
        <x:v>2024-2</x:v>
      </x:c>
    </x:row>
    <x:row r="728" ht="21" customHeight="1">
      <x:c r="A728" s="3" t="str">
        <x:v>2202001</x:v>
      </x:c>
      <x:c r="B728" s="3" t="str">
        <x:v>SEC009</x:v>
      </x:c>
      <x:c r="C728" s="3" t="n">
        <x:v>4</x:v>
      </x:c>
      <x:c r="D728" s="3" t="str">
        <x:v>excused</x:v>
      </x:c>
      <x:c r="E728" s="5" t="str">
        <x:f>VLOOKUP(B728,Sections!$A$5:$I$45,3,FALSE)</x:f>
        <x:v>2024-2</x:v>
      </x:c>
    </x:row>
    <x:row r="729" ht="21" customHeight="1">
      <x:c r="A729" s="3" t="str">
        <x:v>2202001</x:v>
      </x:c>
      <x:c r="B729" s="3" t="str">
        <x:v>SEC009</x:v>
      </x:c>
      <x:c r="C729" s="3" t="n">
        <x:v>5</x:v>
      </x:c>
      <x:c r="D729" s="3" t="str">
        <x:v>excused</x:v>
      </x:c>
      <x:c r="E729" s="5" t="str">
        <x:f>VLOOKUP(B729,Sections!$A$5:$I$45,3,FALSE)</x:f>
        <x:v>2024-2</x:v>
      </x:c>
    </x:row>
    <x:row r="730" ht="21" customHeight="1">
      <x:c r="A730" s="3" t="str">
        <x:v>2202001</x:v>
      </x:c>
      <x:c r="B730" s="3" t="str">
        <x:v>SEC009</x:v>
      </x:c>
      <x:c r="C730" s="3" t="n">
        <x:v>6</x:v>
      </x:c>
      <x:c r="D730" s="3" t="str">
        <x:v>present</x:v>
      </x:c>
      <x:c r="E730" s="5" t="str">
        <x:f>VLOOKUP(B730,Sections!$A$5:$I$45,3,FALSE)</x:f>
        <x:v>2024-2</x:v>
      </x:c>
    </x:row>
    <x:row r="731" ht="21" customHeight="1">
      <x:c r="A731" s="3" t="str">
        <x:v>2202001</x:v>
      </x:c>
      <x:c r="B731" s="3" t="str">
        <x:v>SEC009</x:v>
      </x:c>
      <x:c r="C731" s="3" t="n">
        <x:v>7</x:v>
      </x:c>
      <x:c r="D731" s="3" t="str">
        <x:v>present</x:v>
      </x:c>
      <x:c r="E731" s="5" t="str">
        <x:f>VLOOKUP(B731,Sections!$A$5:$I$45,3,FALSE)</x:f>
        <x:v>2024-2</x:v>
      </x:c>
    </x:row>
    <x:row r="732" ht="21" customHeight="1">
      <x:c r="A732" s="3" t="str">
        <x:v>2202001</x:v>
      </x:c>
      <x:c r="B732" s="3" t="str">
        <x:v>SEC009</x:v>
      </x:c>
      <x:c r="C732" s="3" t="n">
        <x:v>8</x:v>
      </x:c>
      <x:c r="D732" s="3" t="str">
        <x:v>present</x:v>
      </x:c>
      <x:c r="E732" s="5" t="str">
        <x:f>VLOOKUP(B732,Sections!$A$5:$I$45,3,FALSE)</x:f>
        <x:v>2024-2</x:v>
      </x:c>
    </x:row>
    <x:row r="733" ht="21" customHeight="1">
      <x:c r="A733" s="3" t="str">
        <x:v>2202001</x:v>
      </x:c>
      <x:c r="B733" s="3" t="str">
        <x:v>SEC009</x:v>
      </x:c>
      <x:c r="C733" s="3" t="n">
        <x:v>9</x:v>
      </x:c>
      <x:c r="D733" s="3" t="str">
        <x:v>present</x:v>
      </x:c>
      <x:c r="E733" s="5" t="str">
        <x:f>VLOOKUP(B733,Sections!$A$5:$I$45,3,FALSE)</x:f>
        <x:v>2024-2</x:v>
      </x:c>
    </x:row>
    <x:row r="734" ht="21" customHeight="1">
      <x:c r="A734" s="3" t="str">
        <x:v>2202001</x:v>
      </x:c>
      <x:c r="B734" s="3" t="str">
        <x:v>SEC009</x:v>
      </x:c>
      <x:c r="C734" s="3" t="n">
        <x:v>10</x:v>
      </x:c>
      <x:c r="D734" s="3" t="str">
        <x:v>present</x:v>
      </x:c>
      <x:c r="E734" s="5" t="str">
        <x:f>VLOOKUP(B734,Sections!$A$5:$I$45,3,FALSE)</x:f>
        <x:v>2024-2</x:v>
      </x:c>
    </x:row>
    <x:row r="735" ht="21" customHeight="1">
      <x:c r="A735" s="3" t="str">
        <x:v>2202001</x:v>
      </x:c>
      <x:c r="B735" s="3" t="str">
        <x:v>SEC009</x:v>
      </x:c>
      <x:c r="C735" s="3" t="n">
        <x:v>11</x:v>
      </x:c>
      <x:c r="D735" s="3" t="str">
        <x:v>present</x:v>
      </x:c>
      <x:c r="E735" s="5" t="str">
        <x:f>VLOOKUP(B735,Sections!$A$5:$I$45,3,FALSE)</x:f>
        <x:v>2024-2</x:v>
      </x:c>
    </x:row>
    <x:row r="736" ht="21" customHeight="1">
      <x:c r="A736" s="3" t="str">
        <x:v>2202001</x:v>
      </x:c>
      <x:c r="B736" s="3" t="str">
        <x:v>SEC009</x:v>
      </x:c>
      <x:c r="C736" s="3" t="n">
        <x:v>12</x:v>
      </x:c>
      <x:c r="D736" s="3" t="str">
        <x:v>present</x:v>
      </x:c>
      <x:c r="E736" s="5" t="str">
        <x:f>VLOOKUP(B736,Sections!$A$5:$I$45,3,FALSE)</x:f>
        <x:v>2024-2</x:v>
      </x:c>
    </x:row>
    <x:row r="737" ht="21" customHeight="1">
      <x:c r="A737" s="3" t="str">
        <x:v>2202001</x:v>
      </x:c>
      <x:c r="B737" s="3" t="str">
        <x:v>SEC009</x:v>
      </x:c>
      <x:c r="C737" s="3" t="n">
        <x:v>13</x:v>
      </x:c>
      <x:c r="D737" s="3" t="str">
        <x:v>present</x:v>
      </x:c>
      <x:c r="E737" s="5" t="str">
        <x:f>VLOOKUP(B737,Sections!$A$5:$I$45,3,FALSE)</x:f>
        <x:v>2024-2</x:v>
      </x:c>
    </x:row>
    <x:row r="738" ht="21" customHeight="1">
      <x:c r="A738" s="3" t="str">
        <x:v>2202001</x:v>
      </x:c>
      <x:c r="B738" s="3" t="str">
        <x:v>SEC009</x:v>
      </x:c>
      <x:c r="C738" s="3" t="n">
        <x:v>14</x:v>
      </x:c>
      <x:c r="D738" s="3" t="str">
        <x:v>present</x:v>
      </x:c>
      <x:c r="E738" s="5" t="str">
        <x:f>VLOOKUP(B738,Sections!$A$5:$I$45,3,FALSE)</x:f>
        <x:v>2024-2</x:v>
      </x:c>
    </x:row>
    <x:row r="739" ht="21" customHeight="1">
      <x:c r="A739" s="3" t="str">
        <x:v>2202001</x:v>
      </x:c>
      <x:c r="B739" s="3" t="str">
        <x:v>SEC009</x:v>
      </x:c>
      <x:c r="C739" s="3" t="n">
        <x:v>15</x:v>
      </x:c>
      <x:c r="D739" s="3" t="str">
        <x:v>excused</x:v>
      </x:c>
      <x:c r="E739" s="5" t="str">
        <x:f>VLOOKUP(B739,Sections!$A$5:$I$45,3,FALSE)</x:f>
        <x:v>2024-2</x:v>
      </x:c>
    </x:row>
    <x:row r="740" ht="21" customHeight="1">
      <x:c r="A740" s="3" t="str">
        <x:v>2202002</x:v>
      </x:c>
      <x:c r="B740" s="3" t="str">
        <x:v>SEC009</x:v>
      </x:c>
      <x:c r="C740" s="3" t="n">
        <x:v>1</x:v>
      </x:c>
      <x:c r="D740" s="3" t="str">
        <x:v>present</x:v>
      </x:c>
      <x:c r="E740" s="5" t="str">
        <x:f>VLOOKUP(B740,Sections!$A$5:$I$45,3,FALSE)</x:f>
        <x:v>2024-2</x:v>
      </x:c>
    </x:row>
    <x:row r="741" ht="21" customHeight="1">
      <x:c r="A741" s="3" t="str">
        <x:v>2202002</x:v>
      </x:c>
      <x:c r="B741" s="3" t="str">
        <x:v>SEC009</x:v>
      </x:c>
      <x:c r="C741" s="3" t="n">
        <x:v>2</x:v>
      </x:c>
      <x:c r="D741" s="3" t="str">
        <x:v>excused</x:v>
      </x:c>
      <x:c r="E741" s="5" t="str">
        <x:f>VLOOKUP(B741,Sections!$A$5:$I$45,3,FALSE)</x:f>
        <x:v>2024-2</x:v>
      </x:c>
    </x:row>
    <x:row r="742" ht="21" customHeight="1">
      <x:c r="A742" s="3" t="str">
        <x:v>2202002</x:v>
      </x:c>
      <x:c r="B742" s="3" t="str">
        <x:v>SEC009</x:v>
      </x:c>
      <x:c r="C742" s="3" t="n">
        <x:v>3</x:v>
      </x:c>
      <x:c r="D742" s="3" t="str">
        <x:v>present</x:v>
      </x:c>
      <x:c r="E742" s="5" t="str">
        <x:f>VLOOKUP(B742,Sections!$A$5:$I$45,3,FALSE)</x:f>
        <x:v>2024-2</x:v>
      </x:c>
    </x:row>
    <x:row r="743" ht="21" customHeight="1">
      <x:c r="A743" s="3" t="str">
        <x:v>2202002</x:v>
      </x:c>
      <x:c r="B743" s="3" t="str">
        <x:v>SEC009</x:v>
      </x:c>
      <x:c r="C743" s="3" t="n">
        <x:v>4</x:v>
      </x:c>
      <x:c r="D743" s="3" t="str">
        <x:v>present</x:v>
      </x:c>
      <x:c r="E743" s="5" t="str">
        <x:f>VLOOKUP(B743,Sections!$A$5:$I$45,3,FALSE)</x:f>
        <x:v>2024-2</x:v>
      </x:c>
    </x:row>
    <x:row r="744" ht="21" customHeight="1">
      <x:c r="A744" s="3" t="str">
        <x:v>2202002</x:v>
      </x:c>
      <x:c r="B744" s="3" t="str">
        <x:v>SEC009</x:v>
      </x:c>
      <x:c r="C744" s="3" t="n">
        <x:v>5</x:v>
      </x:c>
      <x:c r="D744" s="3" t="str">
        <x:v>present</x:v>
      </x:c>
      <x:c r="E744" s="5" t="str">
        <x:f>VLOOKUP(B744,Sections!$A$5:$I$45,3,FALSE)</x:f>
        <x:v>2024-2</x:v>
      </x:c>
    </x:row>
    <x:row r="745" ht="21" customHeight="1">
      <x:c r="A745" s="3" t="str">
        <x:v>2202002</x:v>
      </x:c>
      <x:c r="B745" s="3" t="str">
        <x:v>SEC009</x:v>
      </x:c>
      <x:c r="C745" s="3" t="n">
        <x:v>6</x:v>
      </x:c>
      <x:c r="D745" s="3" t="str">
        <x:v>present</x:v>
      </x:c>
      <x:c r="E745" s="5" t="str">
        <x:f>VLOOKUP(B745,Sections!$A$5:$I$45,3,FALSE)</x:f>
        <x:v>2024-2</x:v>
      </x:c>
    </x:row>
    <x:row r="746" ht="21" customHeight="1">
      <x:c r="A746" s="3" t="str">
        <x:v>2202002</x:v>
      </x:c>
      <x:c r="B746" s="3" t="str">
        <x:v>SEC009</x:v>
      </x:c>
      <x:c r="C746" s="3" t="n">
        <x:v>7</x:v>
      </x:c>
      <x:c r="D746" s="3" t="str">
        <x:v>present</x:v>
      </x:c>
      <x:c r="E746" s="5" t="str">
        <x:f>VLOOKUP(B746,Sections!$A$5:$I$45,3,FALSE)</x:f>
        <x:v>2024-2</x:v>
      </x:c>
    </x:row>
    <x:row r="747" ht="21" customHeight="1">
      <x:c r="A747" s="3" t="str">
        <x:v>2202002</x:v>
      </x:c>
      <x:c r="B747" s="3" t="str">
        <x:v>SEC009</x:v>
      </x:c>
      <x:c r="C747" s="3" t="n">
        <x:v>8</x:v>
      </x:c>
      <x:c r="D747" s="3" t="str">
        <x:v>present</x:v>
      </x:c>
      <x:c r="E747" s="5" t="str">
        <x:f>VLOOKUP(B747,Sections!$A$5:$I$45,3,FALSE)</x:f>
        <x:v>2024-2</x:v>
      </x:c>
    </x:row>
    <x:row r="748" ht="21" customHeight="1">
      <x:c r="A748" s="3" t="str">
        <x:v>2202002</x:v>
      </x:c>
      <x:c r="B748" s="3" t="str">
        <x:v>SEC009</x:v>
      </x:c>
      <x:c r="C748" s="3" t="n">
        <x:v>9</x:v>
      </x:c>
      <x:c r="D748" s="3" t="str">
        <x:v>present</x:v>
      </x:c>
      <x:c r="E748" s="5" t="str">
        <x:f>VLOOKUP(B748,Sections!$A$5:$I$45,3,FALSE)</x:f>
        <x:v>2024-2</x:v>
      </x:c>
    </x:row>
    <x:row r="749" ht="21" customHeight="1">
      <x:c r="A749" s="3" t="str">
        <x:v>2202002</x:v>
      </x:c>
      <x:c r="B749" s="3" t="str">
        <x:v>SEC009</x:v>
      </x:c>
      <x:c r="C749" s="3" t="n">
        <x:v>10</x:v>
      </x:c>
      <x:c r="D749" s="3" t="str">
        <x:v>present</x:v>
      </x:c>
      <x:c r="E749" s="5" t="str">
        <x:f>VLOOKUP(B749,Sections!$A$5:$I$45,3,FALSE)</x:f>
        <x:v>2024-2</x:v>
      </x:c>
    </x:row>
    <x:row r="750" ht="21" customHeight="1">
      <x:c r="A750" s="3" t="str">
        <x:v>2202002</x:v>
      </x:c>
      <x:c r="B750" s="3" t="str">
        <x:v>SEC009</x:v>
      </x:c>
      <x:c r="C750" s="3" t="n">
        <x:v>11</x:v>
      </x:c>
      <x:c r="D750" s="3" t="str">
        <x:v>present</x:v>
      </x:c>
      <x:c r="E750" s="5" t="str">
        <x:f>VLOOKUP(B750,Sections!$A$5:$I$45,3,FALSE)</x:f>
        <x:v>2024-2</x:v>
      </x:c>
    </x:row>
    <x:row r="751" ht="21" customHeight="1">
      <x:c r="A751" s="3" t="str">
        <x:v>2202002</x:v>
      </x:c>
      <x:c r="B751" s="3" t="str">
        <x:v>SEC009</x:v>
      </x:c>
      <x:c r="C751" s="3" t="n">
        <x:v>12</x:v>
      </x:c>
      <x:c r="D751" s="3" t="str">
        <x:v>present</x:v>
      </x:c>
      <x:c r="E751" s="5" t="str">
        <x:f>VLOOKUP(B751,Sections!$A$5:$I$45,3,FALSE)</x:f>
        <x:v>2024-2</x:v>
      </x:c>
    </x:row>
    <x:row r="752" ht="21" customHeight="1">
      <x:c r="A752" s="3" t="str">
        <x:v>2202002</x:v>
      </x:c>
      <x:c r="B752" s="3" t="str">
        <x:v>SEC009</x:v>
      </x:c>
      <x:c r="C752" s="3" t="n">
        <x:v>13</x:v>
      </x:c>
      <x:c r="D752" s="3" t="str">
        <x:v>late</x:v>
      </x:c>
      <x:c r="E752" s="5" t="str">
        <x:f>VLOOKUP(B752,Sections!$A$5:$I$45,3,FALSE)</x:f>
        <x:v>2024-2</x:v>
      </x:c>
    </x:row>
    <x:row r="753" ht="21" customHeight="1">
      <x:c r="A753" s="3" t="str">
        <x:v>2202002</x:v>
      </x:c>
      <x:c r="B753" s="3" t="str">
        <x:v>SEC009</x:v>
      </x:c>
      <x:c r="C753" s="3" t="n">
        <x:v>14</x:v>
      </x:c>
      <x:c r="D753" s="3" t="str">
        <x:v>present</x:v>
      </x:c>
      <x:c r="E753" s="5" t="str">
        <x:f>VLOOKUP(B753,Sections!$A$5:$I$45,3,FALSE)</x:f>
        <x:v>2024-2</x:v>
      </x:c>
    </x:row>
    <x:row r="754" ht="21" customHeight="1">
      <x:c r="A754" s="3" t="str">
        <x:v>2202002</x:v>
      </x:c>
      <x:c r="B754" s="3" t="str">
        <x:v>SEC009</x:v>
      </x:c>
      <x:c r="C754" s="3" t="n">
        <x:v>15</x:v>
      </x:c>
      <x:c r="D754" s="3" t="str">
        <x:v>present</x:v>
      </x:c>
      <x:c r="E754" s="5" t="str">
        <x:f>VLOOKUP(B754,Sections!$A$5:$I$45,3,FALSE)</x:f>
        <x:v>2024-2</x:v>
      </x:c>
    </x:row>
    <x:row r="755" ht="21" customHeight="1">
      <x:c r="A755" s="3" t="str">
        <x:v>2202003</x:v>
      </x:c>
      <x:c r="B755" s="3" t="str">
        <x:v>SEC009</x:v>
      </x:c>
      <x:c r="C755" s="3" t="n">
        <x:v>1</x:v>
      </x:c>
      <x:c r="D755" s="3" t="str">
        <x:v>present</x:v>
      </x:c>
      <x:c r="E755" s="5" t="str">
        <x:f>VLOOKUP(B755,Sections!$A$5:$I$45,3,FALSE)</x:f>
        <x:v>2024-2</x:v>
      </x:c>
    </x:row>
    <x:row r="756" ht="21" customHeight="1">
      <x:c r="A756" s="3" t="str">
        <x:v>2202003</x:v>
      </x:c>
      <x:c r="B756" s="3" t="str">
        <x:v>SEC009</x:v>
      </x:c>
      <x:c r="C756" s="3" t="n">
        <x:v>2</x:v>
      </x:c>
      <x:c r="D756" s="3" t="str">
        <x:v>present</x:v>
      </x:c>
      <x:c r="E756" s="5" t="str">
        <x:f>VLOOKUP(B756,Sections!$A$5:$I$45,3,FALSE)</x:f>
        <x:v>2024-2</x:v>
      </x:c>
    </x:row>
    <x:row r="757" ht="21" customHeight="1">
      <x:c r="A757" s="3" t="str">
        <x:v>2202003</x:v>
      </x:c>
      <x:c r="B757" s="3" t="str">
        <x:v>SEC009</x:v>
      </x:c>
      <x:c r="C757" s="3" t="n">
        <x:v>3</x:v>
      </x:c>
      <x:c r="D757" s="3" t="str">
        <x:v>present</x:v>
      </x:c>
      <x:c r="E757" s="5" t="str">
        <x:f>VLOOKUP(B757,Sections!$A$5:$I$45,3,FALSE)</x:f>
        <x:v>2024-2</x:v>
      </x:c>
    </x:row>
    <x:row r="758" ht="21" customHeight="1">
      <x:c r="A758" s="3" t="str">
        <x:v>2202003</x:v>
      </x:c>
      <x:c r="B758" s="3" t="str">
        <x:v>SEC009</x:v>
      </x:c>
      <x:c r="C758" s="3" t="n">
        <x:v>4</x:v>
      </x:c>
      <x:c r="D758" s="3" t="str">
        <x:v>late</x:v>
      </x:c>
      <x:c r="E758" s="5" t="str">
        <x:f>VLOOKUP(B758,Sections!$A$5:$I$45,3,FALSE)</x:f>
        <x:v>2024-2</x:v>
      </x:c>
    </x:row>
    <x:row r="759" ht="21" customHeight="1">
      <x:c r="A759" s="3" t="str">
        <x:v>2202003</x:v>
      </x:c>
      <x:c r="B759" s="3" t="str">
        <x:v>SEC009</x:v>
      </x:c>
      <x:c r="C759" s="3" t="n">
        <x:v>5</x:v>
      </x:c>
      <x:c r="D759" s="3" t="str">
        <x:v>present</x:v>
      </x:c>
      <x:c r="E759" s="5" t="str">
        <x:f>VLOOKUP(B759,Sections!$A$5:$I$45,3,FALSE)</x:f>
        <x:v>2024-2</x:v>
      </x:c>
    </x:row>
    <x:row r="760" ht="21" customHeight="1">
      <x:c r="A760" s="3" t="str">
        <x:v>2202003</x:v>
      </x:c>
      <x:c r="B760" s="3" t="str">
        <x:v>SEC009</x:v>
      </x:c>
      <x:c r="C760" s="3" t="n">
        <x:v>6</x:v>
      </x:c>
      <x:c r="D760" s="3" t="str">
        <x:v>present</x:v>
      </x:c>
      <x:c r="E760" s="5" t="str">
        <x:f>VLOOKUP(B760,Sections!$A$5:$I$45,3,FALSE)</x:f>
        <x:v>2024-2</x:v>
      </x:c>
    </x:row>
    <x:row r="761" ht="21" customHeight="1">
      <x:c r="A761" s="3" t="str">
        <x:v>2202003</x:v>
      </x:c>
      <x:c r="B761" s="3" t="str">
        <x:v>SEC009</x:v>
      </x:c>
      <x:c r="C761" s="3" t="n">
        <x:v>7</x:v>
      </x:c>
      <x:c r="D761" s="3" t="str">
        <x:v>present</x:v>
      </x:c>
      <x:c r="E761" s="5" t="str">
        <x:f>VLOOKUP(B761,Sections!$A$5:$I$45,3,FALSE)</x:f>
        <x:v>2024-2</x:v>
      </x:c>
    </x:row>
    <x:row r="762" ht="21" customHeight="1">
      <x:c r="A762" s="3" t="str">
        <x:v>2202003</x:v>
      </x:c>
      <x:c r="B762" s="3" t="str">
        <x:v>SEC009</x:v>
      </x:c>
      <x:c r="C762" s="3" t="n">
        <x:v>8</x:v>
      </x:c>
      <x:c r="D762" s="3" t="str">
        <x:v>late</x:v>
      </x:c>
      <x:c r="E762" s="5" t="str">
        <x:f>VLOOKUP(B762,Sections!$A$5:$I$45,3,FALSE)</x:f>
        <x:v>2024-2</x:v>
      </x:c>
    </x:row>
    <x:row r="763" ht="21" customHeight="1">
      <x:c r="A763" s="3" t="str">
        <x:v>2202003</x:v>
      </x:c>
      <x:c r="B763" s="3" t="str">
        <x:v>SEC009</x:v>
      </x:c>
      <x:c r="C763" s="3" t="n">
        <x:v>9</x:v>
      </x:c>
      <x:c r="D763" s="3" t="str">
        <x:v>present</x:v>
      </x:c>
      <x:c r="E763" s="5" t="str">
        <x:f>VLOOKUP(B763,Sections!$A$5:$I$45,3,FALSE)</x:f>
        <x:v>2024-2</x:v>
      </x:c>
    </x:row>
    <x:row r="764" ht="21" customHeight="1">
      <x:c r="A764" s="3" t="str">
        <x:v>2202003</x:v>
      </x:c>
      <x:c r="B764" s="3" t="str">
        <x:v>SEC009</x:v>
      </x:c>
      <x:c r="C764" s="3" t="n">
        <x:v>10</x:v>
      </x:c>
      <x:c r="D764" s="3" t="str">
        <x:v>present</x:v>
      </x:c>
      <x:c r="E764" s="5" t="str">
        <x:f>VLOOKUP(B764,Sections!$A$5:$I$45,3,FALSE)</x:f>
        <x:v>2024-2</x:v>
      </x:c>
    </x:row>
    <x:row r="765" ht="21" customHeight="1">
      <x:c r="A765" s="3" t="str">
        <x:v>2202003</x:v>
      </x:c>
      <x:c r="B765" s="3" t="str">
        <x:v>SEC009</x:v>
      </x:c>
      <x:c r="C765" s="3" t="n">
        <x:v>11</x:v>
      </x:c>
      <x:c r="D765" s="3" t="str">
        <x:v>present</x:v>
      </x:c>
      <x:c r="E765" s="5" t="str">
        <x:f>VLOOKUP(B765,Sections!$A$5:$I$45,3,FALSE)</x:f>
        <x:v>2024-2</x:v>
      </x:c>
    </x:row>
    <x:row r="766" ht="21" customHeight="1">
      <x:c r="A766" s="3" t="str">
        <x:v>2202003</x:v>
      </x:c>
      <x:c r="B766" s="3" t="str">
        <x:v>SEC009</x:v>
      </x:c>
      <x:c r="C766" s="3" t="n">
        <x:v>12</x:v>
      </x:c>
      <x:c r="D766" s="3" t="str">
        <x:v>present</x:v>
      </x:c>
      <x:c r="E766" s="5" t="str">
        <x:f>VLOOKUP(B766,Sections!$A$5:$I$45,3,FALSE)</x:f>
        <x:v>2024-2</x:v>
      </x:c>
    </x:row>
    <x:row r="767" ht="21" customHeight="1">
      <x:c r="A767" s="3" t="str">
        <x:v>2202003</x:v>
      </x:c>
      <x:c r="B767" s="3" t="str">
        <x:v>SEC009</x:v>
      </x:c>
      <x:c r="C767" s="3" t="n">
        <x:v>13</x:v>
      </x:c>
      <x:c r="D767" s="3" t="str">
        <x:v>present</x:v>
      </x:c>
      <x:c r="E767" s="5" t="str">
        <x:f>VLOOKUP(B767,Sections!$A$5:$I$45,3,FALSE)</x:f>
        <x:v>2024-2</x:v>
      </x:c>
    </x:row>
    <x:row r="768" ht="21" customHeight="1">
      <x:c r="A768" s="3" t="str">
        <x:v>2202003</x:v>
      </x:c>
      <x:c r="B768" s="3" t="str">
        <x:v>SEC009</x:v>
      </x:c>
      <x:c r="C768" s="3" t="n">
        <x:v>14</x:v>
      </x:c>
      <x:c r="D768" s="3" t="str">
        <x:v>present</x:v>
      </x:c>
      <x:c r="E768" s="5" t="str">
        <x:f>VLOOKUP(B768,Sections!$A$5:$I$45,3,FALSE)</x:f>
        <x:v>2024-2</x:v>
      </x:c>
    </x:row>
    <x:row r="769" ht="21" customHeight="1">
      <x:c r="A769" s="3" t="str">
        <x:v>2202003</x:v>
      </x:c>
      <x:c r="B769" s="3" t="str">
        <x:v>SEC009</x:v>
      </x:c>
      <x:c r="C769" s="3" t="n">
        <x:v>15</x:v>
      </x:c>
      <x:c r="D769" s="3" t="str">
        <x:v>present</x:v>
      </x:c>
      <x:c r="E769" s="5" t="str">
        <x:f>VLOOKUP(B769,Sections!$A$5:$I$45,3,FALSE)</x:f>
        <x:v>2024-2</x:v>
      </x:c>
    </x:row>
    <x:row r="770" ht="21" customHeight="1">
      <x:c r="A770" s="3" t="str">
        <x:v>2202004</x:v>
      </x:c>
      <x:c r="B770" s="3" t="str">
        <x:v>SEC009</x:v>
      </x:c>
      <x:c r="C770" s="3" t="n">
        <x:v>1</x:v>
      </x:c>
      <x:c r="D770" s="3" t="str">
        <x:v>present</x:v>
      </x:c>
      <x:c r="E770" s="5" t="str">
        <x:f>VLOOKUP(B770,Sections!$A$5:$I$45,3,FALSE)</x:f>
        <x:v>2024-2</x:v>
      </x:c>
    </x:row>
    <x:row r="771" ht="21" customHeight="1">
      <x:c r="A771" s="3" t="str">
        <x:v>2202004</x:v>
      </x:c>
      <x:c r="B771" s="3" t="str">
        <x:v>SEC009</x:v>
      </x:c>
      <x:c r="C771" s="3" t="n">
        <x:v>2</x:v>
      </x:c>
      <x:c r="D771" s="3" t="str">
        <x:v>present</x:v>
      </x:c>
      <x:c r="E771" s="5" t="str">
        <x:f>VLOOKUP(B771,Sections!$A$5:$I$45,3,FALSE)</x:f>
        <x:v>2024-2</x:v>
      </x:c>
    </x:row>
    <x:row r="772" ht="21" customHeight="1">
      <x:c r="A772" s="3" t="str">
        <x:v>2202004</x:v>
      </x:c>
      <x:c r="B772" s="3" t="str">
        <x:v>SEC009</x:v>
      </x:c>
      <x:c r="C772" s="3" t="n">
        <x:v>3</x:v>
      </x:c>
      <x:c r="D772" s="3" t="str">
        <x:v>present</x:v>
      </x:c>
      <x:c r="E772" s="5" t="str">
        <x:f>VLOOKUP(B772,Sections!$A$5:$I$45,3,FALSE)</x:f>
        <x:v>2024-2</x:v>
      </x:c>
    </x:row>
    <x:row r="773" ht="21" customHeight="1">
      <x:c r="A773" s="3" t="str">
        <x:v>2202004</x:v>
      </x:c>
      <x:c r="B773" s="3" t="str">
        <x:v>SEC009</x:v>
      </x:c>
      <x:c r="C773" s="3" t="n">
        <x:v>4</x:v>
      </x:c>
      <x:c r="D773" s="3" t="str">
        <x:v>present</x:v>
      </x:c>
      <x:c r="E773" s="5" t="str">
        <x:f>VLOOKUP(B773,Sections!$A$5:$I$45,3,FALSE)</x:f>
        <x:v>2024-2</x:v>
      </x:c>
    </x:row>
    <x:row r="774" ht="21" customHeight="1">
      <x:c r="A774" s="3" t="str">
        <x:v>2202004</x:v>
      </x:c>
      <x:c r="B774" s="3" t="str">
        <x:v>SEC009</x:v>
      </x:c>
      <x:c r="C774" s="3" t="n">
        <x:v>5</x:v>
      </x:c>
      <x:c r="D774" s="3" t="str">
        <x:v>present</x:v>
      </x:c>
      <x:c r="E774" s="5" t="str">
        <x:f>VLOOKUP(B774,Sections!$A$5:$I$45,3,FALSE)</x:f>
        <x:v>2024-2</x:v>
      </x:c>
    </x:row>
    <x:row r="775" ht="21" customHeight="1">
      <x:c r="A775" s="3" t="str">
        <x:v>2202004</x:v>
      </x:c>
      <x:c r="B775" s="3" t="str">
        <x:v>SEC009</x:v>
      </x:c>
      <x:c r="C775" s="3" t="n">
        <x:v>6</x:v>
      </x:c>
      <x:c r="D775" s="3" t="str">
        <x:v>present</x:v>
      </x:c>
      <x:c r="E775" s="5" t="str">
        <x:f>VLOOKUP(B775,Sections!$A$5:$I$45,3,FALSE)</x:f>
        <x:v>2024-2</x:v>
      </x:c>
    </x:row>
    <x:row r="776" ht="21" customHeight="1">
      <x:c r="A776" s="3" t="str">
        <x:v>2202004</x:v>
      </x:c>
      <x:c r="B776" s="3" t="str">
        <x:v>SEC009</x:v>
      </x:c>
      <x:c r="C776" s="3" t="n">
        <x:v>7</x:v>
      </x:c>
      <x:c r="D776" s="3" t="str">
        <x:v>present</x:v>
      </x:c>
      <x:c r="E776" s="5" t="str">
        <x:f>VLOOKUP(B776,Sections!$A$5:$I$45,3,FALSE)</x:f>
        <x:v>2024-2</x:v>
      </x:c>
    </x:row>
    <x:row r="777" ht="21" customHeight="1">
      <x:c r="A777" s="3" t="str">
        <x:v>2202004</x:v>
      </x:c>
      <x:c r="B777" s="3" t="str">
        <x:v>SEC009</x:v>
      </x:c>
      <x:c r="C777" s="3" t="n">
        <x:v>8</x:v>
      </x:c>
      <x:c r="D777" s="3" t="str">
        <x:v>present</x:v>
      </x:c>
      <x:c r="E777" s="5" t="str">
        <x:f>VLOOKUP(B777,Sections!$A$5:$I$45,3,FALSE)</x:f>
        <x:v>2024-2</x:v>
      </x:c>
    </x:row>
    <x:row r="778" ht="21" customHeight="1">
      <x:c r="A778" s="3" t="str">
        <x:v>2202004</x:v>
      </x:c>
      <x:c r="B778" s="3" t="str">
        <x:v>SEC009</x:v>
      </x:c>
      <x:c r="C778" s="3" t="n">
        <x:v>9</x:v>
      </x:c>
      <x:c r="D778" s="3" t="str">
        <x:v>present</x:v>
      </x:c>
      <x:c r="E778" s="5" t="str">
        <x:f>VLOOKUP(B778,Sections!$A$5:$I$45,3,FALSE)</x:f>
        <x:v>2024-2</x:v>
      </x:c>
    </x:row>
    <x:row r="779" ht="21" customHeight="1">
      <x:c r="A779" s="3" t="str">
        <x:v>2202004</x:v>
      </x:c>
      <x:c r="B779" s="3" t="str">
        <x:v>SEC009</x:v>
      </x:c>
      <x:c r="C779" s="3" t="n">
        <x:v>10</x:v>
      </x:c>
      <x:c r="D779" s="3" t="str">
        <x:v>present</x:v>
      </x:c>
      <x:c r="E779" s="5" t="str">
        <x:f>VLOOKUP(B779,Sections!$A$5:$I$45,3,FALSE)</x:f>
        <x:v>2024-2</x:v>
      </x:c>
    </x:row>
    <x:row r="780" ht="21" customHeight="1">
      <x:c r="A780" s="3" t="str">
        <x:v>2202004</x:v>
      </x:c>
      <x:c r="B780" s="3" t="str">
        <x:v>SEC009</x:v>
      </x:c>
      <x:c r="C780" s="3" t="n">
        <x:v>11</x:v>
      </x:c>
      <x:c r="D780" s="3" t="str">
        <x:v>present</x:v>
      </x:c>
      <x:c r="E780" s="5" t="str">
        <x:f>VLOOKUP(B780,Sections!$A$5:$I$45,3,FALSE)</x:f>
        <x:v>2024-2</x:v>
      </x:c>
    </x:row>
    <x:row r="781" ht="21" customHeight="1">
      <x:c r="A781" s="3" t="str">
        <x:v>2202004</x:v>
      </x:c>
      <x:c r="B781" s="3" t="str">
        <x:v>SEC009</x:v>
      </x:c>
      <x:c r="C781" s="3" t="n">
        <x:v>12</x:v>
      </x:c>
      <x:c r="D781" s="3" t="str">
        <x:v>present</x:v>
      </x:c>
      <x:c r="E781" s="5" t="str">
        <x:f>VLOOKUP(B781,Sections!$A$5:$I$45,3,FALSE)</x:f>
        <x:v>2024-2</x:v>
      </x:c>
    </x:row>
    <x:row r="782" ht="21" customHeight="1">
      <x:c r="A782" s="3" t="str">
        <x:v>2202004</x:v>
      </x:c>
      <x:c r="B782" s="3" t="str">
        <x:v>SEC009</x:v>
      </x:c>
      <x:c r="C782" s="3" t="n">
        <x:v>13</x:v>
      </x:c>
      <x:c r="D782" s="3" t="str">
        <x:v>present</x:v>
      </x:c>
      <x:c r="E782" s="5" t="str">
        <x:f>VLOOKUP(B782,Sections!$A$5:$I$45,3,FALSE)</x:f>
        <x:v>2024-2</x:v>
      </x:c>
    </x:row>
    <x:row r="783" ht="21" customHeight="1">
      <x:c r="A783" s="3" t="str">
        <x:v>2202004</x:v>
      </x:c>
      <x:c r="B783" s="3" t="str">
        <x:v>SEC009</x:v>
      </x:c>
      <x:c r="C783" s="3" t="n">
        <x:v>14</x:v>
      </x:c>
      <x:c r="D783" s="3" t="str">
        <x:v>present</x:v>
      </x:c>
      <x:c r="E783" s="5" t="str">
        <x:f>VLOOKUP(B783,Sections!$A$5:$I$45,3,FALSE)</x:f>
        <x:v>2024-2</x:v>
      </x:c>
    </x:row>
    <x:row r="784" ht="21" customHeight="1">
      <x:c r="A784" s="3" t="str">
        <x:v>2202004</x:v>
      </x:c>
      <x:c r="B784" s="3" t="str">
        <x:v>SEC009</x:v>
      </x:c>
      <x:c r="C784" s="3" t="n">
        <x:v>15</x:v>
      </x:c>
      <x:c r="D784" s="3" t="str">
        <x:v>present</x:v>
      </x:c>
      <x:c r="E784" s="5" t="str">
        <x:f>VLOOKUP(B784,Sections!$A$5:$I$45,3,FALSE)</x:f>
        <x:v>2024-2</x:v>
      </x:c>
    </x:row>
    <x:row r="785" ht="21" customHeight="1">
      <x:c r="A785" s="3" t="str">
        <x:v>2202005</x:v>
      </x:c>
      <x:c r="B785" s="3" t="str">
        <x:v>SEC009</x:v>
      </x:c>
      <x:c r="C785" s="3" t="n">
        <x:v>1</x:v>
      </x:c>
      <x:c r="D785" s="3" t="str">
        <x:v>present</x:v>
      </x:c>
      <x:c r="E785" s="5" t="str">
        <x:f>VLOOKUP(B785,Sections!$A$5:$I$45,3,FALSE)</x:f>
        <x:v>2024-2</x:v>
      </x:c>
    </x:row>
    <x:row r="786" ht="21" customHeight="1">
      <x:c r="A786" s="3" t="str">
        <x:v>2202005</x:v>
      </x:c>
      <x:c r="B786" s="3" t="str">
        <x:v>SEC009</x:v>
      </x:c>
      <x:c r="C786" s="3" t="n">
        <x:v>2</x:v>
      </x:c>
      <x:c r="D786" s="3" t="str">
        <x:v>present</x:v>
      </x:c>
      <x:c r="E786" s="5" t="str">
        <x:f>VLOOKUP(B786,Sections!$A$5:$I$45,3,FALSE)</x:f>
        <x:v>2024-2</x:v>
      </x:c>
    </x:row>
    <x:row r="787" ht="21" customHeight="1">
      <x:c r="A787" s="3" t="str">
        <x:v>2202005</x:v>
      </x:c>
      <x:c r="B787" s="3" t="str">
        <x:v>SEC009</x:v>
      </x:c>
      <x:c r="C787" s="3" t="n">
        <x:v>3</x:v>
      </x:c>
      <x:c r="D787" s="3" t="str">
        <x:v>present</x:v>
      </x:c>
      <x:c r="E787" s="5" t="str">
        <x:f>VLOOKUP(B787,Sections!$A$5:$I$45,3,FALSE)</x:f>
        <x:v>2024-2</x:v>
      </x:c>
    </x:row>
    <x:row r="788" ht="21" customHeight="1">
      <x:c r="A788" s="3" t="str">
        <x:v>2202005</x:v>
      </x:c>
      <x:c r="B788" s="3" t="str">
        <x:v>SEC009</x:v>
      </x:c>
      <x:c r="C788" s="3" t="n">
        <x:v>4</x:v>
      </x:c>
      <x:c r="D788" s="3" t="str">
        <x:v>present</x:v>
      </x:c>
      <x:c r="E788" s="5" t="str">
        <x:f>VLOOKUP(B788,Sections!$A$5:$I$45,3,FALSE)</x:f>
        <x:v>2024-2</x:v>
      </x:c>
    </x:row>
    <x:row r="789" ht="21" customHeight="1">
      <x:c r="A789" s="3" t="str">
        <x:v>2202005</x:v>
      </x:c>
      <x:c r="B789" s="3" t="str">
        <x:v>SEC009</x:v>
      </x:c>
      <x:c r="C789" s="3" t="n">
        <x:v>5</x:v>
      </x:c>
      <x:c r="D789" s="3" t="str">
        <x:v>absent</x:v>
      </x:c>
      <x:c r="E789" s="5" t="str">
        <x:f>VLOOKUP(B789,Sections!$A$5:$I$45,3,FALSE)</x:f>
        <x:v>2024-2</x:v>
      </x:c>
    </x:row>
    <x:row r="790" ht="21" customHeight="1">
      <x:c r="A790" s="3" t="str">
        <x:v>2202005</x:v>
      </x:c>
      <x:c r="B790" s="3" t="str">
        <x:v>SEC009</x:v>
      </x:c>
      <x:c r="C790" s="3" t="n">
        <x:v>6</x:v>
      </x:c>
      <x:c r="D790" s="3" t="str">
        <x:v>present</x:v>
      </x:c>
      <x:c r="E790" s="5" t="str">
        <x:f>VLOOKUP(B790,Sections!$A$5:$I$45,3,FALSE)</x:f>
        <x:v>2024-2</x:v>
      </x:c>
    </x:row>
    <x:row r="791" ht="21" customHeight="1">
      <x:c r="A791" s="3" t="str">
        <x:v>2202005</x:v>
      </x:c>
      <x:c r="B791" s="3" t="str">
        <x:v>SEC009</x:v>
      </x:c>
      <x:c r="C791" s="3" t="n">
        <x:v>7</x:v>
      </x:c>
      <x:c r="D791" s="3" t="str">
        <x:v>present</x:v>
      </x:c>
      <x:c r="E791" s="5" t="str">
        <x:f>VLOOKUP(B791,Sections!$A$5:$I$45,3,FALSE)</x:f>
        <x:v>2024-2</x:v>
      </x:c>
    </x:row>
    <x:row r="792" ht="21" customHeight="1">
      <x:c r="A792" s="3" t="str">
        <x:v>2202005</x:v>
      </x:c>
      <x:c r="B792" s="3" t="str">
        <x:v>SEC009</x:v>
      </x:c>
      <x:c r="C792" s="3" t="n">
        <x:v>8</x:v>
      </x:c>
      <x:c r="D792" s="3" t="str">
        <x:v>late</x:v>
      </x:c>
      <x:c r="E792" s="5" t="str">
        <x:f>VLOOKUP(B792,Sections!$A$5:$I$45,3,FALSE)</x:f>
        <x:v>2024-2</x:v>
      </x:c>
    </x:row>
    <x:row r="793" ht="21" customHeight="1">
      <x:c r="A793" s="3" t="str">
        <x:v>2202005</x:v>
      </x:c>
      <x:c r="B793" s="3" t="str">
        <x:v>SEC009</x:v>
      </x:c>
      <x:c r="C793" s="3" t="n">
        <x:v>9</x:v>
      </x:c>
      <x:c r="D793" s="3" t="str">
        <x:v>excused</x:v>
      </x:c>
      <x:c r="E793" s="5" t="str">
        <x:f>VLOOKUP(B793,Sections!$A$5:$I$45,3,FALSE)</x:f>
        <x:v>2024-2</x:v>
      </x:c>
    </x:row>
    <x:row r="794" ht="21" customHeight="1">
      <x:c r="A794" s="3" t="str">
        <x:v>2202005</x:v>
      </x:c>
      <x:c r="B794" s="3" t="str">
        <x:v>SEC009</x:v>
      </x:c>
      <x:c r="C794" s="3" t="n">
        <x:v>10</x:v>
      </x:c>
      <x:c r="D794" s="3" t="str">
        <x:v>present</x:v>
      </x:c>
      <x:c r="E794" s="5" t="str">
        <x:f>VLOOKUP(B794,Sections!$A$5:$I$45,3,FALSE)</x:f>
        <x:v>2024-2</x:v>
      </x:c>
    </x:row>
    <x:row r="795" ht="21" customHeight="1">
      <x:c r="A795" s="3" t="str">
        <x:v>2202005</x:v>
      </x:c>
      <x:c r="B795" s="3" t="str">
        <x:v>SEC009</x:v>
      </x:c>
      <x:c r="C795" s="3" t="n">
        <x:v>11</x:v>
      </x:c>
      <x:c r="D795" s="3" t="str">
        <x:v>present</x:v>
      </x:c>
      <x:c r="E795" s="5" t="str">
        <x:f>VLOOKUP(B795,Sections!$A$5:$I$45,3,FALSE)</x:f>
        <x:v>2024-2</x:v>
      </x:c>
    </x:row>
    <x:row r="796" ht="21" customHeight="1">
      <x:c r="A796" s="3" t="str">
        <x:v>2202005</x:v>
      </x:c>
      <x:c r="B796" s="3" t="str">
        <x:v>SEC009</x:v>
      </x:c>
      <x:c r="C796" s="3" t="n">
        <x:v>12</x:v>
      </x:c>
      <x:c r="D796" s="3" t="str">
        <x:v>late</x:v>
      </x:c>
      <x:c r="E796" s="5" t="str">
        <x:f>VLOOKUP(B796,Sections!$A$5:$I$45,3,FALSE)</x:f>
        <x:v>2024-2</x:v>
      </x:c>
    </x:row>
    <x:row r="797" ht="21" customHeight="1">
      <x:c r="A797" s="3" t="str">
        <x:v>2202005</x:v>
      </x:c>
      <x:c r="B797" s="3" t="str">
        <x:v>SEC009</x:v>
      </x:c>
      <x:c r="C797" s="3" t="n">
        <x:v>13</x:v>
      </x:c>
      <x:c r="D797" s="3" t="str">
        <x:v>present</x:v>
      </x:c>
      <x:c r="E797" s="5" t="str">
        <x:f>VLOOKUP(B797,Sections!$A$5:$I$45,3,FALSE)</x:f>
        <x:v>2024-2</x:v>
      </x:c>
    </x:row>
    <x:row r="798" ht="21" customHeight="1">
      <x:c r="A798" s="3" t="str">
        <x:v>2202005</x:v>
      </x:c>
      <x:c r="B798" s="3" t="str">
        <x:v>SEC009</x:v>
      </x:c>
      <x:c r="C798" s="3" t="n">
        <x:v>14</x:v>
      </x:c>
      <x:c r="D798" s="3" t="str">
        <x:v>present</x:v>
      </x:c>
      <x:c r="E798" s="5" t="str">
        <x:f>VLOOKUP(B798,Sections!$A$5:$I$45,3,FALSE)</x:f>
        <x:v>2024-2</x:v>
      </x:c>
    </x:row>
    <x:row r="799" ht="21" customHeight="1">
      <x:c r="A799" s="3" t="str">
        <x:v>2202005</x:v>
      </x:c>
      <x:c r="B799" s="3" t="str">
        <x:v>SEC009</x:v>
      </x:c>
      <x:c r="C799" s="3" t="n">
        <x:v>15</x:v>
      </x:c>
      <x:c r="D799" s="3" t="str">
        <x:v>present</x:v>
      </x:c>
      <x:c r="E799" s="5" t="str">
        <x:f>VLOOKUP(B799,Sections!$A$5:$I$45,3,FALSE)</x:f>
        <x:v>2024-2</x:v>
      </x:c>
    </x:row>
    <x:row r="800" ht="21" customHeight="1">
      <x:c r="A800" s="3" t="str">
        <x:v>2202006</x:v>
      </x:c>
      <x:c r="B800" s="3" t="str">
        <x:v>SEC009</x:v>
      </x:c>
      <x:c r="C800" s="3" t="n">
        <x:v>1</x:v>
      </x:c>
      <x:c r="D800" s="3" t="str">
        <x:v>present</x:v>
      </x:c>
      <x:c r="E800" s="5" t="str">
        <x:f>VLOOKUP(B800,Sections!$A$5:$I$45,3,FALSE)</x:f>
        <x:v>2024-2</x:v>
      </x:c>
    </x:row>
    <x:row r="801" ht="21" customHeight="1">
      <x:c r="A801" s="3" t="str">
        <x:v>2202006</x:v>
      </x:c>
      <x:c r="B801" s="3" t="str">
        <x:v>SEC009</x:v>
      </x:c>
      <x:c r="C801" s="3" t="n">
        <x:v>2</x:v>
      </x:c>
      <x:c r="D801" s="3" t="str">
        <x:v>present</x:v>
      </x:c>
      <x:c r="E801" s="5" t="str">
        <x:f>VLOOKUP(B801,Sections!$A$5:$I$45,3,FALSE)</x:f>
        <x:v>2024-2</x:v>
      </x:c>
    </x:row>
    <x:row r="802" ht="21" customHeight="1">
      <x:c r="A802" s="3" t="str">
        <x:v>2202006</x:v>
      </x:c>
      <x:c r="B802" s="3" t="str">
        <x:v>SEC009</x:v>
      </x:c>
      <x:c r="C802" s="3" t="n">
        <x:v>3</x:v>
      </x:c>
      <x:c r="D802" s="3" t="str">
        <x:v>present</x:v>
      </x:c>
      <x:c r="E802" s="5" t="str">
        <x:f>VLOOKUP(B802,Sections!$A$5:$I$45,3,FALSE)</x:f>
        <x:v>2024-2</x:v>
      </x:c>
    </x:row>
    <x:row r="803" ht="21" customHeight="1">
      <x:c r="A803" s="3" t="str">
        <x:v>2202006</x:v>
      </x:c>
      <x:c r="B803" s="3" t="str">
        <x:v>SEC009</x:v>
      </x:c>
      <x:c r="C803" s="3" t="n">
        <x:v>4</x:v>
      </x:c>
      <x:c r="D803" s="3" t="str">
        <x:v>present</x:v>
      </x:c>
      <x:c r="E803" s="5" t="str">
        <x:f>VLOOKUP(B803,Sections!$A$5:$I$45,3,FALSE)</x:f>
        <x:v>2024-2</x:v>
      </x:c>
    </x:row>
    <x:row r="804" ht="21" customHeight="1">
      <x:c r="A804" s="3" t="str">
        <x:v>2202006</x:v>
      </x:c>
      <x:c r="B804" s="3" t="str">
        <x:v>SEC009</x:v>
      </x:c>
      <x:c r="C804" s="3" t="n">
        <x:v>5</x:v>
      </x:c>
      <x:c r="D804" s="3" t="str">
        <x:v>present</x:v>
      </x:c>
      <x:c r="E804" s="5" t="str">
        <x:f>VLOOKUP(B804,Sections!$A$5:$I$45,3,FALSE)</x:f>
        <x:v>2024-2</x:v>
      </x:c>
    </x:row>
    <x:row r="805" ht="21" customHeight="1">
      <x:c r="A805" s="3" t="str">
        <x:v>2202006</x:v>
      </x:c>
      <x:c r="B805" s="3" t="str">
        <x:v>SEC009</x:v>
      </x:c>
      <x:c r="C805" s="3" t="n">
        <x:v>6</x:v>
      </x:c>
      <x:c r="D805" s="3" t="str">
        <x:v>present</x:v>
      </x:c>
      <x:c r="E805" s="5" t="str">
        <x:f>VLOOKUP(B805,Sections!$A$5:$I$45,3,FALSE)</x:f>
        <x:v>2024-2</x:v>
      </x:c>
    </x:row>
    <x:row r="806" ht="21" customHeight="1">
      <x:c r="A806" s="3" t="str">
        <x:v>2202006</x:v>
      </x:c>
      <x:c r="B806" s="3" t="str">
        <x:v>SEC009</x:v>
      </x:c>
      <x:c r="C806" s="3" t="n">
        <x:v>7</x:v>
      </x:c>
      <x:c r="D806" s="3" t="str">
        <x:v>present</x:v>
      </x:c>
      <x:c r="E806" s="5" t="str">
        <x:f>VLOOKUP(B806,Sections!$A$5:$I$45,3,FALSE)</x:f>
        <x:v>2024-2</x:v>
      </x:c>
    </x:row>
    <x:row r="807" ht="21" customHeight="1">
      <x:c r="A807" s="3" t="str">
        <x:v>2202006</x:v>
      </x:c>
      <x:c r="B807" s="3" t="str">
        <x:v>SEC009</x:v>
      </x:c>
      <x:c r="C807" s="3" t="n">
        <x:v>8</x:v>
      </x:c>
      <x:c r="D807" s="3" t="str">
        <x:v>present</x:v>
      </x:c>
      <x:c r="E807" s="5" t="str">
        <x:f>VLOOKUP(B807,Sections!$A$5:$I$45,3,FALSE)</x:f>
        <x:v>2024-2</x:v>
      </x:c>
    </x:row>
    <x:row r="808" ht="21" customHeight="1">
      <x:c r="A808" s="3" t="str">
        <x:v>2202006</x:v>
      </x:c>
      <x:c r="B808" s="3" t="str">
        <x:v>SEC009</x:v>
      </x:c>
      <x:c r="C808" s="3" t="n">
        <x:v>9</x:v>
      </x:c>
      <x:c r="D808" s="3" t="str">
        <x:v>present</x:v>
      </x:c>
      <x:c r="E808" s="5" t="str">
        <x:f>VLOOKUP(B808,Sections!$A$5:$I$45,3,FALSE)</x:f>
        <x:v>2024-2</x:v>
      </x:c>
    </x:row>
    <x:row r="809" ht="21" customHeight="1">
      <x:c r="A809" s="3" t="str">
        <x:v>2202006</x:v>
      </x:c>
      <x:c r="B809" s="3" t="str">
        <x:v>SEC009</x:v>
      </x:c>
      <x:c r="C809" s="3" t="n">
        <x:v>10</x:v>
      </x:c>
      <x:c r="D809" s="3" t="str">
        <x:v>excused</x:v>
      </x:c>
      <x:c r="E809" s="5" t="str">
        <x:f>VLOOKUP(B809,Sections!$A$5:$I$45,3,FALSE)</x:f>
        <x:v>2024-2</x:v>
      </x:c>
    </x:row>
    <x:row r="810" ht="21" customHeight="1">
      <x:c r="A810" s="3" t="str">
        <x:v>2202006</x:v>
      </x:c>
      <x:c r="B810" s="3" t="str">
        <x:v>SEC009</x:v>
      </x:c>
      <x:c r="C810" s="3" t="n">
        <x:v>11</x:v>
      </x:c>
      <x:c r="D810" s="3" t="str">
        <x:v>present</x:v>
      </x:c>
      <x:c r="E810" s="5" t="str">
        <x:f>VLOOKUP(B810,Sections!$A$5:$I$45,3,FALSE)</x:f>
        <x:v>2024-2</x:v>
      </x:c>
    </x:row>
    <x:row r="811" ht="21" customHeight="1">
      <x:c r="A811" s="3" t="str">
        <x:v>2202006</x:v>
      </x:c>
      <x:c r="B811" s="3" t="str">
        <x:v>SEC009</x:v>
      </x:c>
      <x:c r="C811" s="3" t="n">
        <x:v>12</x:v>
      </x:c>
      <x:c r="D811" s="3" t="str">
        <x:v>present</x:v>
      </x:c>
      <x:c r="E811" s="5" t="str">
        <x:f>VLOOKUP(B811,Sections!$A$5:$I$45,3,FALSE)</x:f>
        <x:v>2024-2</x:v>
      </x:c>
    </x:row>
    <x:row r="812" ht="21" customHeight="1">
      <x:c r="A812" s="3" t="str">
        <x:v>2202006</x:v>
      </x:c>
      <x:c r="B812" s="3" t="str">
        <x:v>SEC009</x:v>
      </x:c>
      <x:c r="C812" s="3" t="n">
        <x:v>13</x:v>
      </x:c>
      <x:c r="D812" s="3" t="str">
        <x:v>present</x:v>
      </x:c>
      <x:c r="E812" s="5" t="str">
        <x:f>VLOOKUP(B812,Sections!$A$5:$I$45,3,FALSE)</x:f>
        <x:v>2024-2</x:v>
      </x:c>
    </x:row>
    <x:row r="813" ht="21" customHeight="1">
      <x:c r="A813" s="3" t="str">
        <x:v>2202006</x:v>
      </x:c>
      <x:c r="B813" s="3" t="str">
        <x:v>SEC009</x:v>
      </x:c>
      <x:c r="C813" s="3" t="n">
        <x:v>14</x:v>
      </x:c>
      <x:c r="D813" s="3" t="str">
        <x:v>present</x:v>
      </x:c>
      <x:c r="E813" s="5" t="str">
        <x:f>VLOOKUP(B813,Sections!$A$5:$I$45,3,FALSE)</x:f>
        <x:v>2024-2</x:v>
      </x:c>
    </x:row>
    <x:row r="814" ht="21" customHeight="1">
      <x:c r="A814" s="3" t="str">
        <x:v>2202006</x:v>
      </x:c>
      <x:c r="B814" s="3" t="str">
        <x:v>SEC009</x:v>
      </x:c>
      <x:c r="C814" s="3" t="n">
        <x:v>15</x:v>
      </x:c>
      <x:c r="D814" s="3" t="str">
        <x:v>present</x:v>
      </x:c>
      <x:c r="E814" s="5" t="str">
        <x:f>VLOOKUP(B814,Sections!$A$5:$I$45,3,FALSE)</x:f>
        <x:v>2024-2</x:v>
      </x:c>
    </x:row>
    <x:row r="815" ht="21" customHeight="1">
      <x:c r="A815" s="3" t="str">
        <x:v>2202007</x:v>
      </x:c>
      <x:c r="B815" s="3" t="str">
        <x:v>SEC009</x:v>
      </x:c>
      <x:c r="C815" s="3" t="n">
        <x:v>1</x:v>
      </x:c>
      <x:c r="D815" s="3" t="str">
        <x:v>present</x:v>
      </x:c>
      <x:c r="E815" s="5" t="str">
        <x:f>VLOOKUP(B815,Sections!$A$5:$I$45,3,FALSE)</x:f>
        <x:v>2024-2</x:v>
      </x:c>
    </x:row>
    <x:row r="816" ht="21" customHeight="1">
      <x:c r="A816" s="3" t="str">
        <x:v>2202007</x:v>
      </x:c>
      <x:c r="B816" s="3" t="str">
        <x:v>SEC009</x:v>
      </x:c>
      <x:c r="C816" s="3" t="n">
        <x:v>2</x:v>
      </x:c>
      <x:c r="D816" s="3" t="str">
        <x:v>present</x:v>
      </x:c>
      <x:c r="E816" s="5" t="str">
        <x:f>VLOOKUP(B816,Sections!$A$5:$I$45,3,FALSE)</x:f>
        <x:v>2024-2</x:v>
      </x:c>
    </x:row>
    <x:row r="817" ht="21" customHeight="1">
      <x:c r="A817" s="3" t="str">
        <x:v>2202007</x:v>
      </x:c>
      <x:c r="B817" s="3" t="str">
        <x:v>SEC009</x:v>
      </x:c>
      <x:c r="C817" s="3" t="n">
        <x:v>3</x:v>
      </x:c>
      <x:c r="D817" s="3" t="str">
        <x:v>present</x:v>
      </x:c>
      <x:c r="E817" s="5" t="str">
        <x:f>VLOOKUP(B817,Sections!$A$5:$I$45,3,FALSE)</x:f>
        <x:v>2024-2</x:v>
      </x:c>
    </x:row>
    <x:row r="818" ht="21" customHeight="1">
      <x:c r="A818" s="3" t="str">
        <x:v>2202007</x:v>
      </x:c>
      <x:c r="B818" s="3" t="str">
        <x:v>SEC009</x:v>
      </x:c>
      <x:c r="C818" s="3" t="n">
        <x:v>4</x:v>
      </x:c>
      <x:c r="D818" s="3" t="str">
        <x:v>excused</x:v>
      </x:c>
      <x:c r="E818" s="5" t="str">
        <x:f>VLOOKUP(B818,Sections!$A$5:$I$45,3,FALSE)</x:f>
        <x:v>2024-2</x:v>
      </x:c>
    </x:row>
    <x:row r="819" ht="21" customHeight="1">
      <x:c r="A819" s="3" t="str">
        <x:v>2202007</x:v>
      </x:c>
      <x:c r="B819" s="3" t="str">
        <x:v>SEC009</x:v>
      </x:c>
      <x:c r="C819" s="3" t="n">
        <x:v>5</x:v>
      </x:c>
      <x:c r="D819" s="3" t="str">
        <x:v>present</x:v>
      </x:c>
      <x:c r="E819" s="5" t="str">
        <x:f>VLOOKUP(B819,Sections!$A$5:$I$45,3,FALSE)</x:f>
        <x:v>2024-2</x:v>
      </x:c>
    </x:row>
    <x:row r="820" ht="21" customHeight="1">
      <x:c r="A820" s="3" t="str">
        <x:v>2202007</x:v>
      </x:c>
      <x:c r="B820" s="3" t="str">
        <x:v>SEC009</x:v>
      </x:c>
      <x:c r="C820" s="3" t="n">
        <x:v>6</x:v>
      </x:c>
      <x:c r="D820" s="3" t="str">
        <x:v>present</x:v>
      </x:c>
      <x:c r="E820" s="5" t="str">
        <x:f>VLOOKUP(B820,Sections!$A$5:$I$45,3,FALSE)</x:f>
        <x:v>2024-2</x:v>
      </x:c>
    </x:row>
    <x:row r="821" ht="21" customHeight="1">
      <x:c r="A821" s="3" t="str">
        <x:v>2202007</x:v>
      </x:c>
      <x:c r="B821" s="3" t="str">
        <x:v>SEC009</x:v>
      </x:c>
      <x:c r="C821" s="3" t="n">
        <x:v>7</x:v>
      </x:c>
      <x:c r="D821" s="3" t="str">
        <x:v>absent</x:v>
      </x:c>
      <x:c r="E821" s="5" t="str">
        <x:f>VLOOKUP(B821,Sections!$A$5:$I$45,3,FALSE)</x:f>
        <x:v>2024-2</x:v>
      </x:c>
    </x:row>
    <x:row r="822" ht="21" customHeight="1">
      <x:c r="A822" s="3" t="str">
        <x:v>2202007</x:v>
      </x:c>
      <x:c r="B822" s="3" t="str">
        <x:v>SEC009</x:v>
      </x:c>
      <x:c r="C822" s="3" t="n">
        <x:v>8</x:v>
      </x:c>
      <x:c r="D822" s="3" t="str">
        <x:v>present</x:v>
      </x:c>
      <x:c r="E822" s="5" t="str">
        <x:f>VLOOKUP(B822,Sections!$A$5:$I$45,3,FALSE)</x:f>
        <x:v>2024-2</x:v>
      </x:c>
    </x:row>
    <x:row r="823" ht="21" customHeight="1">
      <x:c r="A823" s="3" t="str">
        <x:v>2202007</x:v>
      </x:c>
      <x:c r="B823" s="3" t="str">
        <x:v>SEC009</x:v>
      </x:c>
      <x:c r="C823" s="3" t="n">
        <x:v>9</x:v>
      </x:c>
      <x:c r="D823" s="3" t="str">
        <x:v>late</x:v>
      </x:c>
      <x:c r="E823" s="5" t="str">
        <x:f>VLOOKUP(B823,Sections!$A$5:$I$45,3,FALSE)</x:f>
        <x:v>2024-2</x:v>
      </x:c>
    </x:row>
    <x:row r="824" ht="21" customHeight="1">
      <x:c r="A824" s="3" t="str">
        <x:v>2202007</x:v>
      </x:c>
      <x:c r="B824" s="3" t="str">
        <x:v>SEC009</x:v>
      </x:c>
      <x:c r="C824" s="3" t="n">
        <x:v>10</x:v>
      </x:c>
      <x:c r="D824" s="3" t="str">
        <x:v>present</x:v>
      </x:c>
      <x:c r="E824" s="5" t="str">
        <x:f>VLOOKUP(B824,Sections!$A$5:$I$45,3,FALSE)</x:f>
        <x:v>2024-2</x:v>
      </x:c>
    </x:row>
    <x:row r="825" ht="21" customHeight="1">
      <x:c r="A825" s="3" t="str">
        <x:v>2202007</x:v>
      </x:c>
      <x:c r="B825" s="3" t="str">
        <x:v>SEC009</x:v>
      </x:c>
      <x:c r="C825" s="3" t="n">
        <x:v>11</x:v>
      </x:c>
      <x:c r="D825" s="3" t="str">
        <x:v>present</x:v>
      </x:c>
      <x:c r="E825" s="5" t="str">
        <x:f>VLOOKUP(B825,Sections!$A$5:$I$45,3,FALSE)</x:f>
        <x:v>2024-2</x:v>
      </x:c>
    </x:row>
    <x:row r="826" ht="21" customHeight="1">
      <x:c r="A826" s="3" t="str">
        <x:v>2202007</x:v>
      </x:c>
      <x:c r="B826" s="3" t="str">
        <x:v>SEC009</x:v>
      </x:c>
      <x:c r="C826" s="3" t="n">
        <x:v>12</x:v>
      </x:c>
      <x:c r="D826" s="3" t="str">
        <x:v>present</x:v>
      </x:c>
      <x:c r="E826" s="5" t="str">
        <x:f>VLOOKUP(B826,Sections!$A$5:$I$45,3,FALSE)</x:f>
        <x:v>2024-2</x:v>
      </x:c>
    </x:row>
    <x:row r="827" ht="21" customHeight="1">
      <x:c r="A827" s="3" t="str">
        <x:v>2202007</x:v>
      </x:c>
      <x:c r="B827" s="3" t="str">
        <x:v>SEC009</x:v>
      </x:c>
      <x:c r="C827" s="3" t="n">
        <x:v>13</x:v>
      </x:c>
      <x:c r="D827" s="3" t="str">
        <x:v>present</x:v>
      </x:c>
      <x:c r="E827" s="5" t="str">
        <x:f>VLOOKUP(B827,Sections!$A$5:$I$45,3,FALSE)</x:f>
        <x:v>2024-2</x:v>
      </x:c>
    </x:row>
    <x:row r="828" ht="21" customHeight="1">
      <x:c r="A828" s="3" t="str">
        <x:v>2202007</x:v>
      </x:c>
      <x:c r="B828" s="3" t="str">
        <x:v>SEC009</x:v>
      </x:c>
      <x:c r="C828" s="3" t="n">
        <x:v>14</x:v>
      </x:c>
      <x:c r="D828" s="3" t="str">
        <x:v>present</x:v>
      </x:c>
      <x:c r="E828" s="5" t="str">
        <x:f>VLOOKUP(B828,Sections!$A$5:$I$45,3,FALSE)</x:f>
        <x:v>2024-2</x:v>
      </x:c>
    </x:row>
    <x:row r="829" ht="21" customHeight="1">
      <x:c r="A829" s="3" t="str">
        <x:v>2202007</x:v>
      </x:c>
      <x:c r="B829" s="3" t="str">
        <x:v>SEC009</x:v>
      </x:c>
      <x:c r="C829" s="3" t="n">
        <x:v>15</x:v>
      </x:c>
      <x:c r="D829" s="3" t="str">
        <x:v>present</x:v>
      </x:c>
      <x:c r="E829" s="5" t="str">
        <x:f>VLOOKUP(B829,Sections!$A$5:$I$45,3,FALSE)</x:f>
        <x:v>2024-2</x:v>
      </x:c>
    </x:row>
    <x:row r="830" ht="21" customHeight="1">
      <x:c r="A830" s="3" t="str">
        <x:v>2202008</x:v>
      </x:c>
      <x:c r="B830" s="3" t="str">
        <x:v>SEC009</x:v>
      </x:c>
      <x:c r="C830" s="3" t="n">
        <x:v>1</x:v>
      </x:c>
      <x:c r="D830" s="3" t="str">
        <x:v>absent</x:v>
      </x:c>
      <x:c r="E830" s="5" t="str">
        <x:f>VLOOKUP(B830,Sections!$A$5:$I$45,3,FALSE)</x:f>
        <x:v>2024-2</x:v>
      </x:c>
    </x:row>
    <x:row r="831" ht="21" customHeight="1">
      <x:c r="A831" s="3" t="str">
        <x:v>2202008</x:v>
      </x:c>
      <x:c r="B831" s="3" t="str">
        <x:v>SEC009</x:v>
      </x:c>
      <x:c r="C831" s="3" t="n">
        <x:v>2</x:v>
      </x:c>
      <x:c r="D831" s="3" t="str">
        <x:v>present</x:v>
      </x:c>
      <x:c r="E831" s="5" t="str">
        <x:f>VLOOKUP(B831,Sections!$A$5:$I$45,3,FALSE)</x:f>
        <x:v>2024-2</x:v>
      </x:c>
    </x:row>
    <x:row r="832" ht="21" customHeight="1">
      <x:c r="A832" s="3" t="str">
        <x:v>2202008</x:v>
      </x:c>
      <x:c r="B832" s="3" t="str">
        <x:v>SEC009</x:v>
      </x:c>
      <x:c r="C832" s="3" t="n">
        <x:v>3</x:v>
      </x:c>
      <x:c r="D832" s="3" t="str">
        <x:v>present</x:v>
      </x:c>
      <x:c r="E832" s="5" t="str">
        <x:f>VLOOKUP(B832,Sections!$A$5:$I$45,3,FALSE)</x:f>
        <x:v>2024-2</x:v>
      </x:c>
    </x:row>
    <x:row r="833" ht="21" customHeight="1">
      <x:c r="A833" s="3" t="str">
        <x:v>2202008</x:v>
      </x:c>
      <x:c r="B833" s="3" t="str">
        <x:v>SEC009</x:v>
      </x:c>
      <x:c r="C833" s="3" t="n">
        <x:v>4</x:v>
      </x:c>
      <x:c r="D833" s="3" t="str">
        <x:v>present</x:v>
      </x:c>
      <x:c r="E833" s="5" t="str">
        <x:f>VLOOKUP(B833,Sections!$A$5:$I$45,3,FALSE)</x:f>
        <x:v>2024-2</x:v>
      </x:c>
    </x:row>
    <x:row r="834" ht="21" customHeight="1">
      <x:c r="A834" s="3" t="str">
        <x:v>2202008</x:v>
      </x:c>
      <x:c r="B834" s="3" t="str">
        <x:v>SEC009</x:v>
      </x:c>
      <x:c r="C834" s="3" t="n">
        <x:v>5</x:v>
      </x:c>
      <x:c r="D834" s="3" t="str">
        <x:v>present</x:v>
      </x:c>
      <x:c r="E834" s="5" t="str">
        <x:f>VLOOKUP(B834,Sections!$A$5:$I$45,3,FALSE)</x:f>
        <x:v>2024-2</x:v>
      </x:c>
    </x:row>
    <x:row r="835" ht="21" customHeight="1">
      <x:c r="A835" s="3" t="str">
        <x:v>2202008</x:v>
      </x:c>
      <x:c r="B835" s="3" t="str">
        <x:v>SEC009</x:v>
      </x:c>
      <x:c r="C835" s="3" t="n">
        <x:v>6</x:v>
      </x:c>
      <x:c r="D835" s="3" t="str">
        <x:v>present</x:v>
      </x:c>
      <x:c r="E835" s="5" t="str">
        <x:f>VLOOKUP(B835,Sections!$A$5:$I$45,3,FALSE)</x:f>
        <x:v>2024-2</x:v>
      </x:c>
    </x:row>
    <x:row r="836" ht="21" customHeight="1">
      <x:c r="A836" s="3" t="str">
        <x:v>2202008</x:v>
      </x:c>
      <x:c r="B836" s="3" t="str">
        <x:v>SEC009</x:v>
      </x:c>
      <x:c r="C836" s="3" t="n">
        <x:v>7</x:v>
      </x:c>
      <x:c r="D836" s="3" t="str">
        <x:v>absent</x:v>
      </x:c>
      <x:c r="E836" s="5" t="str">
        <x:f>VLOOKUP(B836,Sections!$A$5:$I$45,3,FALSE)</x:f>
        <x:v>2024-2</x:v>
      </x:c>
    </x:row>
    <x:row r="837" ht="21" customHeight="1">
      <x:c r="A837" s="3" t="str">
        <x:v>2202008</x:v>
      </x:c>
      <x:c r="B837" s="3" t="str">
        <x:v>SEC009</x:v>
      </x:c>
      <x:c r="C837" s="3" t="n">
        <x:v>8</x:v>
      </x:c>
      <x:c r="D837" s="3" t="str">
        <x:v>present</x:v>
      </x:c>
      <x:c r="E837" s="5" t="str">
        <x:f>VLOOKUP(B837,Sections!$A$5:$I$45,3,FALSE)</x:f>
        <x:v>2024-2</x:v>
      </x:c>
    </x:row>
    <x:row r="838" ht="21" customHeight="1">
      <x:c r="A838" s="3" t="str">
        <x:v>2202008</x:v>
      </x:c>
      <x:c r="B838" s="3" t="str">
        <x:v>SEC009</x:v>
      </x:c>
      <x:c r="C838" s="3" t="n">
        <x:v>9</x:v>
      </x:c>
      <x:c r="D838" s="3" t="str">
        <x:v>present</x:v>
      </x:c>
      <x:c r="E838" s="5" t="str">
        <x:f>VLOOKUP(B838,Sections!$A$5:$I$45,3,FALSE)</x:f>
        <x:v>2024-2</x:v>
      </x:c>
    </x:row>
    <x:row r="839" ht="21" customHeight="1">
      <x:c r="A839" s="3" t="str">
        <x:v>2202008</x:v>
      </x:c>
      <x:c r="B839" s="3" t="str">
        <x:v>SEC009</x:v>
      </x:c>
      <x:c r="C839" s="3" t="n">
        <x:v>10</x:v>
      </x:c>
      <x:c r="D839" s="3" t="str">
        <x:v>present</x:v>
      </x:c>
      <x:c r="E839" s="5" t="str">
        <x:f>VLOOKUP(B839,Sections!$A$5:$I$45,3,FALSE)</x:f>
        <x:v>2024-2</x:v>
      </x:c>
    </x:row>
    <x:row r="840" ht="21" customHeight="1">
      <x:c r="A840" s="3" t="str">
        <x:v>2202008</x:v>
      </x:c>
      <x:c r="B840" s="3" t="str">
        <x:v>SEC009</x:v>
      </x:c>
      <x:c r="C840" s="3" t="n">
        <x:v>11</x:v>
      </x:c>
      <x:c r="D840" s="3" t="str">
        <x:v>present</x:v>
      </x:c>
      <x:c r="E840" s="5" t="str">
        <x:f>VLOOKUP(B840,Sections!$A$5:$I$45,3,FALSE)</x:f>
        <x:v>2024-2</x:v>
      </x:c>
    </x:row>
    <x:row r="841" ht="21" customHeight="1">
      <x:c r="A841" s="3" t="str">
        <x:v>2202008</x:v>
      </x:c>
      <x:c r="B841" s="3" t="str">
        <x:v>SEC009</x:v>
      </x:c>
      <x:c r="C841" s="3" t="n">
        <x:v>12</x:v>
      </x:c>
      <x:c r="D841" s="3" t="str">
        <x:v>present</x:v>
      </x:c>
      <x:c r="E841" s="5" t="str">
        <x:f>VLOOKUP(B841,Sections!$A$5:$I$45,3,FALSE)</x:f>
        <x:v>2024-2</x:v>
      </x:c>
    </x:row>
    <x:row r="842" ht="21" customHeight="1">
      <x:c r="A842" s="3" t="str">
        <x:v>2202008</x:v>
      </x:c>
      <x:c r="B842" s="3" t="str">
        <x:v>SEC009</x:v>
      </x:c>
      <x:c r="C842" s="3" t="n">
        <x:v>13</x:v>
      </x:c>
      <x:c r="D842" s="3" t="str">
        <x:v>present</x:v>
      </x:c>
      <x:c r="E842" s="5" t="str">
        <x:f>VLOOKUP(B842,Sections!$A$5:$I$45,3,FALSE)</x:f>
        <x:v>2024-2</x:v>
      </x:c>
    </x:row>
    <x:row r="843" ht="21" customHeight="1">
      <x:c r="A843" s="3" t="str">
        <x:v>2202008</x:v>
      </x:c>
      <x:c r="B843" s="3" t="str">
        <x:v>SEC009</x:v>
      </x:c>
      <x:c r="C843" s="3" t="n">
        <x:v>14</x:v>
      </x:c>
      <x:c r="D843" s="3" t="str">
        <x:v>present</x:v>
      </x:c>
      <x:c r="E843" s="5" t="str">
        <x:f>VLOOKUP(B843,Sections!$A$5:$I$45,3,FALSE)</x:f>
        <x:v>2024-2</x:v>
      </x:c>
    </x:row>
    <x:row r="844" ht="21" customHeight="1">
      <x:c r="A844" s="3" t="str">
        <x:v>2202008</x:v>
      </x:c>
      <x:c r="B844" s="3" t="str">
        <x:v>SEC009</x:v>
      </x:c>
      <x:c r="C844" s="3" t="n">
        <x:v>15</x:v>
      </x:c>
      <x:c r="D844" s="3" t="str">
        <x:v>present</x:v>
      </x:c>
      <x:c r="E844" s="5" t="str">
        <x:f>VLOOKUP(B844,Sections!$A$5:$I$45,3,FALSE)</x:f>
        <x:v>2024-2</x:v>
      </x:c>
    </x:row>
    <x:row r="845" ht="21" customHeight="1">
      <x:c r="A845" s="3" t="str">
        <x:v>2202009</x:v>
      </x:c>
      <x:c r="B845" s="3" t="str">
        <x:v>SEC009</x:v>
      </x:c>
      <x:c r="C845" s="3" t="n">
        <x:v>1</x:v>
      </x:c>
      <x:c r="D845" s="3" t="str">
        <x:v>present</x:v>
      </x:c>
      <x:c r="E845" s="5" t="str">
        <x:f>VLOOKUP(B845,Sections!$A$5:$I$45,3,FALSE)</x:f>
        <x:v>2024-2</x:v>
      </x:c>
    </x:row>
    <x:row r="846" ht="21" customHeight="1">
      <x:c r="A846" s="3" t="str">
        <x:v>2202009</x:v>
      </x:c>
      <x:c r="B846" s="3" t="str">
        <x:v>SEC009</x:v>
      </x:c>
      <x:c r="C846" s="3" t="n">
        <x:v>2</x:v>
      </x:c>
      <x:c r="D846" s="3" t="str">
        <x:v>present</x:v>
      </x:c>
      <x:c r="E846" s="5" t="str">
        <x:f>VLOOKUP(B846,Sections!$A$5:$I$45,3,FALSE)</x:f>
        <x:v>2024-2</x:v>
      </x:c>
    </x:row>
    <x:row r="847" ht="21" customHeight="1">
      <x:c r="A847" s="3" t="str">
        <x:v>2202009</x:v>
      </x:c>
      <x:c r="B847" s="3" t="str">
        <x:v>SEC009</x:v>
      </x:c>
      <x:c r="C847" s="3" t="n">
        <x:v>3</x:v>
      </x:c>
      <x:c r="D847" s="3" t="str">
        <x:v>present</x:v>
      </x:c>
      <x:c r="E847" s="5" t="str">
        <x:f>VLOOKUP(B847,Sections!$A$5:$I$45,3,FALSE)</x:f>
        <x:v>2024-2</x:v>
      </x:c>
    </x:row>
    <x:row r="848" ht="21" customHeight="1">
      <x:c r="A848" s="3" t="str">
        <x:v>2202009</x:v>
      </x:c>
      <x:c r="B848" s="3" t="str">
        <x:v>SEC009</x:v>
      </x:c>
      <x:c r="C848" s="3" t="n">
        <x:v>4</x:v>
      </x:c>
      <x:c r="D848" s="3" t="str">
        <x:v>present</x:v>
      </x:c>
      <x:c r="E848" s="5" t="str">
        <x:f>VLOOKUP(B848,Sections!$A$5:$I$45,3,FALSE)</x:f>
        <x:v>2024-2</x:v>
      </x:c>
    </x:row>
    <x:row r="849" ht="21" customHeight="1">
      <x:c r="A849" s="3" t="str">
        <x:v>2202009</x:v>
      </x:c>
      <x:c r="B849" s="3" t="str">
        <x:v>SEC009</x:v>
      </x:c>
      <x:c r="C849" s="3" t="n">
        <x:v>5</x:v>
      </x:c>
      <x:c r="D849" s="3" t="str">
        <x:v>present</x:v>
      </x:c>
      <x:c r="E849" s="5" t="str">
        <x:f>VLOOKUP(B849,Sections!$A$5:$I$45,3,FALSE)</x:f>
        <x:v>2024-2</x:v>
      </x:c>
    </x:row>
    <x:row r="850" ht="21" customHeight="1">
      <x:c r="A850" s="3" t="str">
        <x:v>2202009</x:v>
      </x:c>
      <x:c r="B850" s="3" t="str">
        <x:v>SEC009</x:v>
      </x:c>
      <x:c r="C850" s="3" t="n">
        <x:v>6</x:v>
      </x:c>
      <x:c r="D850" s="3" t="str">
        <x:v>present</x:v>
      </x:c>
      <x:c r="E850" s="5" t="str">
        <x:f>VLOOKUP(B850,Sections!$A$5:$I$45,3,FALSE)</x:f>
        <x:v>2024-2</x:v>
      </x:c>
    </x:row>
    <x:row r="851" ht="21" customHeight="1">
      <x:c r="A851" s="3" t="str">
        <x:v>2202009</x:v>
      </x:c>
      <x:c r="B851" s="3" t="str">
        <x:v>SEC009</x:v>
      </x:c>
      <x:c r="C851" s="3" t="n">
        <x:v>7</x:v>
      </x:c>
      <x:c r="D851" s="3" t="str">
        <x:v>present</x:v>
      </x:c>
      <x:c r="E851" s="5" t="str">
        <x:f>VLOOKUP(B851,Sections!$A$5:$I$45,3,FALSE)</x:f>
        <x:v>2024-2</x:v>
      </x:c>
    </x:row>
    <x:row r="852" ht="21" customHeight="1">
      <x:c r="A852" s="3" t="str">
        <x:v>2202009</x:v>
      </x:c>
      <x:c r="B852" s="3" t="str">
        <x:v>SEC009</x:v>
      </x:c>
      <x:c r="C852" s="3" t="n">
        <x:v>8</x:v>
      </x:c>
      <x:c r="D852" s="3" t="str">
        <x:v>present</x:v>
      </x:c>
      <x:c r="E852" s="5" t="str">
        <x:f>VLOOKUP(B852,Sections!$A$5:$I$45,3,FALSE)</x:f>
        <x:v>2024-2</x:v>
      </x:c>
    </x:row>
    <x:row r="853" ht="21" customHeight="1">
      <x:c r="A853" s="3" t="str">
        <x:v>2202009</x:v>
      </x:c>
      <x:c r="B853" s="3" t="str">
        <x:v>SEC009</x:v>
      </x:c>
      <x:c r="C853" s="3" t="n">
        <x:v>9</x:v>
      </x:c>
      <x:c r="D853" s="3" t="str">
        <x:v>present</x:v>
      </x:c>
      <x:c r="E853" s="5" t="str">
        <x:f>VLOOKUP(B853,Sections!$A$5:$I$45,3,FALSE)</x:f>
        <x:v>2024-2</x:v>
      </x:c>
    </x:row>
    <x:row r="854" ht="21" customHeight="1">
      <x:c r="A854" s="3" t="str">
        <x:v>2202009</x:v>
      </x:c>
      <x:c r="B854" s="3" t="str">
        <x:v>SEC009</x:v>
      </x:c>
      <x:c r="C854" s="3" t="n">
        <x:v>10</x:v>
      </x:c>
      <x:c r="D854" s="3" t="str">
        <x:v>present</x:v>
      </x:c>
      <x:c r="E854" s="5" t="str">
        <x:f>VLOOKUP(B854,Sections!$A$5:$I$45,3,FALSE)</x:f>
        <x:v>2024-2</x:v>
      </x:c>
    </x:row>
    <x:row r="855" ht="21" customHeight="1">
      <x:c r="A855" s="3" t="str">
        <x:v>2202009</x:v>
      </x:c>
      <x:c r="B855" s="3" t="str">
        <x:v>SEC009</x:v>
      </x:c>
      <x:c r="C855" s="3" t="n">
        <x:v>11</x:v>
      </x:c>
      <x:c r="D855" s="3" t="str">
        <x:v>present</x:v>
      </x:c>
      <x:c r="E855" s="5" t="str">
        <x:f>VLOOKUP(B855,Sections!$A$5:$I$45,3,FALSE)</x:f>
        <x:v>2024-2</x:v>
      </x:c>
    </x:row>
    <x:row r="856" ht="21" customHeight="1">
      <x:c r="A856" s="3" t="str">
        <x:v>2202009</x:v>
      </x:c>
      <x:c r="B856" s="3" t="str">
        <x:v>SEC009</x:v>
      </x:c>
      <x:c r="C856" s="3" t="n">
        <x:v>12</x:v>
      </x:c>
      <x:c r="D856" s="3" t="str">
        <x:v>present</x:v>
      </x:c>
      <x:c r="E856" s="5" t="str">
        <x:f>VLOOKUP(B856,Sections!$A$5:$I$45,3,FALSE)</x:f>
        <x:v>2024-2</x:v>
      </x:c>
    </x:row>
    <x:row r="857" ht="21" customHeight="1">
      <x:c r="A857" s="3" t="str">
        <x:v>2202009</x:v>
      </x:c>
      <x:c r="B857" s="3" t="str">
        <x:v>SEC009</x:v>
      </x:c>
      <x:c r="C857" s="3" t="n">
        <x:v>13</x:v>
      </x:c>
      <x:c r="D857" s="3" t="str">
        <x:v>present</x:v>
      </x:c>
      <x:c r="E857" s="5" t="str">
        <x:f>VLOOKUP(B857,Sections!$A$5:$I$45,3,FALSE)</x:f>
        <x:v>2024-2</x:v>
      </x:c>
    </x:row>
    <x:row r="858" ht="21" customHeight="1">
      <x:c r="A858" s="3" t="str">
        <x:v>2202009</x:v>
      </x:c>
      <x:c r="B858" s="3" t="str">
        <x:v>SEC009</x:v>
      </x:c>
      <x:c r="C858" s="3" t="n">
        <x:v>14</x:v>
      </x:c>
      <x:c r="D858" s="3" t="str">
        <x:v>present</x:v>
      </x:c>
      <x:c r="E858" s="5" t="str">
        <x:f>VLOOKUP(B858,Sections!$A$5:$I$45,3,FALSE)</x:f>
        <x:v>2024-2</x:v>
      </x:c>
    </x:row>
    <x:row r="859" ht="21" customHeight="1">
      <x:c r="A859" s="3" t="str">
        <x:v>2202009</x:v>
      </x:c>
      <x:c r="B859" s="3" t="str">
        <x:v>SEC009</x:v>
      </x:c>
      <x:c r="C859" s="3" t="n">
        <x:v>15</x:v>
      </x:c>
      <x:c r="D859" s="3" t="str">
        <x:v>present</x:v>
      </x:c>
      <x:c r="E859" s="5" t="str">
        <x:f>VLOOKUP(B859,Sections!$A$5:$I$45,3,FALSE)</x:f>
        <x:v>2024-2</x:v>
      </x:c>
    </x:row>
    <x:row r="860" ht="21" customHeight="1">
      <x:c r="A860" s="3" t="str">
        <x:v>2202010</x:v>
      </x:c>
      <x:c r="B860" s="3" t="str">
        <x:v>SEC009</x:v>
      </x:c>
      <x:c r="C860" s="3" t="n">
        <x:v>1</x:v>
      </x:c>
      <x:c r="D860" s="3" t="str">
        <x:v>present</x:v>
      </x:c>
      <x:c r="E860" s="5" t="str">
        <x:f>VLOOKUP(B860,Sections!$A$5:$I$45,3,FALSE)</x:f>
        <x:v>2024-2</x:v>
      </x:c>
    </x:row>
    <x:row r="861" ht="21" customHeight="1">
      <x:c r="A861" s="3" t="str">
        <x:v>2202010</x:v>
      </x:c>
      <x:c r="B861" s="3" t="str">
        <x:v>SEC009</x:v>
      </x:c>
      <x:c r="C861" s="3" t="n">
        <x:v>2</x:v>
      </x:c>
      <x:c r="D861" s="3" t="str">
        <x:v>present</x:v>
      </x:c>
      <x:c r="E861" s="5" t="str">
        <x:f>VLOOKUP(B861,Sections!$A$5:$I$45,3,FALSE)</x:f>
        <x:v>2024-2</x:v>
      </x:c>
    </x:row>
    <x:row r="862" ht="21" customHeight="1">
      <x:c r="A862" s="3" t="str">
        <x:v>2202010</x:v>
      </x:c>
      <x:c r="B862" s="3" t="str">
        <x:v>SEC009</x:v>
      </x:c>
      <x:c r="C862" s="3" t="n">
        <x:v>3</x:v>
      </x:c>
      <x:c r="D862" s="3" t="str">
        <x:v>present</x:v>
      </x:c>
      <x:c r="E862" s="5" t="str">
        <x:f>VLOOKUP(B862,Sections!$A$5:$I$45,3,FALSE)</x:f>
        <x:v>2024-2</x:v>
      </x:c>
    </x:row>
    <x:row r="863" ht="21" customHeight="1">
      <x:c r="A863" s="3" t="str">
        <x:v>2202010</x:v>
      </x:c>
      <x:c r="B863" s="3" t="str">
        <x:v>SEC009</x:v>
      </x:c>
      <x:c r="C863" s="3" t="n">
        <x:v>4</x:v>
      </x:c>
      <x:c r="D863" s="3" t="str">
        <x:v>absent</x:v>
      </x:c>
      <x:c r="E863" s="5" t="str">
        <x:f>VLOOKUP(B863,Sections!$A$5:$I$45,3,FALSE)</x:f>
        <x:v>2024-2</x:v>
      </x:c>
    </x:row>
    <x:row r="864" ht="21" customHeight="1">
      <x:c r="A864" s="3" t="str">
        <x:v>2202010</x:v>
      </x:c>
      <x:c r="B864" s="3" t="str">
        <x:v>SEC009</x:v>
      </x:c>
      <x:c r="C864" s="3" t="n">
        <x:v>5</x:v>
      </x:c>
      <x:c r="D864" s="3" t="str">
        <x:v>present</x:v>
      </x:c>
      <x:c r="E864" s="5" t="str">
        <x:f>VLOOKUP(B864,Sections!$A$5:$I$45,3,FALSE)</x:f>
        <x:v>2024-2</x:v>
      </x:c>
    </x:row>
    <x:row r="865" ht="21" customHeight="1">
      <x:c r="A865" s="3" t="str">
        <x:v>2202010</x:v>
      </x:c>
      <x:c r="B865" s="3" t="str">
        <x:v>SEC009</x:v>
      </x:c>
      <x:c r="C865" s="3" t="n">
        <x:v>6</x:v>
      </x:c>
      <x:c r="D865" s="3" t="str">
        <x:v>absent</x:v>
      </x:c>
      <x:c r="E865" s="5" t="str">
        <x:f>VLOOKUP(B865,Sections!$A$5:$I$45,3,FALSE)</x:f>
        <x:v>2024-2</x:v>
      </x:c>
    </x:row>
    <x:row r="866" ht="21" customHeight="1">
      <x:c r="A866" s="3" t="str">
        <x:v>2202010</x:v>
      </x:c>
      <x:c r="B866" s="3" t="str">
        <x:v>SEC009</x:v>
      </x:c>
      <x:c r="C866" s="3" t="n">
        <x:v>7</x:v>
      </x:c>
      <x:c r="D866" s="3" t="str">
        <x:v>absent</x:v>
      </x:c>
      <x:c r="E866" s="5" t="str">
        <x:f>VLOOKUP(B866,Sections!$A$5:$I$45,3,FALSE)</x:f>
        <x:v>2024-2</x:v>
      </x:c>
    </x:row>
    <x:row r="867" ht="21" customHeight="1">
      <x:c r="A867" s="3" t="str">
        <x:v>2202010</x:v>
      </x:c>
      <x:c r="B867" s="3" t="str">
        <x:v>SEC009</x:v>
      </x:c>
      <x:c r="C867" s="3" t="n">
        <x:v>8</x:v>
      </x:c>
      <x:c r="D867" s="3" t="str">
        <x:v>present</x:v>
      </x:c>
      <x:c r="E867" s="5" t="str">
        <x:f>VLOOKUP(B867,Sections!$A$5:$I$45,3,FALSE)</x:f>
        <x:v>2024-2</x:v>
      </x:c>
    </x:row>
    <x:row r="868" ht="21" customHeight="1">
      <x:c r="A868" s="3" t="str">
        <x:v>2202010</x:v>
      </x:c>
      <x:c r="B868" s="3" t="str">
        <x:v>SEC009</x:v>
      </x:c>
      <x:c r="C868" s="3" t="n">
        <x:v>9</x:v>
      </x:c>
      <x:c r="D868" s="3" t="str">
        <x:v>absent</x:v>
      </x:c>
      <x:c r="E868" s="5" t="str">
        <x:f>VLOOKUP(B868,Sections!$A$5:$I$45,3,FALSE)</x:f>
        <x:v>2024-2</x:v>
      </x:c>
    </x:row>
    <x:row r="869" ht="21" customHeight="1">
      <x:c r="A869" s="3" t="str">
        <x:v>2202010</x:v>
      </x:c>
      <x:c r="B869" s="3" t="str">
        <x:v>SEC009</x:v>
      </x:c>
      <x:c r="C869" s="3" t="n">
        <x:v>10</x:v>
      </x:c>
      <x:c r="D869" s="3" t="str">
        <x:v>present</x:v>
      </x:c>
      <x:c r="E869" s="5" t="str">
        <x:f>VLOOKUP(B869,Sections!$A$5:$I$45,3,FALSE)</x:f>
        <x:v>2024-2</x:v>
      </x:c>
    </x:row>
    <x:row r="870" ht="21" customHeight="1">
      <x:c r="A870" s="3" t="str">
        <x:v>2202010</x:v>
      </x:c>
      <x:c r="B870" s="3" t="str">
        <x:v>SEC009</x:v>
      </x:c>
      <x:c r="C870" s="3" t="n">
        <x:v>11</x:v>
      </x:c>
      <x:c r="D870" s="3" t="str">
        <x:v>present</x:v>
      </x:c>
      <x:c r="E870" s="5" t="str">
        <x:f>VLOOKUP(B870,Sections!$A$5:$I$45,3,FALSE)</x:f>
        <x:v>2024-2</x:v>
      </x:c>
    </x:row>
    <x:row r="871" ht="21" customHeight="1">
      <x:c r="A871" s="3" t="str">
        <x:v>2202010</x:v>
      </x:c>
      <x:c r="B871" s="3" t="str">
        <x:v>SEC009</x:v>
      </x:c>
      <x:c r="C871" s="3" t="n">
        <x:v>12</x:v>
      </x:c>
      <x:c r="D871" s="3" t="str">
        <x:v>present</x:v>
      </x:c>
      <x:c r="E871" s="5" t="str">
        <x:f>VLOOKUP(B871,Sections!$A$5:$I$45,3,FALSE)</x:f>
        <x:v>2024-2</x:v>
      </x:c>
    </x:row>
    <x:row r="872" ht="21" customHeight="1">
      <x:c r="A872" s="3" t="str">
        <x:v>2202010</x:v>
      </x:c>
      <x:c r="B872" s="3" t="str">
        <x:v>SEC009</x:v>
      </x:c>
      <x:c r="C872" s="3" t="n">
        <x:v>13</x:v>
      </x:c>
      <x:c r="D872" s="3" t="str">
        <x:v>absent</x:v>
      </x:c>
      <x:c r="E872" s="5" t="str">
        <x:f>VLOOKUP(B872,Sections!$A$5:$I$45,3,FALSE)</x:f>
        <x:v>2024-2</x:v>
      </x:c>
    </x:row>
    <x:row r="873" ht="21" customHeight="1">
      <x:c r="A873" s="3" t="str">
        <x:v>2202010</x:v>
      </x:c>
      <x:c r="B873" s="3" t="str">
        <x:v>SEC009</x:v>
      </x:c>
      <x:c r="C873" s="3" t="n">
        <x:v>14</x:v>
      </x:c>
      <x:c r="D873" s="3" t="str">
        <x:v>late</x:v>
      </x:c>
      <x:c r="E873" s="5" t="str">
        <x:f>VLOOKUP(B873,Sections!$A$5:$I$45,3,FALSE)</x:f>
        <x:v>2024-2</x:v>
      </x:c>
    </x:row>
    <x:row r="874" ht="21" customHeight="1">
      <x:c r="A874" s="3" t="str">
        <x:v>2202010</x:v>
      </x:c>
      <x:c r="B874" s="3" t="str">
        <x:v>SEC009</x:v>
      </x:c>
      <x:c r="C874" s="3" t="n">
        <x:v>15</x:v>
      </x:c>
      <x:c r="D874" s="3" t="str">
        <x:v>absent</x:v>
      </x:c>
      <x:c r="E874" s="5" t="str">
        <x:f>VLOOKUP(B874,Sections!$A$5:$I$45,3,FALSE)</x:f>
        <x:v>2024-2</x:v>
      </x:c>
    </x:row>
    <x:row r="875" ht="21" customHeight="1">
      <x:c r="A875" s="3" t="str">
        <x:v>2202011</x:v>
      </x:c>
      <x:c r="B875" s="3" t="str">
        <x:v>SEC010</x:v>
      </x:c>
      <x:c r="C875" s="3" t="n">
        <x:v>1</x:v>
      </x:c>
      <x:c r="D875" s="3" t="str">
        <x:v>present</x:v>
      </x:c>
      <x:c r="E875" s="5" t="str">
        <x:f>VLOOKUP(B875,Sections!$A$5:$I$45,3,FALSE)</x:f>
        <x:v>2024-2</x:v>
      </x:c>
    </x:row>
    <x:row r="876" ht="21" customHeight="1">
      <x:c r="A876" s="3" t="str">
        <x:v>2202011</x:v>
      </x:c>
      <x:c r="B876" s="3" t="str">
        <x:v>SEC010</x:v>
      </x:c>
      <x:c r="C876" s="3" t="n">
        <x:v>2</x:v>
      </x:c>
      <x:c r="D876" s="3" t="str">
        <x:v>present</x:v>
      </x:c>
      <x:c r="E876" s="5" t="str">
        <x:f>VLOOKUP(B876,Sections!$A$5:$I$45,3,FALSE)</x:f>
        <x:v>2024-2</x:v>
      </x:c>
    </x:row>
    <x:row r="877" ht="21" customHeight="1">
      <x:c r="A877" s="3" t="str">
        <x:v>2202011</x:v>
      </x:c>
      <x:c r="B877" s="3" t="str">
        <x:v>SEC010</x:v>
      </x:c>
      <x:c r="C877" s="3" t="n">
        <x:v>3</x:v>
      </x:c>
      <x:c r="D877" s="3" t="str">
        <x:v>present</x:v>
      </x:c>
      <x:c r="E877" s="5" t="str">
        <x:f>VLOOKUP(B877,Sections!$A$5:$I$45,3,FALSE)</x:f>
        <x:v>2024-2</x:v>
      </x:c>
    </x:row>
    <x:row r="878" ht="21" customHeight="1">
      <x:c r="A878" s="3" t="str">
        <x:v>2202011</x:v>
      </x:c>
      <x:c r="B878" s="3" t="str">
        <x:v>SEC010</x:v>
      </x:c>
      <x:c r="C878" s="3" t="n">
        <x:v>4</x:v>
      </x:c>
      <x:c r="D878" s="3" t="str">
        <x:v>present</x:v>
      </x:c>
      <x:c r="E878" s="5" t="str">
        <x:f>VLOOKUP(B878,Sections!$A$5:$I$45,3,FALSE)</x:f>
        <x:v>2024-2</x:v>
      </x:c>
    </x:row>
    <x:row r="879" ht="21" customHeight="1">
      <x:c r="A879" s="3" t="str">
        <x:v>2202011</x:v>
      </x:c>
      <x:c r="B879" s="3" t="str">
        <x:v>SEC010</x:v>
      </x:c>
      <x:c r="C879" s="3" t="n">
        <x:v>5</x:v>
      </x:c>
      <x:c r="D879" s="3" t="str">
        <x:v>present</x:v>
      </x:c>
      <x:c r="E879" s="5" t="str">
        <x:f>VLOOKUP(B879,Sections!$A$5:$I$45,3,FALSE)</x:f>
        <x:v>2024-2</x:v>
      </x:c>
    </x:row>
    <x:row r="880" ht="21" customHeight="1">
      <x:c r="A880" s="3" t="str">
        <x:v>2202011</x:v>
      </x:c>
      <x:c r="B880" s="3" t="str">
        <x:v>SEC010</x:v>
      </x:c>
      <x:c r="C880" s="3" t="n">
        <x:v>6</x:v>
      </x:c>
      <x:c r="D880" s="3" t="str">
        <x:v>present</x:v>
      </x:c>
      <x:c r="E880" s="5" t="str">
        <x:f>VLOOKUP(B880,Sections!$A$5:$I$45,3,FALSE)</x:f>
        <x:v>2024-2</x:v>
      </x:c>
    </x:row>
    <x:row r="881" ht="21" customHeight="1">
      <x:c r="A881" s="3" t="str">
        <x:v>2202011</x:v>
      </x:c>
      <x:c r="B881" s="3" t="str">
        <x:v>SEC010</x:v>
      </x:c>
      <x:c r="C881" s="3" t="n">
        <x:v>7</x:v>
      </x:c>
      <x:c r="D881" s="3" t="str">
        <x:v>present</x:v>
      </x:c>
      <x:c r="E881" s="5" t="str">
        <x:f>VLOOKUP(B881,Sections!$A$5:$I$45,3,FALSE)</x:f>
        <x:v>2024-2</x:v>
      </x:c>
    </x:row>
    <x:row r="882" ht="21" customHeight="1">
      <x:c r="A882" s="3" t="str">
        <x:v>2202011</x:v>
      </x:c>
      <x:c r="B882" s="3" t="str">
        <x:v>SEC010</x:v>
      </x:c>
      <x:c r="C882" s="3" t="n">
        <x:v>8</x:v>
      </x:c>
      <x:c r="D882" s="3" t="str">
        <x:v>present</x:v>
      </x:c>
      <x:c r="E882" s="5" t="str">
        <x:f>VLOOKUP(B882,Sections!$A$5:$I$45,3,FALSE)</x:f>
        <x:v>2024-2</x:v>
      </x:c>
    </x:row>
    <x:row r="883" ht="21" customHeight="1">
      <x:c r="A883" s="3" t="str">
        <x:v>2202011</x:v>
      </x:c>
      <x:c r="B883" s="3" t="str">
        <x:v>SEC010</x:v>
      </x:c>
      <x:c r="C883" s="3" t="n">
        <x:v>9</x:v>
      </x:c>
      <x:c r="D883" s="3" t="str">
        <x:v>absent</x:v>
      </x:c>
      <x:c r="E883" s="5" t="str">
        <x:f>VLOOKUP(B883,Sections!$A$5:$I$45,3,FALSE)</x:f>
        <x:v>2024-2</x:v>
      </x:c>
    </x:row>
    <x:row r="884" ht="21" customHeight="1">
      <x:c r="A884" s="3" t="str">
        <x:v>2202011</x:v>
      </x:c>
      <x:c r="B884" s="3" t="str">
        <x:v>SEC010</x:v>
      </x:c>
      <x:c r="C884" s="3" t="n">
        <x:v>10</x:v>
      </x:c>
      <x:c r="D884" s="3" t="str">
        <x:v>present</x:v>
      </x:c>
      <x:c r="E884" s="5" t="str">
        <x:f>VLOOKUP(B884,Sections!$A$5:$I$45,3,FALSE)</x:f>
        <x:v>2024-2</x:v>
      </x:c>
    </x:row>
    <x:row r="885" ht="21" customHeight="1">
      <x:c r="A885" s="3" t="str">
        <x:v>2202011</x:v>
      </x:c>
      <x:c r="B885" s="3" t="str">
        <x:v>SEC010</x:v>
      </x:c>
      <x:c r="C885" s="3" t="n">
        <x:v>11</x:v>
      </x:c>
      <x:c r="D885" s="3" t="str">
        <x:v>present</x:v>
      </x:c>
      <x:c r="E885" s="5" t="str">
        <x:f>VLOOKUP(B885,Sections!$A$5:$I$45,3,FALSE)</x:f>
        <x:v>2024-2</x:v>
      </x:c>
    </x:row>
    <x:row r="886" ht="21" customHeight="1">
      <x:c r="A886" s="3" t="str">
        <x:v>2202011</x:v>
      </x:c>
      <x:c r="B886" s="3" t="str">
        <x:v>SEC010</x:v>
      </x:c>
      <x:c r="C886" s="3" t="n">
        <x:v>12</x:v>
      </x:c>
      <x:c r="D886" s="3" t="str">
        <x:v>present</x:v>
      </x:c>
      <x:c r="E886" s="5" t="str">
        <x:f>VLOOKUP(B886,Sections!$A$5:$I$45,3,FALSE)</x:f>
        <x:v>2024-2</x:v>
      </x:c>
    </x:row>
    <x:row r="887" ht="21" customHeight="1">
      <x:c r="A887" s="3" t="str">
        <x:v>2202011</x:v>
      </x:c>
      <x:c r="B887" s="3" t="str">
        <x:v>SEC010</x:v>
      </x:c>
      <x:c r="C887" s="3" t="n">
        <x:v>13</x:v>
      </x:c>
      <x:c r="D887" s="3" t="str">
        <x:v>present</x:v>
      </x:c>
      <x:c r="E887" s="5" t="str">
        <x:f>VLOOKUP(B887,Sections!$A$5:$I$45,3,FALSE)</x:f>
        <x:v>2024-2</x:v>
      </x:c>
    </x:row>
    <x:row r="888" ht="21" customHeight="1">
      <x:c r="A888" s="3" t="str">
        <x:v>2202011</x:v>
      </x:c>
      <x:c r="B888" s="3" t="str">
        <x:v>SEC010</x:v>
      </x:c>
      <x:c r="C888" s="3" t="n">
        <x:v>14</x:v>
      </x:c>
      <x:c r="D888" s="3" t="str">
        <x:v>present</x:v>
      </x:c>
      <x:c r="E888" s="5" t="str">
        <x:f>VLOOKUP(B888,Sections!$A$5:$I$45,3,FALSE)</x:f>
        <x:v>2024-2</x:v>
      </x:c>
    </x:row>
    <x:row r="889" ht="21" customHeight="1">
      <x:c r="A889" s="3" t="str">
        <x:v>2202011</x:v>
      </x:c>
      <x:c r="B889" s="3" t="str">
        <x:v>SEC010</x:v>
      </x:c>
      <x:c r="C889" s="3" t="n">
        <x:v>15</x:v>
      </x:c>
      <x:c r="D889" s="3" t="str">
        <x:v>present</x:v>
      </x:c>
      <x:c r="E889" s="5" t="str">
        <x:f>VLOOKUP(B889,Sections!$A$5:$I$45,3,FALSE)</x:f>
        <x:v>2024-2</x:v>
      </x:c>
    </x:row>
    <x:row r="890" ht="21" customHeight="1">
      <x:c r="A890" s="3" t="str">
        <x:v>2202012</x:v>
      </x:c>
      <x:c r="B890" s="3" t="str">
        <x:v>SEC010</x:v>
      </x:c>
      <x:c r="C890" s="3" t="n">
        <x:v>1</x:v>
      </x:c>
      <x:c r="D890" s="3" t="str">
        <x:v>present</x:v>
      </x:c>
      <x:c r="E890" s="5" t="str">
        <x:f>VLOOKUP(B890,Sections!$A$5:$I$45,3,FALSE)</x:f>
        <x:v>2024-2</x:v>
      </x:c>
    </x:row>
    <x:row r="891" ht="21" customHeight="1">
      <x:c r="A891" s="3" t="str">
        <x:v>2202012</x:v>
      </x:c>
      <x:c r="B891" s="3" t="str">
        <x:v>SEC010</x:v>
      </x:c>
      <x:c r="C891" s="3" t="n">
        <x:v>2</x:v>
      </x:c>
      <x:c r="D891" s="3" t="str">
        <x:v>present</x:v>
      </x:c>
      <x:c r="E891" s="5" t="str">
        <x:f>VLOOKUP(B891,Sections!$A$5:$I$45,3,FALSE)</x:f>
        <x:v>2024-2</x:v>
      </x:c>
    </x:row>
    <x:row r="892" ht="21" customHeight="1">
      <x:c r="A892" s="3" t="str">
        <x:v>2202012</x:v>
      </x:c>
      <x:c r="B892" s="3" t="str">
        <x:v>SEC010</x:v>
      </x:c>
      <x:c r="C892" s="3" t="n">
        <x:v>3</x:v>
      </x:c>
      <x:c r="D892" s="3" t="str">
        <x:v>absent</x:v>
      </x:c>
      <x:c r="E892" s="5" t="str">
        <x:f>VLOOKUP(B892,Sections!$A$5:$I$45,3,FALSE)</x:f>
        <x:v>2024-2</x:v>
      </x:c>
    </x:row>
    <x:row r="893" ht="21" customHeight="1">
      <x:c r="A893" s="3" t="str">
        <x:v>2202012</x:v>
      </x:c>
      <x:c r="B893" s="3" t="str">
        <x:v>SEC010</x:v>
      </x:c>
      <x:c r="C893" s="3" t="n">
        <x:v>4</x:v>
      </x:c>
      <x:c r="D893" s="3" t="str">
        <x:v>present</x:v>
      </x:c>
      <x:c r="E893" s="5" t="str">
        <x:f>VLOOKUP(B893,Sections!$A$5:$I$45,3,FALSE)</x:f>
        <x:v>2024-2</x:v>
      </x:c>
    </x:row>
    <x:row r="894" ht="21" customHeight="1">
      <x:c r="A894" s="3" t="str">
        <x:v>2202012</x:v>
      </x:c>
      <x:c r="B894" s="3" t="str">
        <x:v>SEC010</x:v>
      </x:c>
      <x:c r="C894" s="3" t="n">
        <x:v>5</x:v>
      </x:c>
      <x:c r="D894" s="3" t="str">
        <x:v>present</x:v>
      </x:c>
      <x:c r="E894" s="5" t="str">
        <x:f>VLOOKUP(B894,Sections!$A$5:$I$45,3,FALSE)</x:f>
        <x:v>2024-2</x:v>
      </x:c>
    </x:row>
    <x:row r="895" ht="21" customHeight="1">
      <x:c r="A895" s="3" t="str">
        <x:v>2202012</x:v>
      </x:c>
      <x:c r="B895" s="3" t="str">
        <x:v>SEC010</x:v>
      </x:c>
      <x:c r="C895" s="3" t="n">
        <x:v>6</x:v>
      </x:c>
      <x:c r="D895" s="3" t="str">
        <x:v>present</x:v>
      </x:c>
      <x:c r="E895" s="5" t="str">
        <x:f>VLOOKUP(B895,Sections!$A$5:$I$45,3,FALSE)</x:f>
        <x:v>2024-2</x:v>
      </x:c>
    </x:row>
    <x:row r="896" ht="21" customHeight="1">
      <x:c r="A896" s="3" t="str">
        <x:v>2202012</x:v>
      </x:c>
      <x:c r="B896" s="3" t="str">
        <x:v>SEC010</x:v>
      </x:c>
      <x:c r="C896" s="3" t="n">
        <x:v>7</x:v>
      </x:c>
      <x:c r="D896" s="3" t="str">
        <x:v>present</x:v>
      </x:c>
      <x:c r="E896" s="5" t="str">
        <x:f>VLOOKUP(B896,Sections!$A$5:$I$45,3,FALSE)</x:f>
        <x:v>2024-2</x:v>
      </x:c>
    </x:row>
    <x:row r="897" ht="21" customHeight="1">
      <x:c r="A897" s="3" t="str">
        <x:v>2202012</x:v>
      </x:c>
      <x:c r="B897" s="3" t="str">
        <x:v>SEC010</x:v>
      </x:c>
      <x:c r="C897" s="3" t="n">
        <x:v>8</x:v>
      </x:c>
      <x:c r="D897" s="3" t="str">
        <x:v>excused</x:v>
      </x:c>
      <x:c r="E897" s="5" t="str">
        <x:f>VLOOKUP(B897,Sections!$A$5:$I$45,3,FALSE)</x:f>
        <x:v>2024-2</x:v>
      </x:c>
    </x:row>
    <x:row r="898" ht="21" customHeight="1">
      <x:c r="A898" s="3" t="str">
        <x:v>2202012</x:v>
      </x:c>
      <x:c r="B898" s="3" t="str">
        <x:v>SEC010</x:v>
      </x:c>
      <x:c r="C898" s="3" t="n">
        <x:v>9</x:v>
      </x:c>
      <x:c r="D898" s="3" t="str">
        <x:v>absent</x:v>
      </x:c>
      <x:c r="E898" s="5" t="str">
        <x:f>VLOOKUP(B898,Sections!$A$5:$I$45,3,FALSE)</x:f>
        <x:v>2024-2</x:v>
      </x:c>
    </x:row>
    <x:row r="899" ht="21" customHeight="1">
      <x:c r="A899" s="3" t="str">
        <x:v>2202012</x:v>
      </x:c>
      <x:c r="B899" s="3" t="str">
        <x:v>SEC010</x:v>
      </x:c>
      <x:c r="C899" s="3" t="n">
        <x:v>10</x:v>
      </x:c>
      <x:c r="D899" s="3" t="str">
        <x:v>present</x:v>
      </x:c>
      <x:c r="E899" s="5" t="str">
        <x:f>VLOOKUP(B899,Sections!$A$5:$I$45,3,FALSE)</x:f>
        <x:v>2024-2</x:v>
      </x:c>
    </x:row>
    <x:row r="900" ht="21" customHeight="1">
      <x:c r="A900" s="3" t="str">
        <x:v>2202012</x:v>
      </x:c>
      <x:c r="B900" s="3" t="str">
        <x:v>SEC010</x:v>
      </x:c>
      <x:c r="C900" s="3" t="n">
        <x:v>11</x:v>
      </x:c>
      <x:c r="D900" s="3" t="str">
        <x:v>present</x:v>
      </x:c>
      <x:c r="E900" s="5" t="str">
        <x:f>VLOOKUP(B900,Sections!$A$5:$I$45,3,FALSE)</x:f>
        <x:v>2024-2</x:v>
      </x:c>
    </x:row>
    <x:row r="901" ht="21" customHeight="1">
      <x:c r="A901" s="3" t="str">
        <x:v>2202012</x:v>
      </x:c>
      <x:c r="B901" s="3" t="str">
        <x:v>SEC010</x:v>
      </x:c>
      <x:c r="C901" s="3" t="n">
        <x:v>12</x:v>
      </x:c>
      <x:c r="D901" s="3" t="str">
        <x:v>present</x:v>
      </x:c>
      <x:c r="E901" s="5" t="str">
        <x:f>VLOOKUP(B901,Sections!$A$5:$I$45,3,FALSE)</x:f>
        <x:v>2024-2</x:v>
      </x:c>
    </x:row>
    <x:row r="902" ht="21" customHeight="1">
      <x:c r="A902" s="3" t="str">
        <x:v>2202012</x:v>
      </x:c>
      <x:c r="B902" s="3" t="str">
        <x:v>SEC010</x:v>
      </x:c>
      <x:c r="C902" s="3" t="n">
        <x:v>13</x:v>
      </x:c>
      <x:c r="D902" s="3" t="str">
        <x:v>present</x:v>
      </x:c>
      <x:c r="E902" s="5" t="str">
        <x:f>VLOOKUP(B902,Sections!$A$5:$I$45,3,FALSE)</x:f>
        <x:v>2024-2</x:v>
      </x:c>
    </x:row>
    <x:row r="903" ht="21" customHeight="1">
      <x:c r="A903" s="3" t="str">
        <x:v>2202012</x:v>
      </x:c>
      <x:c r="B903" s="3" t="str">
        <x:v>SEC010</x:v>
      </x:c>
      <x:c r="C903" s="3" t="n">
        <x:v>14</x:v>
      </x:c>
      <x:c r="D903" s="3" t="str">
        <x:v>present</x:v>
      </x:c>
      <x:c r="E903" s="5" t="str">
        <x:f>VLOOKUP(B903,Sections!$A$5:$I$45,3,FALSE)</x:f>
        <x:v>2024-2</x:v>
      </x:c>
    </x:row>
    <x:row r="904" ht="21" customHeight="1">
      <x:c r="A904" s="3" t="str">
        <x:v>2202012</x:v>
      </x:c>
      <x:c r="B904" s="3" t="str">
        <x:v>SEC010</x:v>
      </x:c>
      <x:c r="C904" s="3" t="n">
        <x:v>15</x:v>
      </x:c>
      <x:c r="D904" s="3" t="str">
        <x:v>present</x:v>
      </x:c>
      <x:c r="E904" s="5" t="str">
        <x:f>VLOOKUP(B904,Sections!$A$5:$I$45,3,FALSE)</x:f>
        <x:v>2024-2</x:v>
      </x:c>
    </x:row>
    <x:row r="905" ht="21" customHeight="1">
      <x:c r="A905" s="3" t="str">
        <x:v>2202013</x:v>
      </x:c>
      <x:c r="B905" s="3" t="str">
        <x:v>SEC010</x:v>
      </x:c>
      <x:c r="C905" s="3" t="n">
        <x:v>1</x:v>
      </x:c>
      <x:c r="D905" s="3" t="str">
        <x:v>absent</x:v>
      </x:c>
      <x:c r="E905" s="5" t="str">
        <x:f>VLOOKUP(B905,Sections!$A$5:$I$45,3,FALSE)</x:f>
        <x:v>2024-2</x:v>
      </x:c>
    </x:row>
    <x:row r="906" ht="21" customHeight="1">
      <x:c r="A906" s="3" t="str">
        <x:v>2202013</x:v>
      </x:c>
      <x:c r="B906" s="3" t="str">
        <x:v>SEC010</x:v>
      </x:c>
      <x:c r="C906" s="3" t="n">
        <x:v>2</x:v>
      </x:c>
      <x:c r="D906" s="3" t="str">
        <x:v>present</x:v>
      </x:c>
      <x:c r="E906" s="5" t="str">
        <x:f>VLOOKUP(B906,Sections!$A$5:$I$45,3,FALSE)</x:f>
        <x:v>2024-2</x:v>
      </x:c>
    </x:row>
    <x:row r="907" ht="21" customHeight="1">
      <x:c r="A907" s="3" t="str">
        <x:v>2202013</x:v>
      </x:c>
      <x:c r="B907" s="3" t="str">
        <x:v>SEC010</x:v>
      </x:c>
      <x:c r="C907" s="3" t="n">
        <x:v>3</x:v>
      </x:c>
      <x:c r="D907" s="3" t="str">
        <x:v>present</x:v>
      </x:c>
      <x:c r="E907" s="5" t="str">
        <x:f>VLOOKUP(B907,Sections!$A$5:$I$45,3,FALSE)</x:f>
        <x:v>2024-2</x:v>
      </x:c>
    </x:row>
    <x:row r="908" ht="21" customHeight="1">
      <x:c r="A908" s="3" t="str">
        <x:v>2202013</x:v>
      </x:c>
      <x:c r="B908" s="3" t="str">
        <x:v>SEC010</x:v>
      </x:c>
      <x:c r="C908" s="3" t="n">
        <x:v>4</x:v>
      </x:c>
      <x:c r="D908" s="3" t="str">
        <x:v>present</x:v>
      </x:c>
      <x:c r="E908" s="5" t="str">
        <x:f>VLOOKUP(B908,Sections!$A$5:$I$45,3,FALSE)</x:f>
        <x:v>2024-2</x:v>
      </x:c>
    </x:row>
    <x:row r="909" ht="21" customHeight="1">
      <x:c r="A909" s="3" t="str">
        <x:v>2202013</x:v>
      </x:c>
      <x:c r="B909" s="3" t="str">
        <x:v>SEC010</x:v>
      </x:c>
      <x:c r="C909" s="3" t="n">
        <x:v>5</x:v>
      </x:c>
      <x:c r="D909" s="3" t="str">
        <x:v>present</x:v>
      </x:c>
      <x:c r="E909" s="5" t="str">
        <x:f>VLOOKUP(B909,Sections!$A$5:$I$45,3,FALSE)</x:f>
        <x:v>2024-2</x:v>
      </x:c>
    </x:row>
    <x:row r="910" ht="21" customHeight="1">
      <x:c r="A910" s="3" t="str">
        <x:v>2202013</x:v>
      </x:c>
      <x:c r="B910" s="3" t="str">
        <x:v>SEC010</x:v>
      </x:c>
      <x:c r="C910" s="3" t="n">
        <x:v>6</x:v>
      </x:c>
      <x:c r="D910" s="3" t="str">
        <x:v>present</x:v>
      </x:c>
      <x:c r="E910" s="5" t="str">
        <x:f>VLOOKUP(B910,Sections!$A$5:$I$45,3,FALSE)</x:f>
        <x:v>2024-2</x:v>
      </x:c>
    </x:row>
    <x:row r="911" ht="21" customHeight="1">
      <x:c r="A911" s="3" t="str">
        <x:v>2202013</x:v>
      </x:c>
      <x:c r="B911" s="3" t="str">
        <x:v>SEC010</x:v>
      </x:c>
      <x:c r="C911" s="3" t="n">
        <x:v>7</x:v>
      </x:c>
      <x:c r="D911" s="3" t="str">
        <x:v>present</x:v>
      </x:c>
      <x:c r="E911" s="5" t="str">
        <x:f>VLOOKUP(B911,Sections!$A$5:$I$45,3,FALSE)</x:f>
        <x:v>2024-2</x:v>
      </x:c>
    </x:row>
    <x:row r="912" ht="21" customHeight="1">
      <x:c r="A912" s="3" t="str">
        <x:v>2202013</x:v>
      </x:c>
      <x:c r="B912" s="3" t="str">
        <x:v>SEC010</x:v>
      </x:c>
      <x:c r="C912" s="3" t="n">
        <x:v>8</x:v>
      </x:c>
      <x:c r="D912" s="3" t="str">
        <x:v>present</x:v>
      </x:c>
      <x:c r="E912" s="5" t="str">
        <x:f>VLOOKUP(B912,Sections!$A$5:$I$45,3,FALSE)</x:f>
        <x:v>2024-2</x:v>
      </x:c>
    </x:row>
    <x:row r="913" ht="21" customHeight="1">
      <x:c r="A913" s="3" t="str">
        <x:v>2202013</x:v>
      </x:c>
      <x:c r="B913" s="3" t="str">
        <x:v>SEC010</x:v>
      </x:c>
      <x:c r="C913" s="3" t="n">
        <x:v>9</x:v>
      </x:c>
      <x:c r="D913" s="3" t="str">
        <x:v>present</x:v>
      </x:c>
      <x:c r="E913" s="5" t="str">
        <x:f>VLOOKUP(B913,Sections!$A$5:$I$45,3,FALSE)</x:f>
        <x:v>2024-2</x:v>
      </x:c>
    </x:row>
    <x:row r="914" ht="21" customHeight="1">
      <x:c r="A914" s="3" t="str">
        <x:v>2202013</x:v>
      </x:c>
      <x:c r="B914" s="3" t="str">
        <x:v>SEC010</x:v>
      </x:c>
      <x:c r="C914" s="3" t="n">
        <x:v>10</x:v>
      </x:c>
      <x:c r="D914" s="3" t="str">
        <x:v>present</x:v>
      </x:c>
      <x:c r="E914" s="5" t="str">
        <x:f>VLOOKUP(B914,Sections!$A$5:$I$45,3,FALSE)</x:f>
        <x:v>2024-2</x:v>
      </x:c>
    </x:row>
    <x:row r="915" ht="21" customHeight="1">
      <x:c r="A915" s="3" t="str">
        <x:v>2202013</x:v>
      </x:c>
      <x:c r="B915" s="3" t="str">
        <x:v>SEC010</x:v>
      </x:c>
      <x:c r="C915" s="3" t="n">
        <x:v>11</x:v>
      </x:c>
      <x:c r="D915" s="3" t="str">
        <x:v>present</x:v>
      </x:c>
      <x:c r="E915" s="5" t="str">
        <x:f>VLOOKUP(B915,Sections!$A$5:$I$45,3,FALSE)</x:f>
        <x:v>2024-2</x:v>
      </x:c>
    </x:row>
    <x:row r="916" ht="21" customHeight="1">
      <x:c r="A916" s="3" t="str">
        <x:v>2202013</x:v>
      </x:c>
      <x:c r="B916" s="3" t="str">
        <x:v>SEC010</x:v>
      </x:c>
      <x:c r="C916" s="3" t="n">
        <x:v>12</x:v>
      </x:c>
      <x:c r="D916" s="3" t="str">
        <x:v>absent</x:v>
      </x:c>
      <x:c r="E916" s="5" t="str">
        <x:f>VLOOKUP(B916,Sections!$A$5:$I$45,3,FALSE)</x:f>
        <x:v>2024-2</x:v>
      </x:c>
    </x:row>
    <x:row r="917" ht="21" customHeight="1">
      <x:c r="A917" s="3" t="str">
        <x:v>2202013</x:v>
      </x:c>
      <x:c r="B917" s="3" t="str">
        <x:v>SEC010</x:v>
      </x:c>
      <x:c r="C917" s="3" t="n">
        <x:v>13</x:v>
      </x:c>
      <x:c r="D917" s="3" t="str">
        <x:v>present</x:v>
      </x:c>
      <x:c r="E917" s="5" t="str">
        <x:f>VLOOKUP(B917,Sections!$A$5:$I$45,3,FALSE)</x:f>
        <x:v>2024-2</x:v>
      </x:c>
    </x:row>
    <x:row r="918" ht="21" customHeight="1">
      <x:c r="A918" s="3" t="str">
        <x:v>2202013</x:v>
      </x:c>
      <x:c r="B918" s="3" t="str">
        <x:v>SEC010</x:v>
      </x:c>
      <x:c r="C918" s="3" t="n">
        <x:v>14</x:v>
      </x:c>
      <x:c r="D918" s="3" t="str">
        <x:v>present</x:v>
      </x:c>
      <x:c r="E918" s="5" t="str">
        <x:f>VLOOKUP(B918,Sections!$A$5:$I$45,3,FALSE)</x:f>
        <x:v>2024-2</x:v>
      </x:c>
    </x:row>
    <x:row r="919" ht="21" customHeight="1">
      <x:c r="A919" s="3" t="str">
        <x:v>2202013</x:v>
      </x:c>
      <x:c r="B919" s="3" t="str">
        <x:v>SEC010</x:v>
      </x:c>
      <x:c r="C919" s="3" t="n">
        <x:v>15</x:v>
      </x:c>
      <x:c r="D919" s="3" t="str">
        <x:v>present</x:v>
      </x:c>
      <x:c r="E919" s="5" t="str">
        <x:f>VLOOKUP(B919,Sections!$A$5:$I$45,3,FALSE)</x:f>
        <x:v>2024-2</x:v>
      </x:c>
    </x:row>
    <x:row r="920" ht="21" customHeight="1">
      <x:c r="A920" s="3" t="str">
        <x:v>2202014</x:v>
      </x:c>
      <x:c r="B920" s="3" t="str">
        <x:v>SEC010</x:v>
      </x:c>
      <x:c r="C920" s="3" t="n">
        <x:v>1</x:v>
      </x:c>
      <x:c r="D920" s="3" t="str">
        <x:v>present</x:v>
      </x:c>
      <x:c r="E920" s="5" t="str">
        <x:f>VLOOKUP(B920,Sections!$A$5:$I$45,3,FALSE)</x:f>
        <x:v>2024-2</x:v>
      </x:c>
    </x:row>
    <x:row r="921" ht="21" customHeight="1">
      <x:c r="A921" s="3" t="str">
        <x:v>2202014</x:v>
      </x:c>
      <x:c r="B921" s="3" t="str">
        <x:v>SEC010</x:v>
      </x:c>
      <x:c r="C921" s="3" t="n">
        <x:v>2</x:v>
      </x:c>
      <x:c r="D921" s="3" t="str">
        <x:v>present</x:v>
      </x:c>
      <x:c r="E921" s="5" t="str">
        <x:f>VLOOKUP(B921,Sections!$A$5:$I$45,3,FALSE)</x:f>
        <x:v>2024-2</x:v>
      </x:c>
    </x:row>
    <x:row r="922" ht="21" customHeight="1">
      <x:c r="A922" s="3" t="str">
        <x:v>2202014</x:v>
      </x:c>
      <x:c r="B922" s="3" t="str">
        <x:v>SEC010</x:v>
      </x:c>
      <x:c r="C922" s="3" t="n">
        <x:v>3</x:v>
      </x:c>
      <x:c r="D922" s="3" t="str">
        <x:v>present</x:v>
      </x:c>
      <x:c r="E922" s="5" t="str">
        <x:f>VLOOKUP(B922,Sections!$A$5:$I$45,3,FALSE)</x:f>
        <x:v>2024-2</x:v>
      </x:c>
    </x:row>
    <x:row r="923" ht="21" customHeight="1">
      <x:c r="A923" s="3" t="str">
        <x:v>2202014</x:v>
      </x:c>
      <x:c r="B923" s="3" t="str">
        <x:v>SEC010</x:v>
      </x:c>
      <x:c r="C923" s="3" t="n">
        <x:v>4</x:v>
      </x:c>
      <x:c r="D923" s="3" t="str">
        <x:v>present</x:v>
      </x:c>
      <x:c r="E923" s="5" t="str">
        <x:f>VLOOKUP(B923,Sections!$A$5:$I$45,3,FALSE)</x:f>
        <x:v>2024-2</x:v>
      </x:c>
    </x:row>
    <x:row r="924" ht="21" customHeight="1">
      <x:c r="A924" s="3" t="str">
        <x:v>2202014</x:v>
      </x:c>
      <x:c r="B924" s="3" t="str">
        <x:v>SEC010</x:v>
      </x:c>
      <x:c r="C924" s="3" t="n">
        <x:v>5</x:v>
      </x:c>
      <x:c r="D924" s="3" t="str">
        <x:v>present</x:v>
      </x:c>
      <x:c r="E924" s="5" t="str">
        <x:f>VLOOKUP(B924,Sections!$A$5:$I$45,3,FALSE)</x:f>
        <x:v>2024-2</x:v>
      </x:c>
    </x:row>
    <x:row r="925" ht="21" customHeight="1">
      <x:c r="A925" s="3" t="str">
        <x:v>2202014</x:v>
      </x:c>
      <x:c r="B925" s="3" t="str">
        <x:v>SEC010</x:v>
      </x:c>
      <x:c r="C925" s="3" t="n">
        <x:v>6</x:v>
      </x:c>
      <x:c r="D925" s="3" t="str">
        <x:v>late</x:v>
      </x:c>
      <x:c r="E925" s="5" t="str">
        <x:f>VLOOKUP(B925,Sections!$A$5:$I$45,3,FALSE)</x:f>
        <x:v>2024-2</x:v>
      </x:c>
    </x:row>
    <x:row r="926" ht="21" customHeight="1">
      <x:c r="A926" s="3" t="str">
        <x:v>2202014</x:v>
      </x:c>
      <x:c r="B926" s="3" t="str">
        <x:v>SEC010</x:v>
      </x:c>
      <x:c r="C926" s="3" t="n">
        <x:v>7</x:v>
      </x:c>
      <x:c r="D926" s="3" t="str">
        <x:v>present</x:v>
      </x:c>
      <x:c r="E926" s="5" t="str">
        <x:f>VLOOKUP(B926,Sections!$A$5:$I$45,3,FALSE)</x:f>
        <x:v>2024-2</x:v>
      </x:c>
    </x:row>
    <x:row r="927" ht="21" customHeight="1">
      <x:c r="A927" s="3" t="str">
        <x:v>2202014</x:v>
      </x:c>
      <x:c r="B927" s="3" t="str">
        <x:v>SEC010</x:v>
      </x:c>
      <x:c r="C927" s="3" t="n">
        <x:v>8</x:v>
      </x:c>
      <x:c r="D927" s="3" t="str">
        <x:v>present</x:v>
      </x:c>
      <x:c r="E927" s="5" t="str">
        <x:f>VLOOKUP(B927,Sections!$A$5:$I$45,3,FALSE)</x:f>
        <x:v>2024-2</x:v>
      </x:c>
    </x:row>
    <x:row r="928" ht="21" customHeight="1">
      <x:c r="A928" s="3" t="str">
        <x:v>2202014</x:v>
      </x:c>
      <x:c r="B928" s="3" t="str">
        <x:v>SEC010</x:v>
      </x:c>
      <x:c r="C928" s="3" t="n">
        <x:v>9</x:v>
      </x:c>
      <x:c r="D928" s="3" t="str">
        <x:v>present</x:v>
      </x:c>
      <x:c r="E928" s="5" t="str">
        <x:f>VLOOKUP(B928,Sections!$A$5:$I$45,3,FALSE)</x:f>
        <x:v>2024-2</x:v>
      </x:c>
    </x:row>
    <x:row r="929" ht="21" customHeight="1">
      <x:c r="A929" s="3" t="str">
        <x:v>2202014</x:v>
      </x:c>
      <x:c r="B929" s="3" t="str">
        <x:v>SEC010</x:v>
      </x:c>
      <x:c r="C929" s="3" t="n">
        <x:v>10</x:v>
      </x:c>
      <x:c r="D929" s="3" t="str">
        <x:v>present</x:v>
      </x:c>
      <x:c r="E929" s="5" t="str">
        <x:f>VLOOKUP(B929,Sections!$A$5:$I$45,3,FALSE)</x:f>
        <x:v>2024-2</x:v>
      </x:c>
    </x:row>
    <x:row r="930" ht="21" customHeight="1">
      <x:c r="A930" s="3" t="str">
        <x:v>2202014</x:v>
      </x:c>
      <x:c r="B930" s="3" t="str">
        <x:v>SEC010</x:v>
      </x:c>
      <x:c r="C930" s="3" t="n">
        <x:v>11</x:v>
      </x:c>
      <x:c r="D930" s="3" t="str">
        <x:v>present</x:v>
      </x:c>
      <x:c r="E930" s="5" t="str">
        <x:f>VLOOKUP(B930,Sections!$A$5:$I$45,3,FALSE)</x:f>
        <x:v>2024-2</x:v>
      </x:c>
    </x:row>
    <x:row r="931" ht="21" customHeight="1">
      <x:c r="A931" s="3" t="str">
        <x:v>2202014</x:v>
      </x:c>
      <x:c r="B931" s="3" t="str">
        <x:v>SEC010</x:v>
      </x:c>
      <x:c r="C931" s="3" t="n">
        <x:v>12</x:v>
      </x:c>
      <x:c r="D931" s="3" t="str">
        <x:v>present</x:v>
      </x:c>
      <x:c r="E931" s="5" t="str">
        <x:f>VLOOKUP(B931,Sections!$A$5:$I$45,3,FALSE)</x:f>
        <x:v>2024-2</x:v>
      </x:c>
    </x:row>
    <x:row r="932" ht="21" customHeight="1">
      <x:c r="A932" s="3" t="str">
        <x:v>2202014</x:v>
      </x:c>
      <x:c r="B932" s="3" t="str">
        <x:v>SEC010</x:v>
      </x:c>
      <x:c r="C932" s="3" t="n">
        <x:v>13</x:v>
      </x:c>
      <x:c r="D932" s="3" t="str">
        <x:v>excused</x:v>
      </x:c>
      <x:c r="E932" s="5" t="str">
        <x:f>VLOOKUP(B932,Sections!$A$5:$I$45,3,FALSE)</x:f>
        <x:v>2024-2</x:v>
      </x:c>
    </x:row>
    <x:row r="933" ht="21" customHeight="1">
      <x:c r="A933" s="3" t="str">
        <x:v>2202014</x:v>
      </x:c>
      <x:c r="B933" s="3" t="str">
        <x:v>SEC010</x:v>
      </x:c>
      <x:c r="C933" s="3" t="n">
        <x:v>14</x:v>
      </x:c>
      <x:c r="D933" s="3" t="str">
        <x:v>present</x:v>
      </x:c>
      <x:c r="E933" s="5" t="str">
        <x:f>VLOOKUP(B933,Sections!$A$5:$I$45,3,FALSE)</x:f>
        <x:v>2024-2</x:v>
      </x:c>
    </x:row>
    <x:row r="934" ht="21" customHeight="1">
      <x:c r="A934" s="3" t="str">
        <x:v>2202014</x:v>
      </x:c>
      <x:c r="B934" s="3" t="str">
        <x:v>SEC010</x:v>
      </x:c>
      <x:c r="C934" s="3" t="n">
        <x:v>15</x:v>
      </x:c>
      <x:c r="D934" s="3" t="str">
        <x:v>present</x:v>
      </x:c>
      <x:c r="E934" s="5" t="str">
        <x:f>VLOOKUP(B934,Sections!$A$5:$I$45,3,FALSE)</x:f>
        <x:v>2024-2</x:v>
      </x:c>
    </x:row>
    <x:row r="935" ht="21" customHeight="1">
      <x:c r="A935" s="3" t="str">
        <x:v>2202015</x:v>
      </x:c>
      <x:c r="B935" s="3" t="str">
        <x:v>SEC010</x:v>
      </x:c>
      <x:c r="C935" s="3" t="n">
        <x:v>1</x:v>
      </x:c>
      <x:c r="D935" s="3" t="str">
        <x:v>late</x:v>
      </x:c>
      <x:c r="E935" s="5" t="str">
        <x:f>VLOOKUP(B935,Sections!$A$5:$I$45,3,FALSE)</x:f>
        <x:v>2024-2</x:v>
      </x:c>
    </x:row>
    <x:row r="936" ht="21" customHeight="1">
      <x:c r="A936" s="3" t="str">
        <x:v>2202015</x:v>
      </x:c>
      <x:c r="B936" s="3" t="str">
        <x:v>SEC010</x:v>
      </x:c>
      <x:c r="C936" s="3" t="n">
        <x:v>2</x:v>
      </x:c>
      <x:c r="D936" s="3" t="str">
        <x:v>present</x:v>
      </x:c>
      <x:c r="E936" s="5" t="str">
        <x:f>VLOOKUP(B936,Sections!$A$5:$I$45,3,FALSE)</x:f>
        <x:v>2024-2</x:v>
      </x:c>
    </x:row>
    <x:row r="937" ht="21" customHeight="1">
      <x:c r="A937" s="3" t="str">
        <x:v>2202015</x:v>
      </x:c>
      <x:c r="B937" s="3" t="str">
        <x:v>SEC010</x:v>
      </x:c>
      <x:c r="C937" s="3" t="n">
        <x:v>3</x:v>
      </x:c>
      <x:c r="D937" s="3" t="str">
        <x:v>present</x:v>
      </x:c>
      <x:c r="E937" s="5" t="str">
        <x:f>VLOOKUP(B937,Sections!$A$5:$I$45,3,FALSE)</x:f>
        <x:v>2024-2</x:v>
      </x:c>
    </x:row>
    <x:row r="938" ht="21" customHeight="1">
      <x:c r="A938" s="3" t="str">
        <x:v>2202015</x:v>
      </x:c>
      <x:c r="B938" s="3" t="str">
        <x:v>SEC010</x:v>
      </x:c>
      <x:c r="C938" s="3" t="n">
        <x:v>4</x:v>
      </x:c>
      <x:c r="D938" s="3" t="str">
        <x:v>present</x:v>
      </x:c>
      <x:c r="E938" s="5" t="str">
        <x:f>VLOOKUP(B938,Sections!$A$5:$I$45,3,FALSE)</x:f>
        <x:v>2024-2</x:v>
      </x:c>
    </x:row>
    <x:row r="939" ht="21" customHeight="1">
      <x:c r="A939" s="3" t="str">
        <x:v>2202015</x:v>
      </x:c>
      <x:c r="B939" s="3" t="str">
        <x:v>SEC010</x:v>
      </x:c>
      <x:c r="C939" s="3" t="n">
        <x:v>5</x:v>
      </x:c>
      <x:c r="D939" s="3" t="str">
        <x:v>present</x:v>
      </x:c>
      <x:c r="E939" s="5" t="str">
        <x:f>VLOOKUP(B939,Sections!$A$5:$I$45,3,FALSE)</x:f>
        <x:v>2024-2</x:v>
      </x:c>
    </x:row>
    <x:row r="940" ht="21" customHeight="1">
      <x:c r="A940" s="3" t="str">
        <x:v>2202015</x:v>
      </x:c>
      <x:c r="B940" s="3" t="str">
        <x:v>SEC010</x:v>
      </x:c>
      <x:c r="C940" s="3" t="n">
        <x:v>6</x:v>
      </x:c>
      <x:c r="D940" s="3" t="str">
        <x:v>present</x:v>
      </x:c>
      <x:c r="E940" s="5" t="str">
        <x:f>VLOOKUP(B940,Sections!$A$5:$I$45,3,FALSE)</x:f>
        <x:v>2024-2</x:v>
      </x:c>
    </x:row>
    <x:row r="941" ht="21" customHeight="1">
      <x:c r="A941" s="3" t="str">
        <x:v>2202015</x:v>
      </x:c>
      <x:c r="B941" s="3" t="str">
        <x:v>SEC010</x:v>
      </x:c>
      <x:c r="C941" s="3" t="n">
        <x:v>7</x:v>
      </x:c>
      <x:c r="D941" s="3" t="str">
        <x:v>absent</x:v>
      </x:c>
      <x:c r="E941" s="5" t="str">
        <x:f>VLOOKUP(B941,Sections!$A$5:$I$45,3,FALSE)</x:f>
        <x:v>2024-2</x:v>
      </x:c>
    </x:row>
    <x:row r="942" ht="21" customHeight="1">
      <x:c r="A942" s="3" t="str">
        <x:v>2202015</x:v>
      </x:c>
      <x:c r="B942" s="3" t="str">
        <x:v>SEC010</x:v>
      </x:c>
      <x:c r="C942" s="3" t="n">
        <x:v>8</x:v>
      </x:c>
      <x:c r="D942" s="3" t="str">
        <x:v>present</x:v>
      </x:c>
      <x:c r="E942" s="5" t="str">
        <x:f>VLOOKUP(B942,Sections!$A$5:$I$45,3,FALSE)</x:f>
        <x:v>2024-2</x:v>
      </x:c>
    </x:row>
    <x:row r="943" ht="21" customHeight="1">
      <x:c r="A943" s="3" t="str">
        <x:v>2202015</x:v>
      </x:c>
      <x:c r="B943" s="3" t="str">
        <x:v>SEC010</x:v>
      </x:c>
      <x:c r="C943" s="3" t="n">
        <x:v>9</x:v>
      </x:c>
      <x:c r="D943" s="3" t="str">
        <x:v>present</x:v>
      </x:c>
      <x:c r="E943" s="5" t="str">
        <x:f>VLOOKUP(B943,Sections!$A$5:$I$45,3,FALSE)</x:f>
        <x:v>2024-2</x:v>
      </x:c>
    </x:row>
    <x:row r="944" ht="21" customHeight="1">
      <x:c r="A944" s="3" t="str">
        <x:v>2202015</x:v>
      </x:c>
      <x:c r="B944" s="3" t="str">
        <x:v>SEC010</x:v>
      </x:c>
      <x:c r="C944" s="3" t="n">
        <x:v>10</x:v>
      </x:c>
      <x:c r="D944" s="3" t="str">
        <x:v>absent</x:v>
      </x:c>
      <x:c r="E944" s="5" t="str">
        <x:f>VLOOKUP(B944,Sections!$A$5:$I$45,3,FALSE)</x:f>
        <x:v>2024-2</x:v>
      </x:c>
    </x:row>
    <x:row r="945" ht="21" customHeight="1">
      <x:c r="A945" s="3" t="str">
        <x:v>2202015</x:v>
      </x:c>
      <x:c r="B945" s="3" t="str">
        <x:v>SEC010</x:v>
      </x:c>
      <x:c r="C945" s="3" t="n">
        <x:v>11</x:v>
      </x:c>
      <x:c r="D945" s="3" t="str">
        <x:v>present</x:v>
      </x:c>
      <x:c r="E945" s="5" t="str">
        <x:f>VLOOKUP(B945,Sections!$A$5:$I$45,3,FALSE)</x:f>
        <x:v>2024-2</x:v>
      </x:c>
    </x:row>
    <x:row r="946" ht="21" customHeight="1">
      <x:c r="A946" s="3" t="str">
        <x:v>2202015</x:v>
      </x:c>
      <x:c r="B946" s="3" t="str">
        <x:v>SEC010</x:v>
      </x:c>
      <x:c r="C946" s="3" t="n">
        <x:v>12</x:v>
      </x:c>
      <x:c r="D946" s="3" t="str">
        <x:v>present</x:v>
      </x:c>
      <x:c r="E946" s="5" t="str">
        <x:f>VLOOKUP(B946,Sections!$A$5:$I$45,3,FALSE)</x:f>
        <x:v>2024-2</x:v>
      </x:c>
    </x:row>
    <x:row r="947" ht="21" customHeight="1">
      <x:c r="A947" s="3" t="str">
        <x:v>2202015</x:v>
      </x:c>
      <x:c r="B947" s="3" t="str">
        <x:v>SEC010</x:v>
      </x:c>
      <x:c r="C947" s="3" t="n">
        <x:v>13</x:v>
      </x:c>
      <x:c r="D947" s="3" t="str">
        <x:v>present</x:v>
      </x:c>
      <x:c r="E947" s="5" t="str">
        <x:f>VLOOKUP(B947,Sections!$A$5:$I$45,3,FALSE)</x:f>
        <x:v>2024-2</x:v>
      </x:c>
    </x:row>
    <x:row r="948" ht="21" customHeight="1">
      <x:c r="A948" s="3" t="str">
        <x:v>2202015</x:v>
      </x:c>
      <x:c r="B948" s="3" t="str">
        <x:v>SEC010</x:v>
      </x:c>
      <x:c r="C948" s="3" t="n">
        <x:v>14</x:v>
      </x:c>
      <x:c r="D948" s="3" t="str">
        <x:v>present</x:v>
      </x:c>
      <x:c r="E948" s="5" t="str">
        <x:f>VLOOKUP(B948,Sections!$A$5:$I$45,3,FALSE)</x:f>
        <x:v>2024-2</x:v>
      </x:c>
    </x:row>
    <x:row r="949" ht="21" customHeight="1">
      <x:c r="A949" s="3" t="str">
        <x:v>2202015</x:v>
      </x:c>
      <x:c r="B949" s="3" t="str">
        <x:v>SEC010</x:v>
      </x:c>
      <x:c r="C949" s="3" t="n">
        <x:v>15</x:v>
      </x:c>
      <x:c r="D949" s="3" t="str">
        <x:v>present</x:v>
      </x:c>
      <x:c r="E949" s="5" t="str">
        <x:f>VLOOKUP(B949,Sections!$A$5:$I$45,3,FALSE)</x:f>
        <x:v>2024-2</x:v>
      </x:c>
    </x:row>
    <x:row r="950" ht="21" customHeight="1">
      <x:c r="A950" s="3" t="str">
        <x:v>2202016</x:v>
      </x:c>
      <x:c r="B950" s="3" t="str">
        <x:v>SEC010</x:v>
      </x:c>
      <x:c r="C950" s="3" t="n">
        <x:v>1</x:v>
      </x:c>
      <x:c r="D950" s="3" t="str">
        <x:v>present</x:v>
      </x:c>
      <x:c r="E950" s="5" t="str">
        <x:f>VLOOKUP(B950,Sections!$A$5:$I$45,3,FALSE)</x:f>
        <x:v>2024-2</x:v>
      </x:c>
    </x:row>
    <x:row r="951" ht="21" customHeight="1">
      <x:c r="A951" s="3" t="str">
        <x:v>2202016</x:v>
      </x:c>
      <x:c r="B951" s="3" t="str">
        <x:v>SEC010</x:v>
      </x:c>
      <x:c r="C951" s="3" t="n">
        <x:v>2</x:v>
      </x:c>
      <x:c r="D951" s="3" t="str">
        <x:v>present</x:v>
      </x:c>
      <x:c r="E951" s="5" t="str">
        <x:f>VLOOKUP(B951,Sections!$A$5:$I$45,3,FALSE)</x:f>
        <x:v>2024-2</x:v>
      </x:c>
    </x:row>
    <x:row r="952" ht="21" customHeight="1">
      <x:c r="A952" s="3" t="str">
        <x:v>2202016</x:v>
      </x:c>
      <x:c r="B952" s="3" t="str">
        <x:v>SEC010</x:v>
      </x:c>
      <x:c r="C952" s="3" t="n">
        <x:v>3</x:v>
      </x:c>
      <x:c r="D952" s="3" t="str">
        <x:v>present</x:v>
      </x:c>
      <x:c r="E952" s="5" t="str">
        <x:f>VLOOKUP(B952,Sections!$A$5:$I$45,3,FALSE)</x:f>
        <x:v>2024-2</x:v>
      </x:c>
    </x:row>
    <x:row r="953" ht="21" customHeight="1">
      <x:c r="A953" s="3" t="str">
        <x:v>2202016</x:v>
      </x:c>
      <x:c r="B953" s="3" t="str">
        <x:v>SEC010</x:v>
      </x:c>
      <x:c r="C953" s="3" t="n">
        <x:v>4</x:v>
      </x:c>
      <x:c r="D953" s="3" t="str">
        <x:v>present</x:v>
      </x:c>
      <x:c r="E953" s="5" t="str">
        <x:f>VLOOKUP(B953,Sections!$A$5:$I$45,3,FALSE)</x:f>
        <x:v>2024-2</x:v>
      </x:c>
    </x:row>
    <x:row r="954" ht="21" customHeight="1">
      <x:c r="A954" s="3" t="str">
        <x:v>2202016</x:v>
      </x:c>
      <x:c r="B954" s="3" t="str">
        <x:v>SEC010</x:v>
      </x:c>
      <x:c r="C954" s="3" t="n">
        <x:v>5</x:v>
      </x:c>
      <x:c r="D954" s="3" t="str">
        <x:v>absent</x:v>
      </x:c>
      <x:c r="E954" s="5" t="str">
        <x:f>VLOOKUP(B954,Sections!$A$5:$I$45,3,FALSE)</x:f>
        <x:v>2024-2</x:v>
      </x:c>
    </x:row>
    <x:row r="955" ht="21" customHeight="1">
      <x:c r="A955" s="3" t="str">
        <x:v>2202016</x:v>
      </x:c>
      <x:c r="B955" s="3" t="str">
        <x:v>SEC010</x:v>
      </x:c>
      <x:c r="C955" s="3" t="n">
        <x:v>6</x:v>
      </x:c>
      <x:c r="D955" s="3" t="str">
        <x:v>present</x:v>
      </x:c>
      <x:c r="E955" s="5" t="str">
        <x:f>VLOOKUP(B955,Sections!$A$5:$I$45,3,FALSE)</x:f>
        <x:v>2024-2</x:v>
      </x:c>
    </x:row>
    <x:row r="956" ht="21" customHeight="1">
      <x:c r="A956" s="3" t="str">
        <x:v>2202016</x:v>
      </x:c>
      <x:c r="B956" s="3" t="str">
        <x:v>SEC010</x:v>
      </x:c>
      <x:c r="C956" s="3" t="n">
        <x:v>7</x:v>
      </x:c>
      <x:c r="D956" s="3" t="str">
        <x:v>present</x:v>
      </x:c>
      <x:c r="E956" s="5" t="str">
        <x:f>VLOOKUP(B956,Sections!$A$5:$I$45,3,FALSE)</x:f>
        <x:v>2024-2</x:v>
      </x:c>
    </x:row>
    <x:row r="957" ht="21" customHeight="1">
      <x:c r="A957" s="3" t="str">
        <x:v>2202016</x:v>
      </x:c>
      <x:c r="B957" s="3" t="str">
        <x:v>SEC010</x:v>
      </x:c>
      <x:c r="C957" s="3" t="n">
        <x:v>8</x:v>
      </x:c>
      <x:c r="D957" s="3" t="str">
        <x:v>excused</x:v>
      </x:c>
      <x:c r="E957" s="5" t="str">
        <x:f>VLOOKUP(B957,Sections!$A$5:$I$45,3,FALSE)</x:f>
        <x:v>2024-2</x:v>
      </x:c>
    </x:row>
    <x:row r="958" ht="21" customHeight="1">
      <x:c r="A958" s="3" t="str">
        <x:v>2202016</x:v>
      </x:c>
      <x:c r="B958" s="3" t="str">
        <x:v>SEC010</x:v>
      </x:c>
      <x:c r="C958" s="3" t="n">
        <x:v>9</x:v>
      </x:c>
      <x:c r="D958" s="3" t="str">
        <x:v>present</x:v>
      </x:c>
      <x:c r="E958" s="5" t="str">
        <x:f>VLOOKUP(B958,Sections!$A$5:$I$45,3,FALSE)</x:f>
        <x:v>2024-2</x:v>
      </x:c>
    </x:row>
    <x:row r="959" ht="21" customHeight="1">
      <x:c r="A959" s="3" t="str">
        <x:v>2202016</x:v>
      </x:c>
      <x:c r="B959" s="3" t="str">
        <x:v>SEC010</x:v>
      </x:c>
      <x:c r="C959" s="3" t="n">
        <x:v>10</x:v>
      </x:c>
      <x:c r="D959" s="3" t="str">
        <x:v>present</x:v>
      </x:c>
      <x:c r="E959" s="5" t="str">
        <x:f>VLOOKUP(B959,Sections!$A$5:$I$45,3,FALSE)</x:f>
        <x:v>2024-2</x:v>
      </x:c>
    </x:row>
    <x:row r="960" ht="21" customHeight="1">
      <x:c r="A960" s="3" t="str">
        <x:v>2202016</x:v>
      </x:c>
      <x:c r="B960" s="3" t="str">
        <x:v>SEC010</x:v>
      </x:c>
      <x:c r="C960" s="3" t="n">
        <x:v>11</x:v>
      </x:c>
      <x:c r="D960" s="3" t="str">
        <x:v>present</x:v>
      </x:c>
      <x:c r="E960" s="5" t="str">
        <x:f>VLOOKUP(B960,Sections!$A$5:$I$45,3,FALSE)</x:f>
        <x:v>2024-2</x:v>
      </x:c>
    </x:row>
    <x:row r="961" ht="21" customHeight="1">
      <x:c r="A961" s="3" t="str">
        <x:v>2202016</x:v>
      </x:c>
      <x:c r="B961" s="3" t="str">
        <x:v>SEC010</x:v>
      </x:c>
      <x:c r="C961" s="3" t="n">
        <x:v>12</x:v>
      </x:c>
      <x:c r="D961" s="3" t="str">
        <x:v>present</x:v>
      </x:c>
      <x:c r="E961" s="5" t="str">
        <x:f>VLOOKUP(B961,Sections!$A$5:$I$45,3,FALSE)</x:f>
        <x:v>2024-2</x:v>
      </x:c>
    </x:row>
    <x:row r="962" ht="21" customHeight="1">
      <x:c r="A962" s="3" t="str">
        <x:v>2202016</x:v>
      </x:c>
      <x:c r="B962" s="3" t="str">
        <x:v>SEC010</x:v>
      </x:c>
      <x:c r="C962" s="3" t="n">
        <x:v>13</x:v>
      </x:c>
      <x:c r="D962" s="3" t="str">
        <x:v>present</x:v>
      </x:c>
      <x:c r="E962" s="5" t="str">
        <x:f>VLOOKUP(B962,Sections!$A$5:$I$45,3,FALSE)</x:f>
        <x:v>2024-2</x:v>
      </x:c>
    </x:row>
    <x:row r="963" ht="21" customHeight="1">
      <x:c r="A963" s="3" t="str">
        <x:v>2202016</x:v>
      </x:c>
      <x:c r="B963" s="3" t="str">
        <x:v>SEC010</x:v>
      </x:c>
      <x:c r="C963" s="3" t="n">
        <x:v>14</x:v>
      </x:c>
      <x:c r="D963" s="3" t="str">
        <x:v>present</x:v>
      </x:c>
      <x:c r="E963" s="5" t="str">
        <x:f>VLOOKUP(B963,Sections!$A$5:$I$45,3,FALSE)</x:f>
        <x:v>2024-2</x:v>
      </x:c>
    </x:row>
    <x:row r="964" ht="21" customHeight="1">
      <x:c r="A964" s="3" t="str">
        <x:v>2202016</x:v>
      </x:c>
      <x:c r="B964" s="3" t="str">
        <x:v>SEC010</x:v>
      </x:c>
      <x:c r="C964" s="3" t="n">
        <x:v>15</x:v>
      </x:c>
      <x:c r="D964" s="3" t="str">
        <x:v>present</x:v>
      </x:c>
      <x:c r="E964" s="5" t="str">
        <x:f>VLOOKUP(B964,Sections!$A$5:$I$45,3,FALSE)</x:f>
        <x:v>2024-2</x:v>
      </x:c>
    </x:row>
    <x:row r="965" ht="21" customHeight="1">
      <x:c r="A965" s="3" t="str">
        <x:v>2202017</x:v>
      </x:c>
      <x:c r="B965" s="3" t="str">
        <x:v>SEC010</x:v>
      </x:c>
      <x:c r="C965" s="3" t="n">
        <x:v>1</x:v>
      </x:c>
      <x:c r="D965" s="3" t="str">
        <x:v>present</x:v>
      </x:c>
      <x:c r="E965" s="5" t="str">
        <x:f>VLOOKUP(B965,Sections!$A$5:$I$45,3,FALSE)</x:f>
        <x:v>2024-2</x:v>
      </x:c>
    </x:row>
    <x:row r="966" ht="21" customHeight="1">
      <x:c r="A966" s="3" t="str">
        <x:v>2202017</x:v>
      </x:c>
      <x:c r="B966" s="3" t="str">
        <x:v>SEC010</x:v>
      </x:c>
      <x:c r="C966" s="3" t="n">
        <x:v>2</x:v>
      </x:c>
      <x:c r="D966" s="3" t="str">
        <x:v>present</x:v>
      </x:c>
      <x:c r="E966" s="5" t="str">
        <x:f>VLOOKUP(B966,Sections!$A$5:$I$45,3,FALSE)</x:f>
        <x:v>2024-2</x:v>
      </x:c>
    </x:row>
    <x:row r="967" ht="21" customHeight="1">
      <x:c r="A967" s="3" t="str">
        <x:v>2202017</x:v>
      </x:c>
      <x:c r="B967" s="3" t="str">
        <x:v>SEC010</x:v>
      </x:c>
      <x:c r="C967" s="3" t="n">
        <x:v>3</x:v>
      </x:c>
      <x:c r="D967" s="3" t="str">
        <x:v>late</x:v>
      </x:c>
      <x:c r="E967" s="5" t="str">
        <x:f>VLOOKUP(B967,Sections!$A$5:$I$45,3,FALSE)</x:f>
        <x:v>2024-2</x:v>
      </x:c>
    </x:row>
    <x:row r="968" ht="21" customHeight="1">
      <x:c r="A968" s="3" t="str">
        <x:v>2202017</x:v>
      </x:c>
      <x:c r="B968" s="3" t="str">
        <x:v>SEC010</x:v>
      </x:c>
      <x:c r="C968" s="3" t="n">
        <x:v>4</x:v>
      </x:c>
      <x:c r="D968" s="3" t="str">
        <x:v>present</x:v>
      </x:c>
      <x:c r="E968" s="5" t="str">
        <x:f>VLOOKUP(B968,Sections!$A$5:$I$45,3,FALSE)</x:f>
        <x:v>2024-2</x:v>
      </x:c>
    </x:row>
    <x:row r="969" ht="21" customHeight="1">
      <x:c r="A969" s="3" t="str">
        <x:v>2202017</x:v>
      </x:c>
      <x:c r="B969" s="3" t="str">
        <x:v>SEC010</x:v>
      </x:c>
      <x:c r="C969" s="3" t="n">
        <x:v>5</x:v>
      </x:c>
      <x:c r="D969" s="3" t="str">
        <x:v>present</x:v>
      </x:c>
      <x:c r="E969" s="5" t="str">
        <x:f>VLOOKUP(B969,Sections!$A$5:$I$45,3,FALSE)</x:f>
        <x:v>2024-2</x:v>
      </x:c>
    </x:row>
    <x:row r="970" ht="21" customHeight="1">
      <x:c r="A970" s="3" t="str">
        <x:v>2202017</x:v>
      </x:c>
      <x:c r="B970" s="3" t="str">
        <x:v>SEC010</x:v>
      </x:c>
      <x:c r="C970" s="3" t="n">
        <x:v>6</x:v>
      </x:c>
      <x:c r="D970" s="3" t="str">
        <x:v>present</x:v>
      </x:c>
      <x:c r="E970" s="5" t="str">
        <x:f>VLOOKUP(B970,Sections!$A$5:$I$45,3,FALSE)</x:f>
        <x:v>2024-2</x:v>
      </x:c>
    </x:row>
    <x:row r="971" ht="21" customHeight="1">
      <x:c r="A971" s="3" t="str">
        <x:v>2202017</x:v>
      </x:c>
      <x:c r="B971" s="3" t="str">
        <x:v>SEC010</x:v>
      </x:c>
      <x:c r="C971" s="3" t="n">
        <x:v>7</x:v>
      </x:c>
      <x:c r="D971" s="3" t="str">
        <x:v>present</x:v>
      </x:c>
      <x:c r="E971" s="5" t="str">
        <x:f>VLOOKUP(B971,Sections!$A$5:$I$45,3,FALSE)</x:f>
        <x:v>2024-2</x:v>
      </x:c>
    </x:row>
    <x:row r="972" ht="21" customHeight="1">
      <x:c r="A972" s="3" t="str">
        <x:v>2202017</x:v>
      </x:c>
      <x:c r="B972" s="3" t="str">
        <x:v>SEC010</x:v>
      </x:c>
      <x:c r="C972" s="3" t="n">
        <x:v>8</x:v>
      </x:c>
      <x:c r="D972" s="3" t="str">
        <x:v>present</x:v>
      </x:c>
      <x:c r="E972" s="5" t="str">
        <x:f>VLOOKUP(B972,Sections!$A$5:$I$45,3,FALSE)</x:f>
        <x:v>2024-2</x:v>
      </x:c>
    </x:row>
    <x:row r="973" ht="21" customHeight="1">
      <x:c r="A973" s="3" t="str">
        <x:v>2202017</x:v>
      </x:c>
      <x:c r="B973" s="3" t="str">
        <x:v>SEC010</x:v>
      </x:c>
      <x:c r="C973" s="3" t="n">
        <x:v>9</x:v>
      </x:c>
      <x:c r="D973" s="3" t="str">
        <x:v>present</x:v>
      </x:c>
      <x:c r="E973" s="5" t="str">
        <x:f>VLOOKUP(B973,Sections!$A$5:$I$45,3,FALSE)</x:f>
        <x:v>2024-2</x:v>
      </x:c>
    </x:row>
    <x:row r="974" ht="21" customHeight="1">
      <x:c r="A974" s="3" t="str">
        <x:v>2202017</x:v>
      </x:c>
      <x:c r="B974" s="3" t="str">
        <x:v>SEC010</x:v>
      </x:c>
      <x:c r="C974" s="3" t="n">
        <x:v>10</x:v>
      </x:c>
      <x:c r="D974" s="3" t="str">
        <x:v>present</x:v>
      </x:c>
      <x:c r="E974" s="5" t="str">
        <x:f>VLOOKUP(B974,Sections!$A$5:$I$45,3,FALSE)</x:f>
        <x:v>2024-2</x:v>
      </x:c>
    </x:row>
    <x:row r="975" ht="21" customHeight="1">
      <x:c r="A975" s="3" t="str">
        <x:v>2202017</x:v>
      </x:c>
      <x:c r="B975" s="3" t="str">
        <x:v>SEC010</x:v>
      </x:c>
      <x:c r="C975" s="3" t="n">
        <x:v>11</x:v>
      </x:c>
      <x:c r="D975" s="3" t="str">
        <x:v>present</x:v>
      </x:c>
      <x:c r="E975" s="5" t="str">
        <x:f>VLOOKUP(B975,Sections!$A$5:$I$45,3,FALSE)</x:f>
        <x:v>2024-2</x:v>
      </x:c>
    </x:row>
    <x:row r="976" ht="21" customHeight="1">
      <x:c r="A976" s="3" t="str">
        <x:v>2202017</x:v>
      </x:c>
      <x:c r="B976" s="3" t="str">
        <x:v>SEC010</x:v>
      </x:c>
      <x:c r="C976" s="3" t="n">
        <x:v>12</x:v>
      </x:c>
      <x:c r="D976" s="3" t="str">
        <x:v>present</x:v>
      </x:c>
      <x:c r="E976" s="5" t="str">
        <x:f>VLOOKUP(B976,Sections!$A$5:$I$45,3,FALSE)</x:f>
        <x:v>2024-2</x:v>
      </x:c>
    </x:row>
    <x:row r="977" ht="21" customHeight="1">
      <x:c r="A977" s="3" t="str">
        <x:v>2202017</x:v>
      </x:c>
      <x:c r="B977" s="3" t="str">
        <x:v>SEC010</x:v>
      </x:c>
      <x:c r="C977" s="3" t="n">
        <x:v>13</x:v>
      </x:c>
      <x:c r="D977" s="3" t="str">
        <x:v>present</x:v>
      </x:c>
      <x:c r="E977" s="5" t="str">
        <x:f>VLOOKUP(B977,Sections!$A$5:$I$45,3,FALSE)</x:f>
        <x:v>2024-2</x:v>
      </x:c>
    </x:row>
    <x:row r="978" ht="21" customHeight="1">
      <x:c r="A978" s="3" t="str">
        <x:v>2202017</x:v>
      </x:c>
      <x:c r="B978" s="3" t="str">
        <x:v>SEC010</x:v>
      </x:c>
      <x:c r="C978" s="3" t="n">
        <x:v>14</x:v>
      </x:c>
      <x:c r="D978" s="3" t="str">
        <x:v>present</x:v>
      </x:c>
      <x:c r="E978" s="5" t="str">
        <x:f>VLOOKUP(B978,Sections!$A$5:$I$45,3,FALSE)</x:f>
        <x:v>2024-2</x:v>
      </x:c>
    </x:row>
    <x:row r="979" ht="21" customHeight="1">
      <x:c r="A979" s="3" t="str">
        <x:v>2202017</x:v>
      </x:c>
      <x:c r="B979" s="3" t="str">
        <x:v>SEC010</x:v>
      </x:c>
      <x:c r="C979" s="3" t="n">
        <x:v>15</x:v>
      </x:c>
      <x:c r="D979" s="3" t="str">
        <x:v>present</x:v>
      </x:c>
      <x:c r="E979" s="5" t="str">
        <x:f>VLOOKUP(B979,Sections!$A$5:$I$45,3,FALSE)</x:f>
        <x:v>2024-2</x:v>
      </x:c>
    </x:row>
    <x:row r="980" ht="21" customHeight="1">
      <x:c r="A980" s="3" t="str">
        <x:v>2202018</x:v>
      </x:c>
      <x:c r="B980" s="3" t="str">
        <x:v>SEC010</x:v>
      </x:c>
      <x:c r="C980" s="3" t="n">
        <x:v>1</x:v>
      </x:c>
      <x:c r="D980" s="3" t="str">
        <x:v>present</x:v>
      </x:c>
      <x:c r="E980" s="5" t="str">
        <x:f>VLOOKUP(B980,Sections!$A$5:$I$45,3,FALSE)</x:f>
        <x:v>2024-2</x:v>
      </x:c>
    </x:row>
    <x:row r="981" ht="21" customHeight="1">
      <x:c r="A981" s="3" t="str">
        <x:v>2202018</x:v>
      </x:c>
      <x:c r="B981" s="3" t="str">
        <x:v>SEC010</x:v>
      </x:c>
      <x:c r="C981" s="3" t="n">
        <x:v>2</x:v>
      </x:c>
      <x:c r="D981" s="3" t="str">
        <x:v>present</x:v>
      </x:c>
      <x:c r="E981" s="5" t="str">
        <x:f>VLOOKUP(B981,Sections!$A$5:$I$45,3,FALSE)</x:f>
        <x:v>2024-2</x:v>
      </x:c>
    </x:row>
    <x:row r="982" ht="21" customHeight="1">
      <x:c r="A982" s="3" t="str">
        <x:v>2202018</x:v>
      </x:c>
      <x:c r="B982" s="3" t="str">
        <x:v>SEC010</x:v>
      </x:c>
      <x:c r="C982" s="3" t="n">
        <x:v>3</x:v>
      </x:c>
      <x:c r="D982" s="3" t="str">
        <x:v>present</x:v>
      </x:c>
      <x:c r="E982" s="5" t="str">
        <x:f>VLOOKUP(B982,Sections!$A$5:$I$45,3,FALSE)</x:f>
        <x:v>2024-2</x:v>
      </x:c>
    </x:row>
    <x:row r="983" ht="21" customHeight="1">
      <x:c r="A983" s="3" t="str">
        <x:v>2202018</x:v>
      </x:c>
      <x:c r="B983" s="3" t="str">
        <x:v>SEC010</x:v>
      </x:c>
      <x:c r="C983" s="3" t="n">
        <x:v>4</x:v>
      </x:c>
      <x:c r="D983" s="3" t="str">
        <x:v>present</x:v>
      </x:c>
      <x:c r="E983" s="5" t="str">
        <x:f>VLOOKUP(B983,Sections!$A$5:$I$45,3,FALSE)</x:f>
        <x:v>2024-2</x:v>
      </x:c>
    </x:row>
    <x:row r="984" ht="21" customHeight="1">
      <x:c r="A984" s="3" t="str">
        <x:v>2202018</x:v>
      </x:c>
      <x:c r="B984" s="3" t="str">
        <x:v>SEC010</x:v>
      </x:c>
      <x:c r="C984" s="3" t="n">
        <x:v>5</x:v>
      </x:c>
      <x:c r="D984" s="3" t="str">
        <x:v>late</x:v>
      </x:c>
      <x:c r="E984" s="5" t="str">
        <x:f>VLOOKUP(B984,Sections!$A$5:$I$45,3,FALSE)</x:f>
        <x:v>2024-2</x:v>
      </x:c>
    </x:row>
    <x:row r="985" ht="21" customHeight="1">
      <x:c r="A985" s="3" t="str">
        <x:v>2202018</x:v>
      </x:c>
      <x:c r="B985" s="3" t="str">
        <x:v>SEC010</x:v>
      </x:c>
      <x:c r="C985" s="3" t="n">
        <x:v>6</x:v>
      </x:c>
      <x:c r="D985" s="3" t="str">
        <x:v>present</x:v>
      </x:c>
      <x:c r="E985" s="5" t="str">
        <x:f>VLOOKUP(B985,Sections!$A$5:$I$45,3,FALSE)</x:f>
        <x:v>2024-2</x:v>
      </x:c>
    </x:row>
    <x:row r="986" ht="21" customHeight="1">
      <x:c r="A986" s="3" t="str">
        <x:v>2202018</x:v>
      </x:c>
      <x:c r="B986" s="3" t="str">
        <x:v>SEC010</x:v>
      </x:c>
      <x:c r="C986" s="3" t="n">
        <x:v>7</x:v>
      </x:c>
      <x:c r="D986" s="3" t="str">
        <x:v>present</x:v>
      </x:c>
      <x:c r="E986" s="5" t="str">
        <x:f>VLOOKUP(B986,Sections!$A$5:$I$45,3,FALSE)</x:f>
        <x:v>2024-2</x:v>
      </x:c>
    </x:row>
    <x:row r="987" ht="21" customHeight="1">
      <x:c r="A987" s="3" t="str">
        <x:v>2202018</x:v>
      </x:c>
      <x:c r="B987" s="3" t="str">
        <x:v>SEC010</x:v>
      </x:c>
      <x:c r="C987" s="3" t="n">
        <x:v>8</x:v>
      </x:c>
      <x:c r="D987" s="3" t="str">
        <x:v>present</x:v>
      </x:c>
      <x:c r="E987" s="5" t="str">
        <x:f>VLOOKUP(B987,Sections!$A$5:$I$45,3,FALSE)</x:f>
        <x:v>2024-2</x:v>
      </x:c>
    </x:row>
    <x:row r="988" ht="21" customHeight="1">
      <x:c r="A988" s="3" t="str">
        <x:v>2202018</x:v>
      </x:c>
      <x:c r="B988" s="3" t="str">
        <x:v>SEC010</x:v>
      </x:c>
      <x:c r="C988" s="3" t="n">
        <x:v>9</x:v>
      </x:c>
      <x:c r="D988" s="3" t="str">
        <x:v>present</x:v>
      </x:c>
      <x:c r="E988" s="5" t="str">
        <x:f>VLOOKUP(B988,Sections!$A$5:$I$45,3,FALSE)</x:f>
        <x:v>2024-2</x:v>
      </x:c>
    </x:row>
    <x:row r="989" ht="21" customHeight="1">
      <x:c r="A989" s="3" t="str">
        <x:v>2202018</x:v>
      </x:c>
      <x:c r="B989" s="3" t="str">
        <x:v>SEC010</x:v>
      </x:c>
      <x:c r="C989" s="3" t="n">
        <x:v>10</x:v>
      </x:c>
      <x:c r="D989" s="3" t="str">
        <x:v>present</x:v>
      </x:c>
      <x:c r="E989" s="5" t="str">
        <x:f>VLOOKUP(B989,Sections!$A$5:$I$45,3,FALSE)</x:f>
        <x:v>2024-2</x:v>
      </x:c>
    </x:row>
    <x:row r="990" ht="21" customHeight="1">
      <x:c r="A990" s="3" t="str">
        <x:v>2202018</x:v>
      </x:c>
      <x:c r="B990" s="3" t="str">
        <x:v>SEC010</x:v>
      </x:c>
      <x:c r="C990" s="3" t="n">
        <x:v>11</x:v>
      </x:c>
      <x:c r="D990" s="3" t="str">
        <x:v>present</x:v>
      </x:c>
      <x:c r="E990" s="5" t="str">
        <x:f>VLOOKUP(B990,Sections!$A$5:$I$45,3,FALSE)</x:f>
        <x:v>2024-2</x:v>
      </x:c>
    </x:row>
    <x:row r="991" ht="21" customHeight="1">
      <x:c r="A991" s="3" t="str">
        <x:v>2202018</x:v>
      </x:c>
      <x:c r="B991" s="3" t="str">
        <x:v>SEC010</x:v>
      </x:c>
      <x:c r="C991" s="3" t="n">
        <x:v>12</x:v>
      </x:c>
      <x:c r="D991" s="3" t="str">
        <x:v>excused</x:v>
      </x:c>
      <x:c r="E991" s="5" t="str">
        <x:f>VLOOKUP(B991,Sections!$A$5:$I$45,3,FALSE)</x:f>
        <x:v>2024-2</x:v>
      </x:c>
    </x:row>
    <x:row r="992" ht="21" customHeight="1">
      <x:c r="A992" s="3" t="str">
        <x:v>2202018</x:v>
      </x:c>
      <x:c r="B992" s="3" t="str">
        <x:v>SEC010</x:v>
      </x:c>
      <x:c r="C992" s="3" t="n">
        <x:v>13</x:v>
      </x:c>
      <x:c r="D992" s="3" t="str">
        <x:v>present</x:v>
      </x:c>
      <x:c r="E992" s="5" t="str">
        <x:f>VLOOKUP(B992,Sections!$A$5:$I$45,3,FALSE)</x:f>
        <x:v>2024-2</x:v>
      </x:c>
    </x:row>
    <x:row r="993" ht="21" customHeight="1">
      <x:c r="A993" s="3" t="str">
        <x:v>2202018</x:v>
      </x:c>
      <x:c r="B993" s="3" t="str">
        <x:v>SEC010</x:v>
      </x:c>
      <x:c r="C993" s="3" t="n">
        <x:v>14</x:v>
      </x:c>
      <x:c r="D993" s="3" t="str">
        <x:v>present</x:v>
      </x:c>
      <x:c r="E993" s="5" t="str">
        <x:f>VLOOKUP(B993,Sections!$A$5:$I$45,3,FALSE)</x:f>
        <x:v>2024-2</x:v>
      </x:c>
    </x:row>
    <x:row r="994" ht="21" customHeight="1">
      <x:c r="A994" s="3" t="str">
        <x:v>2202018</x:v>
      </x:c>
      <x:c r="B994" s="3" t="str">
        <x:v>SEC010</x:v>
      </x:c>
      <x:c r="C994" s="3" t="n">
        <x:v>15</x:v>
      </x:c>
      <x:c r="D994" s="3" t="str">
        <x:v>present</x:v>
      </x:c>
      <x:c r="E994" s="5" t="str">
        <x:f>VLOOKUP(B994,Sections!$A$5:$I$45,3,FALSE)</x:f>
        <x:v>2024-2</x:v>
      </x:c>
    </x:row>
    <x:row r="995" ht="21" customHeight="1">
      <x:c r="A995" s="3" t="str">
        <x:v>2202019</x:v>
      </x:c>
      <x:c r="B995" s="3" t="str">
        <x:v>SEC010</x:v>
      </x:c>
      <x:c r="C995" s="3" t="n">
        <x:v>1</x:v>
      </x:c>
      <x:c r="D995" s="3" t="str">
        <x:v>present</x:v>
      </x:c>
      <x:c r="E995" s="5" t="str">
        <x:f>VLOOKUP(B995,Sections!$A$5:$I$45,3,FALSE)</x:f>
        <x:v>2024-2</x:v>
      </x:c>
    </x:row>
    <x:row r="996" ht="21" customHeight="1">
      <x:c r="A996" s="3" t="str">
        <x:v>2202019</x:v>
      </x:c>
      <x:c r="B996" s="3" t="str">
        <x:v>SEC010</x:v>
      </x:c>
      <x:c r="C996" s="3" t="n">
        <x:v>2</x:v>
      </x:c>
      <x:c r="D996" s="3" t="str">
        <x:v>present</x:v>
      </x:c>
      <x:c r="E996" s="5" t="str">
        <x:f>VLOOKUP(B996,Sections!$A$5:$I$45,3,FALSE)</x:f>
        <x:v>2024-2</x:v>
      </x:c>
    </x:row>
    <x:row r="997" ht="21" customHeight="1">
      <x:c r="A997" s="3" t="str">
        <x:v>2202019</x:v>
      </x:c>
      <x:c r="B997" s="3" t="str">
        <x:v>SEC010</x:v>
      </x:c>
      <x:c r="C997" s="3" t="n">
        <x:v>3</x:v>
      </x:c>
      <x:c r="D997" s="3" t="str">
        <x:v>present</x:v>
      </x:c>
      <x:c r="E997" s="5" t="str">
        <x:f>VLOOKUP(B997,Sections!$A$5:$I$45,3,FALSE)</x:f>
        <x:v>2024-2</x:v>
      </x:c>
    </x:row>
    <x:row r="998" ht="21" customHeight="1">
      <x:c r="A998" s="3" t="str">
        <x:v>2202019</x:v>
      </x:c>
      <x:c r="B998" s="3" t="str">
        <x:v>SEC010</x:v>
      </x:c>
      <x:c r="C998" s="3" t="n">
        <x:v>4</x:v>
      </x:c>
      <x:c r="D998" s="3" t="str">
        <x:v>present</x:v>
      </x:c>
      <x:c r="E998" s="5" t="str">
        <x:f>VLOOKUP(B998,Sections!$A$5:$I$45,3,FALSE)</x:f>
        <x:v>2024-2</x:v>
      </x:c>
    </x:row>
    <x:row r="999" ht="21" customHeight="1">
      <x:c r="A999" s="3" t="str">
        <x:v>2202019</x:v>
      </x:c>
      <x:c r="B999" s="3" t="str">
        <x:v>SEC010</x:v>
      </x:c>
      <x:c r="C999" s="3" t="n">
        <x:v>5</x:v>
      </x:c>
      <x:c r="D999" s="3" t="str">
        <x:v>present</x:v>
      </x:c>
      <x:c r="E999" s="5" t="str">
        <x:f>VLOOKUP(B999,Sections!$A$5:$I$45,3,FALSE)</x:f>
        <x:v>2024-2</x:v>
      </x:c>
    </x:row>
    <x:row r="1000" ht="21" customHeight="1">
      <x:c r="A1000" s="3" t="str">
        <x:v>2202019</x:v>
      </x:c>
      <x:c r="B1000" s="3" t="str">
        <x:v>SEC010</x:v>
      </x:c>
      <x:c r="C1000" s="3" t="n">
        <x:v>6</x:v>
      </x:c>
      <x:c r="D1000" s="3" t="str">
        <x:v>present</x:v>
      </x:c>
      <x:c r="E1000" s="5" t="str">
        <x:f>VLOOKUP(B1000,Sections!$A$5:$I$45,3,FALSE)</x:f>
        <x:v>2024-2</x:v>
      </x:c>
    </x:row>
    <x:row r="1001" ht="21" customHeight="1">
      <x:c r="A1001" s="3" t="str">
        <x:v>2202019</x:v>
      </x:c>
      <x:c r="B1001" s="3" t="str">
        <x:v>SEC010</x:v>
      </x:c>
      <x:c r="C1001" s="3" t="n">
        <x:v>7</x:v>
      </x:c>
      <x:c r="D1001" s="3" t="str">
        <x:v>present</x:v>
      </x:c>
      <x:c r="E1001" s="5" t="str">
        <x:f>VLOOKUP(B1001,Sections!$A$5:$I$45,3,FALSE)</x:f>
        <x:v>2024-2</x:v>
      </x:c>
    </x:row>
    <x:row r="1002" ht="21" customHeight="1">
      <x:c r="A1002" s="3" t="str">
        <x:v>2202019</x:v>
      </x:c>
      <x:c r="B1002" s="3" t="str">
        <x:v>SEC010</x:v>
      </x:c>
      <x:c r="C1002" s="3" t="n">
        <x:v>8</x:v>
      </x:c>
      <x:c r="D1002" s="3" t="str">
        <x:v>present</x:v>
      </x:c>
      <x:c r="E1002" s="5" t="str">
        <x:f>VLOOKUP(B1002,Sections!$A$5:$I$45,3,FALSE)</x:f>
        <x:v>2024-2</x:v>
      </x:c>
    </x:row>
    <x:row r="1003" ht="21" customHeight="1">
      <x:c r="A1003" s="3" t="str">
        <x:v>2202019</x:v>
      </x:c>
      <x:c r="B1003" s="3" t="str">
        <x:v>SEC010</x:v>
      </x:c>
      <x:c r="C1003" s="3" t="n">
        <x:v>9</x:v>
      </x:c>
      <x:c r="D1003" s="3" t="str">
        <x:v>present</x:v>
      </x:c>
      <x:c r="E1003" s="5" t="str">
        <x:f>VLOOKUP(B1003,Sections!$A$5:$I$45,3,FALSE)</x:f>
        <x:v>2024-2</x:v>
      </x:c>
    </x:row>
    <x:row r="1004" ht="21" customHeight="1">
      <x:c r="A1004" s="3" t="str">
        <x:v>2202019</x:v>
      </x:c>
      <x:c r="B1004" s="3" t="str">
        <x:v>SEC010</x:v>
      </x:c>
      <x:c r="C1004" s="3" t="n">
        <x:v>10</x:v>
      </x:c>
      <x:c r="D1004" s="3" t="str">
        <x:v>late</x:v>
      </x:c>
      <x:c r="E1004" s="5" t="str">
        <x:f>VLOOKUP(B1004,Sections!$A$5:$I$45,3,FALSE)</x:f>
        <x:v>2024-2</x:v>
      </x:c>
    </x:row>
    <x:row r="1005" ht="21" customHeight="1">
      <x:c r="A1005" s="3" t="str">
        <x:v>2202019</x:v>
      </x:c>
      <x:c r="B1005" s="3" t="str">
        <x:v>SEC010</x:v>
      </x:c>
      <x:c r="C1005" s="3" t="n">
        <x:v>11</x:v>
      </x:c>
      <x:c r="D1005" s="3" t="str">
        <x:v>present</x:v>
      </x:c>
      <x:c r="E1005" s="5" t="str">
        <x:f>VLOOKUP(B1005,Sections!$A$5:$I$45,3,FALSE)</x:f>
        <x:v>2024-2</x:v>
      </x:c>
    </x:row>
    <x:row r="1006" ht="21" customHeight="1">
      <x:c r="A1006" s="3" t="str">
        <x:v>2202019</x:v>
      </x:c>
      <x:c r="B1006" s="3" t="str">
        <x:v>SEC010</x:v>
      </x:c>
      <x:c r="C1006" s="3" t="n">
        <x:v>12</x:v>
      </x:c>
      <x:c r="D1006" s="3" t="str">
        <x:v>excused</x:v>
      </x:c>
      <x:c r="E1006" s="5" t="str">
        <x:f>VLOOKUP(B1006,Sections!$A$5:$I$45,3,FALSE)</x:f>
        <x:v>2024-2</x:v>
      </x:c>
    </x:row>
    <x:row r="1007" ht="21" customHeight="1">
      <x:c r="A1007" s="3" t="str">
        <x:v>2202019</x:v>
      </x:c>
      <x:c r="B1007" s="3" t="str">
        <x:v>SEC010</x:v>
      </x:c>
      <x:c r="C1007" s="3" t="n">
        <x:v>13</x:v>
      </x:c>
      <x:c r="D1007" s="3" t="str">
        <x:v>present</x:v>
      </x:c>
      <x:c r="E1007" s="5" t="str">
        <x:f>VLOOKUP(B1007,Sections!$A$5:$I$45,3,FALSE)</x:f>
        <x:v>2024-2</x:v>
      </x:c>
    </x:row>
    <x:row r="1008" ht="21" customHeight="1">
      <x:c r="A1008" s="3" t="str">
        <x:v>2202019</x:v>
      </x:c>
      <x:c r="B1008" s="3" t="str">
        <x:v>SEC010</x:v>
      </x:c>
      <x:c r="C1008" s="3" t="n">
        <x:v>14</x:v>
      </x:c>
      <x:c r="D1008" s="3" t="str">
        <x:v>present</x:v>
      </x:c>
      <x:c r="E1008" s="5" t="str">
        <x:f>VLOOKUP(B1008,Sections!$A$5:$I$45,3,FALSE)</x:f>
        <x:v>2024-2</x:v>
      </x:c>
    </x:row>
    <x:row r="1009" ht="21" customHeight="1">
      <x:c r="A1009" s="3" t="str">
        <x:v>2202019</x:v>
      </x:c>
      <x:c r="B1009" s="3" t="str">
        <x:v>SEC010</x:v>
      </x:c>
      <x:c r="C1009" s="3" t="n">
        <x:v>15</x:v>
      </x:c>
      <x:c r="D1009" s="3" t="str">
        <x:v>present</x:v>
      </x:c>
      <x:c r="E1009" s="5" t="str">
        <x:f>VLOOKUP(B1009,Sections!$A$5:$I$45,3,FALSE)</x:f>
        <x:v>2024-2</x:v>
      </x:c>
    </x:row>
    <x:row r="1010" ht="21" customHeight="1">
      <x:c r="A1010" s="3" t="str">
        <x:v>2202020</x:v>
      </x:c>
      <x:c r="B1010" s="3" t="str">
        <x:v>SEC010</x:v>
      </x:c>
      <x:c r="C1010" s="3" t="n">
        <x:v>1</x:v>
      </x:c>
      <x:c r="D1010" s="3" t="str">
        <x:v>absent</x:v>
      </x:c>
      <x:c r="E1010" s="5" t="str">
        <x:f>VLOOKUP(B1010,Sections!$A$5:$I$45,3,FALSE)</x:f>
        <x:v>2024-2</x:v>
      </x:c>
    </x:row>
    <x:row r="1011" ht="21" customHeight="1">
      <x:c r="A1011" s="3" t="str">
        <x:v>2202020</x:v>
      </x:c>
      <x:c r="B1011" s="3" t="str">
        <x:v>SEC010</x:v>
      </x:c>
      <x:c r="C1011" s="3" t="n">
        <x:v>2</x:v>
      </x:c>
      <x:c r="D1011" s="3" t="str">
        <x:v>present</x:v>
      </x:c>
      <x:c r="E1011" s="5" t="str">
        <x:f>VLOOKUP(B1011,Sections!$A$5:$I$45,3,FALSE)</x:f>
        <x:v>2024-2</x:v>
      </x:c>
    </x:row>
    <x:row r="1012" ht="21" customHeight="1">
      <x:c r="A1012" s="3" t="str">
        <x:v>2202020</x:v>
      </x:c>
      <x:c r="B1012" s="3" t="str">
        <x:v>SEC010</x:v>
      </x:c>
      <x:c r="C1012" s="3" t="n">
        <x:v>3</x:v>
      </x:c>
      <x:c r="D1012" s="3" t="str">
        <x:v>late</x:v>
      </x:c>
      <x:c r="E1012" s="5" t="str">
        <x:f>VLOOKUP(B1012,Sections!$A$5:$I$45,3,FALSE)</x:f>
        <x:v>2024-2</x:v>
      </x:c>
    </x:row>
    <x:row r="1013" ht="21" customHeight="1">
      <x:c r="A1013" s="3" t="str">
        <x:v>2202020</x:v>
      </x:c>
      <x:c r="B1013" s="3" t="str">
        <x:v>SEC010</x:v>
      </x:c>
      <x:c r="C1013" s="3" t="n">
        <x:v>4</x:v>
      </x:c>
      <x:c r="D1013" s="3" t="str">
        <x:v>absent</x:v>
      </x:c>
      <x:c r="E1013" s="5" t="str">
        <x:f>VLOOKUP(B1013,Sections!$A$5:$I$45,3,FALSE)</x:f>
        <x:v>2024-2</x:v>
      </x:c>
    </x:row>
    <x:row r="1014" ht="21" customHeight="1">
      <x:c r="A1014" s="3" t="str">
        <x:v>2202020</x:v>
      </x:c>
      <x:c r="B1014" s="3" t="str">
        <x:v>SEC010</x:v>
      </x:c>
      <x:c r="C1014" s="3" t="n">
        <x:v>5</x:v>
      </x:c>
      <x:c r="D1014" s="3" t="str">
        <x:v>present</x:v>
      </x:c>
      <x:c r="E1014" s="5" t="str">
        <x:f>VLOOKUP(B1014,Sections!$A$5:$I$45,3,FALSE)</x:f>
        <x:v>2024-2</x:v>
      </x:c>
    </x:row>
    <x:row r="1015" ht="21" customHeight="1">
      <x:c r="A1015" s="3" t="str">
        <x:v>2202020</x:v>
      </x:c>
      <x:c r="B1015" s="3" t="str">
        <x:v>SEC010</x:v>
      </x:c>
      <x:c r="C1015" s="3" t="n">
        <x:v>6</x:v>
      </x:c>
      <x:c r="D1015" s="3" t="str">
        <x:v>present</x:v>
      </x:c>
      <x:c r="E1015" s="5" t="str">
        <x:f>VLOOKUP(B1015,Sections!$A$5:$I$45,3,FALSE)</x:f>
        <x:v>2024-2</x:v>
      </x:c>
    </x:row>
    <x:row r="1016" ht="21" customHeight="1">
      <x:c r="A1016" s="3" t="str">
        <x:v>2202020</x:v>
      </x:c>
      <x:c r="B1016" s="3" t="str">
        <x:v>SEC010</x:v>
      </x:c>
      <x:c r="C1016" s="3" t="n">
        <x:v>7</x:v>
      </x:c>
      <x:c r="D1016" s="3" t="str">
        <x:v>present</x:v>
      </x:c>
      <x:c r="E1016" s="5" t="str">
        <x:f>VLOOKUP(B1016,Sections!$A$5:$I$45,3,FALSE)</x:f>
        <x:v>2024-2</x:v>
      </x:c>
    </x:row>
    <x:row r="1017" ht="21" customHeight="1">
      <x:c r="A1017" s="3" t="str">
        <x:v>2202020</x:v>
      </x:c>
      <x:c r="B1017" s="3" t="str">
        <x:v>SEC010</x:v>
      </x:c>
      <x:c r="C1017" s="3" t="n">
        <x:v>8</x:v>
      </x:c>
      <x:c r="D1017" s="3" t="str">
        <x:v>present</x:v>
      </x:c>
      <x:c r="E1017" s="5" t="str">
        <x:f>VLOOKUP(B1017,Sections!$A$5:$I$45,3,FALSE)</x:f>
        <x:v>2024-2</x:v>
      </x:c>
    </x:row>
    <x:row r="1018" ht="21" customHeight="1">
      <x:c r="A1018" s="3" t="str">
        <x:v>2202020</x:v>
      </x:c>
      <x:c r="B1018" s="3" t="str">
        <x:v>SEC010</x:v>
      </x:c>
      <x:c r="C1018" s="3" t="n">
        <x:v>9</x:v>
      </x:c>
      <x:c r="D1018" s="3" t="str">
        <x:v>present</x:v>
      </x:c>
      <x:c r="E1018" s="5" t="str">
        <x:f>VLOOKUP(B1018,Sections!$A$5:$I$45,3,FALSE)</x:f>
        <x:v>2024-2</x:v>
      </x:c>
    </x:row>
    <x:row r="1019" ht="21" customHeight="1">
      <x:c r="A1019" s="3" t="str">
        <x:v>2202020</x:v>
      </x:c>
      <x:c r="B1019" s="3" t="str">
        <x:v>SEC010</x:v>
      </x:c>
      <x:c r="C1019" s="3" t="n">
        <x:v>10</x:v>
      </x:c>
      <x:c r="D1019" s="3" t="str">
        <x:v>present</x:v>
      </x:c>
      <x:c r="E1019" s="5" t="str">
        <x:f>VLOOKUP(B1019,Sections!$A$5:$I$45,3,FALSE)</x:f>
        <x:v>2024-2</x:v>
      </x:c>
    </x:row>
    <x:row r="1020" ht="21" customHeight="1">
      <x:c r="A1020" s="3" t="str">
        <x:v>2202020</x:v>
      </x:c>
      <x:c r="B1020" s="3" t="str">
        <x:v>SEC010</x:v>
      </x:c>
      <x:c r="C1020" s="3" t="n">
        <x:v>11</x:v>
      </x:c>
      <x:c r="D1020" s="3" t="str">
        <x:v>absent</x:v>
      </x:c>
      <x:c r="E1020" s="5" t="str">
        <x:f>VLOOKUP(B1020,Sections!$A$5:$I$45,3,FALSE)</x:f>
        <x:v>2024-2</x:v>
      </x:c>
    </x:row>
    <x:row r="1021" ht="21" customHeight="1">
      <x:c r="A1021" s="3" t="str">
        <x:v>2202020</x:v>
      </x:c>
      <x:c r="B1021" s="3" t="str">
        <x:v>SEC010</x:v>
      </x:c>
      <x:c r="C1021" s="3" t="n">
        <x:v>12</x:v>
      </x:c>
      <x:c r="D1021" s="3" t="str">
        <x:v>present</x:v>
      </x:c>
      <x:c r="E1021" s="5" t="str">
        <x:f>VLOOKUP(B1021,Sections!$A$5:$I$45,3,FALSE)</x:f>
        <x:v>2024-2</x:v>
      </x:c>
    </x:row>
    <x:row r="1022" ht="21" customHeight="1">
      <x:c r="A1022" s="3" t="str">
        <x:v>2202020</x:v>
      </x:c>
      <x:c r="B1022" s="3" t="str">
        <x:v>SEC010</x:v>
      </x:c>
      <x:c r="C1022" s="3" t="n">
        <x:v>13</x:v>
      </x:c>
      <x:c r="D1022" s="3" t="str">
        <x:v>present</x:v>
      </x:c>
      <x:c r="E1022" s="5" t="str">
        <x:f>VLOOKUP(B1022,Sections!$A$5:$I$45,3,FALSE)</x:f>
        <x:v>2024-2</x:v>
      </x:c>
    </x:row>
    <x:row r="1023" ht="21" customHeight="1">
      <x:c r="A1023" s="3" t="str">
        <x:v>2202020</x:v>
      </x:c>
      <x:c r="B1023" s="3" t="str">
        <x:v>SEC010</x:v>
      </x:c>
      <x:c r="C1023" s="3" t="n">
        <x:v>14</x:v>
      </x:c>
      <x:c r="D1023" s="3" t="str">
        <x:v>present</x:v>
      </x:c>
      <x:c r="E1023" s="5" t="str">
        <x:f>VLOOKUP(B1023,Sections!$A$5:$I$45,3,FALSE)</x:f>
        <x:v>2024-2</x:v>
      </x:c>
    </x:row>
    <x:row r="1024" ht="21" customHeight="1">
      <x:c r="A1024" s="3" t="str">
        <x:v>2202020</x:v>
      </x:c>
      <x:c r="B1024" s="3" t="str">
        <x:v>SEC010</x:v>
      </x:c>
      <x:c r="C1024" s="3" t="n">
        <x:v>15</x:v>
      </x:c>
      <x:c r="D1024" s="3" t="str">
        <x:v>present</x:v>
      </x:c>
      <x:c r="E1024" s="5" t="str">
        <x:f>VLOOKUP(B1024,Sections!$A$5:$I$45,3,FALSE)</x:f>
        <x:v>2024-2</x:v>
      </x:c>
    </x:row>
    <x:row r="1025" ht="21" customHeight="1">
      <x:c r="A1025" s="3" t="str">
        <x:v>2202015</x:v>
      </x:c>
      <x:c r="B1025" s="3" t="str">
        <x:v>SEC011</x:v>
      </x:c>
      <x:c r="C1025" s="3" t="n">
        <x:v>1</x:v>
      </x:c>
      <x:c r="D1025" s="3" t="str">
        <x:v>present</x:v>
      </x:c>
      <x:c r="E1025" s="5" t="str">
        <x:f>VLOOKUP(B1025,Sections!$A$5:$I$45,3,FALSE)</x:f>
        <x:v>2025-1</x:v>
      </x:c>
    </x:row>
    <x:row r="1026" ht="21" customHeight="1">
      <x:c r="A1026" s="3" t="str">
        <x:v>2202015</x:v>
      </x:c>
      <x:c r="B1026" s="3" t="str">
        <x:v>SEC011</x:v>
      </x:c>
      <x:c r="C1026" s="3" t="n">
        <x:v>2</x:v>
      </x:c>
      <x:c r="D1026" s="3" t="str">
        <x:v>present</x:v>
      </x:c>
      <x:c r="E1026" s="5" t="str">
        <x:f>VLOOKUP(B1026,Sections!$A$5:$I$45,3,FALSE)</x:f>
        <x:v>2025-1</x:v>
      </x:c>
    </x:row>
    <x:row r="1027" ht="21" customHeight="1">
      <x:c r="A1027" s="3" t="str">
        <x:v>2202015</x:v>
      </x:c>
      <x:c r="B1027" s="3" t="str">
        <x:v>SEC011</x:v>
      </x:c>
      <x:c r="C1027" s="3" t="n">
        <x:v>3</x:v>
      </x:c>
      <x:c r="D1027" s="3" t="str">
        <x:v>present</x:v>
      </x:c>
      <x:c r="E1027" s="5" t="str">
        <x:f>VLOOKUP(B1027,Sections!$A$5:$I$45,3,FALSE)</x:f>
        <x:v>2025-1</x:v>
      </x:c>
    </x:row>
    <x:row r="1028" ht="21" customHeight="1">
      <x:c r="A1028" s="3" t="str">
        <x:v>2202015</x:v>
      </x:c>
      <x:c r="B1028" s="3" t="str">
        <x:v>SEC011</x:v>
      </x:c>
      <x:c r="C1028" s="3" t="n">
        <x:v>4</x:v>
      </x:c>
      <x:c r="D1028" s="3" t="str">
        <x:v>present</x:v>
      </x:c>
      <x:c r="E1028" s="5" t="str">
        <x:f>VLOOKUP(B1028,Sections!$A$5:$I$45,3,FALSE)</x:f>
        <x:v>2025-1</x:v>
      </x:c>
    </x:row>
    <x:row r="1029" ht="21" customHeight="1">
      <x:c r="A1029" s="3" t="str">
        <x:v>2202015</x:v>
      </x:c>
      <x:c r="B1029" s="3" t="str">
        <x:v>SEC011</x:v>
      </x:c>
      <x:c r="C1029" s="3" t="n">
        <x:v>5</x:v>
      </x:c>
      <x:c r="D1029" s="3" t="str">
        <x:v>present</x:v>
      </x:c>
      <x:c r="E1029" s="5" t="str">
        <x:f>VLOOKUP(B1029,Sections!$A$5:$I$45,3,FALSE)</x:f>
        <x:v>2025-1</x:v>
      </x:c>
    </x:row>
    <x:row r="1030" ht="21" customHeight="1">
      <x:c r="A1030" s="3" t="str">
        <x:v>2202015</x:v>
      </x:c>
      <x:c r="B1030" s="3" t="str">
        <x:v>SEC011</x:v>
      </x:c>
      <x:c r="C1030" s="3" t="n">
        <x:v>6</x:v>
      </x:c>
      <x:c r="D1030" s="3" t="str">
        <x:v>late</x:v>
      </x:c>
      <x:c r="E1030" s="5" t="str">
        <x:f>VLOOKUP(B1030,Sections!$A$5:$I$45,3,FALSE)</x:f>
        <x:v>2025-1</x:v>
      </x:c>
    </x:row>
    <x:row r="1031" ht="21" customHeight="1">
      <x:c r="A1031" s="3" t="str">
        <x:v>2202015</x:v>
      </x:c>
      <x:c r="B1031" s="3" t="str">
        <x:v>SEC011</x:v>
      </x:c>
      <x:c r="C1031" s="3" t="n">
        <x:v>7</x:v>
      </x:c>
      <x:c r="D1031" s="3" t="str">
        <x:v>present</x:v>
      </x:c>
      <x:c r="E1031" s="5" t="str">
        <x:f>VLOOKUP(B1031,Sections!$A$5:$I$45,3,FALSE)</x:f>
        <x:v>2025-1</x:v>
      </x:c>
    </x:row>
    <x:row r="1032" ht="21" customHeight="1">
      <x:c r="A1032" s="3" t="str">
        <x:v>2202015</x:v>
      </x:c>
      <x:c r="B1032" s="3" t="str">
        <x:v>SEC011</x:v>
      </x:c>
      <x:c r="C1032" s="3" t="n">
        <x:v>8</x:v>
      </x:c>
      <x:c r="D1032" s="3" t="str">
        <x:v>excused</x:v>
      </x:c>
      <x:c r="E1032" s="5" t="str">
        <x:f>VLOOKUP(B1032,Sections!$A$5:$I$45,3,FALSE)</x:f>
        <x:v>2025-1</x:v>
      </x:c>
    </x:row>
    <x:row r="1033" ht="21" customHeight="1">
      <x:c r="A1033" s="3" t="str">
        <x:v>2202015</x:v>
      </x:c>
      <x:c r="B1033" s="3" t="str">
        <x:v>SEC011</x:v>
      </x:c>
      <x:c r="C1033" s="3" t="n">
        <x:v>9</x:v>
      </x:c>
      <x:c r="D1033" s="3" t="str">
        <x:v>absent</x:v>
      </x:c>
      <x:c r="E1033" s="5" t="str">
        <x:f>VLOOKUP(B1033,Sections!$A$5:$I$45,3,FALSE)</x:f>
        <x:v>2025-1</x:v>
      </x:c>
    </x:row>
    <x:row r="1034" ht="21" customHeight="1">
      <x:c r="A1034" s="3" t="str">
        <x:v>2202015</x:v>
      </x:c>
      <x:c r="B1034" s="3" t="str">
        <x:v>SEC011</x:v>
      </x:c>
      <x:c r="C1034" s="3" t="n">
        <x:v>10</x:v>
      </x:c>
      <x:c r="D1034" s="3" t="str">
        <x:v>present</x:v>
      </x:c>
      <x:c r="E1034" s="5" t="str">
        <x:f>VLOOKUP(B1034,Sections!$A$5:$I$45,3,FALSE)</x:f>
        <x:v>2025-1</x:v>
      </x:c>
    </x:row>
    <x:row r="1035" ht="21" customHeight="1">
      <x:c r="A1035" s="3" t="str">
        <x:v>2202015</x:v>
      </x:c>
      <x:c r="B1035" s="3" t="str">
        <x:v>SEC011</x:v>
      </x:c>
      <x:c r="C1035" s="3" t="n">
        <x:v>11</x:v>
      </x:c>
      <x:c r="D1035" s="3" t="str">
        <x:v>present</x:v>
      </x:c>
      <x:c r="E1035" s="5" t="str">
        <x:f>VLOOKUP(B1035,Sections!$A$5:$I$45,3,FALSE)</x:f>
        <x:v>2025-1</x:v>
      </x:c>
    </x:row>
    <x:row r="1036" ht="21" customHeight="1">
      <x:c r="A1036" s="3" t="str">
        <x:v>2202015</x:v>
      </x:c>
      <x:c r="B1036" s="3" t="str">
        <x:v>SEC011</x:v>
      </x:c>
      <x:c r="C1036" s="3" t="n">
        <x:v>12</x:v>
      </x:c>
      <x:c r="D1036" s="3" t="str">
        <x:v>present</x:v>
      </x:c>
      <x:c r="E1036" s="5" t="str">
        <x:f>VLOOKUP(B1036,Sections!$A$5:$I$45,3,FALSE)</x:f>
        <x:v>2025-1</x:v>
      </x:c>
    </x:row>
    <x:row r="1037" ht="21" customHeight="1">
      <x:c r="A1037" s="3" t="str">
        <x:v>2202015</x:v>
      </x:c>
      <x:c r="B1037" s="3" t="str">
        <x:v>SEC011</x:v>
      </x:c>
      <x:c r="C1037" s="3" t="n">
        <x:v>13</x:v>
      </x:c>
      <x:c r="D1037" s="3" t="str">
        <x:v>absent</x:v>
      </x:c>
      <x:c r="E1037" s="5" t="str">
        <x:f>VLOOKUP(B1037,Sections!$A$5:$I$45,3,FALSE)</x:f>
        <x:v>2025-1</x:v>
      </x:c>
    </x:row>
    <x:row r="1038" ht="21" customHeight="1">
      <x:c r="A1038" s="3" t="str">
        <x:v>2202015</x:v>
      </x:c>
      <x:c r="B1038" s="3" t="str">
        <x:v>SEC011</x:v>
      </x:c>
      <x:c r="C1038" s="3" t="n">
        <x:v>14</x:v>
      </x:c>
      <x:c r="D1038" s="3" t="str">
        <x:v>present</x:v>
      </x:c>
      <x:c r="E1038" s="5" t="str">
        <x:f>VLOOKUP(B1038,Sections!$A$5:$I$45,3,FALSE)</x:f>
        <x:v>2025-1</x:v>
      </x:c>
    </x:row>
    <x:row r="1039" ht="21" customHeight="1">
      <x:c r="A1039" s="3" t="str">
        <x:v>2202015</x:v>
      </x:c>
      <x:c r="B1039" s="3" t="str">
        <x:v>SEC011</x:v>
      </x:c>
      <x:c r="C1039" s="3" t="n">
        <x:v>15</x:v>
      </x:c>
      <x:c r="D1039" s="3" t="str">
        <x:v>present</x:v>
      </x:c>
      <x:c r="E1039" s="5" t="str">
        <x:f>VLOOKUP(B1039,Sections!$A$5:$I$45,3,FALSE)</x:f>
        <x:v>2025-1</x:v>
      </x:c>
    </x:row>
    <x:row r="1040" ht="21" customHeight="1">
      <x:c r="A1040" s="3" t="str">
        <x:v>2202001</x:v>
      </x:c>
      <x:c r="B1040" s="3" t="str">
        <x:v>SEC012</x:v>
      </x:c>
      <x:c r="C1040" s="3" t="n">
        <x:v>1</x:v>
      </x:c>
      <x:c r="D1040" s="3" t="str">
        <x:v>present</x:v>
      </x:c>
      <x:c r="E1040" s="5" t="str">
        <x:f>VLOOKUP(B1040,Sections!$A$5:$I$45,3,FALSE)</x:f>
        <x:v>2025-1</x:v>
      </x:c>
    </x:row>
    <x:row r="1041" ht="21" customHeight="1">
      <x:c r="A1041" s="3" t="str">
        <x:v>2202001</x:v>
      </x:c>
      <x:c r="B1041" s="3" t="str">
        <x:v>SEC012</x:v>
      </x:c>
      <x:c r="C1041" s="3" t="n">
        <x:v>2</x:v>
      </x:c>
      <x:c r="D1041" s="3" t="str">
        <x:v>present</x:v>
      </x:c>
      <x:c r="E1041" s="5" t="str">
        <x:f>VLOOKUP(B1041,Sections!$A$5:$I$45,3,FALSE)</x:f>
        <x:v>2025-1</x:v>
      </x:c>
    </x:row>
    <x:row r="1042" ht="21" customHeight="1">
      <x:c r="A1042" s="3" t="str">
        <x:v>2202001</x:v>
      </x:c>
      <x:c r="B1042" s="3" t="str">
        <x:v>SEC012</x:v>
      </x:c>
      <x:c r="C1042" s="3" t="n">
        <x:v>3</x:v>
      </x:c>
      <x:c r="D1042" s="3" t="str">
        <x:v>present</x:v>
      </x:c>
      <x:c r="E1042" s="5" t="str">
        <x:f>VLOOKUP(B1042,Sections!$A$5:$I$45,3,FALSE)</x:f>
        <x:v>2025-1</x:v>
      </x:c>
    </x:row>
    <x:row r="1043" ht="21" customHeight="1">
      <x:c r="A1043" s="3" t="str">
        <x:v>2202001</x:v>
      </x:c>
      <x:c r="B1043" s="3" t="str">
        <x:v>SEC012</x:v>
      </x:c>
      <x:c r="C1043" s="3" t="n">
        <x:v>4</x:v>
      </x:c>
      <x:c r="D1043" s="3" t="str">
        <x:v>present</x:v>
      </x:c>
      <x:c r="E1043" s="5" t="str">
        <x:f>VLOOKUP(B1043,Sections!$A$5:$I$45,3,FALSE)</x:f>
        <x:v>2025-1</x:v>
      </x:c>
    </x:row>
    <x:row r="1044" ht="21" customHeight="1">
      <x:c r="A1044" s="3" t="str">
        <x:v>2202001</x:v>
      </x:c>
      <x:c r="B1044" s="3" t="str">
        <x:v>SEC012</x:v>
      </x:c>
      <x:c r="C1044" s="3" t="n">
        <x:v>5</x:v>
      </x:c>
      <x:c r="D1044" s="3" t="str">
        <x:v>present</x:v>
      </x:c>
      <x:c r="E1044" s="5" t="str">
        <x:f>VLOOKUP(B1044,Sections!$A$5:$I$45,3,FALSE)</x:f>
        <x:v>2025-1</x:v>
      </x:c>
    </x:row>
    <x:row r="1045" ht="21" customHeight="1">
      <x:c r="A1045" s="3" t="str">
        <x:v>2202001</x:v>
      </x:c>
      <x:c r="B1045" s="3" t="str">
        <x:v>SEC012</x:v>
      </x:c>
      <x:c r="C1045" s="3" t="n">
        <x:v>6</x:v>
      </x:c>
      <x:c r="D1045" s="3" t="str">
        <x:v>present</x:v>
      </x:c>
      <x:c r="E1045" s="5" t="str">
        <x:f>VLOOKUP(B1045,Sections!$A$5:$I$45,3,FALSE)</x:f>
        <x:v>2025-1</x:v>
      </x:c>
    </x:row>
    <x:row r="1046" ht="21" customHeight="1">
      <x:c r="A1046" s="3" t="str">
        <x:v>2202001</x:v>
      </x:c>
      <x:c r="B1046" s="3" t="str">
        <x:v>SEC012</x:v>
      </x:c>
      <x:c r="C1046" s="3" t="n">
        <x:v>7</x:v>
      </x:c>
      <x:c r="D1046" s="3" t="str">
        <x:v>present</x:v>
      </x:c>
      <x:c r="E1046" s="5" t="str">
        <x:f>VLOOKUP(B1046,Sections!$A$5:$I$45,3,FALSE)</x:f>
        <x:v>2025-1</x:v>
      </x:c>
    </x:row>
    <x:row r="1047" ht="21" customHeight="1">
      <x:c r="A1047" s="3" t="str">
        <x:v>2202001</x:v>
      </x:c>
      <x:c r="B1047" s="3" t="str">
        <x:v>SEC012</x:v>
      </x:c>
      <x:c r="C1047" s="3" t="n">
        <x:v>8</x:v>
      </x:c>
      <x:c r="D1047" s="3" t="str">
        <x:v>present</x:v>
      </x:c>
      <x:c r="E1047" s="5" t="str">
        <x:f>VLOOKUP(B1047,Sections!$A$5:$I$45,3,FALSE)</x:f>
        <x:v>2025-1</x:v>
      </x:c>
    </x:row>
    <x:row r="1048" ht="21" customHeight="1">
      <x:c r="A1048" s="3" t="str">
        <x:v>2202001</x:v>
      </x:c>
      <x:c r="B1048" s="3" t="str">
        <x:v>SEC012</x:v>
      </x:c>
      <x:c r="C1048" s="3" t="n">
        <x:v>9</x:v>
      </x:c>
      <x:c r="D1048" s="3" t="str">
        <x:v>present</x:v>
      </x:c>
      <x:c r="E1048" s="5" t="str">
        <x:f>VLOOKUP(B1048,Sections!$A$5:$I$45,3,FALSE)</x:f>
        <x:v>2025-1</x:v>
      </x:c>
    </x:row>
    <x:row r="1049" ht="21" customHeight="1">
      <x:c r="A1049" s="3" t="str">
        <x:v>2202001</x:v>
      </x:c>
      <x:c r="B1049" s="3" t="str">
        <x:v>SEC012</x:v>
      </x:c>
      <x:c r="C1049" s="3" t="n">
        <x:v>10</x:v>
      </x:c>
      <x:c r="D1049" s="3" t="str">
        <x:v>present</x:v>
      </x:c>
      <x:c r="E1049" s="5" t="str">
        <x:f>VLOOKUP(B1049,Sections!$A$5:$I$45,3,FALSE)</x:f>
        <x:v>2025-1</x:v>
      </x:c>
    </x:row>
    <x:row r="1050" ht="21" customHeight="1">
      <x:c r="A1050" s="3" t="str">
        <x:v>2202001</x:v>
      </x:c>
      <x:c r="B1050" s="3" t="str">
        <x:v>SEC012</x:v>
      </x:c>
      <x:c r="C1050" s="3" t="n">
        <x:v>11</x:v>
      </x:c>
      <x:c r="D1050" s="3" t="str">
        <x:v>present</x:v>
      </x:c>
      <x:c r="E1050" s="5" t="str">
        <x:f>VLOOKUP(B1050,Sections!$A$5:$I$45,3,FALSE)</x:f>
        <x:v>2025-1</x:v>
      </x:c>
    </x:row>
    <x:row r="1051" ht="21" customHeight="1">
      <x:c r="A1051" s="3" t="str">
        <x:v>2202001</x:v>
      </x:c>
      <x:c r="B1051" s="3" t="str">
        <x:v>SEC012</x:v>
      </x:c>
      <x:c r="C1051" s="3" t="n">
        <x:v>12</x:v>
      </x:c>
      <x:c r="D1051" s="3" t="str">
        <x:v>present</x:v>
      </x:c>
      <x:c r="E1051" s="5" t="str">
        <x:f>VLOOKUP(B1051,Sections!$A$5:$I$45,3,FALSE)</x:f>
        <x:v>2025-1</x:v>
      </x:c>
    </x:row>
    <x:row r="1052" ht="21" customHeight="1">
      <x:c r="A1052" s="3" t="str">
        <x:v>2202001</x:v>
      </x:c>
      <x:c r="B1052" s="3" t="str">
        <x:v>SEC012</x:v>
      </x:c>
      <x:c r="C1052" s="3" t="n">
        <x:v>13</x:v>
      </x:c>
      <x:c r="D1052" s="3" t="str">
        <x:v>present</x:v>
      </x:c>
      <x:c r="E1052" s="5" t="str">
        <x:f>VLOOKUP(B1052,Sections!$A$5:$I$45,3,FALSE)</x:f>
        <x:v>2025-1</x:v>
      </x:c>
    </x:row>
    <x:row r="1053" ht="21" customHeight="1">
      <x:c r="A1053" s="3" t="str">
        <x:v>2202001</x:v>
      </x:c>
      <x:c r="B1053" s="3" t="str">
        <x:v>SEC012</x:v>
      </x:c>
      <x:c r="C1053" s="3" t="n">
        <x:v>14</x:v>
      </x:c>
      <x:c r="D1053" s="3" t="str">
        <x:v>present</x:v>
      </x:c>
      <x:c r="E1053" s="5" t="str">
        <x:f>VLOOKUP(B1053,Sections!$A$5:$I$45,3,FALSE)</x:f>
        <x:v>2025-1</x:v>
      </x:c>
    </x:row>
    <x:row r="1054" ht="21" customHeight="1">
      <x:c r="A1054" s="3" t="str">
        <x:v>2202001</x:v>
      </x:c>
      <x:c r="B1054" s="3" t="str">
        <x:v>SEC012</x:v>
      </x:c>
      <x:c r="C1054" s="3" t="n">
        <x:v>15</x:v>
      </x:c>
      <x:c r="D1054" s="3" t="str">
        <x:v>present</x:v>
      </x:c>
      <x:c r="E1054" s="5" t="str">
        <x:f>VLOOKUP(B1054,Sections!$A$5:$I$45,3,FALSE)</x:f>
        <x:v>2025-1</x:v>
      </x:c>
    </x:row>
    <x:row r="1055" ht="21" customHeight="1">
      <x:c r="A1055" s="3" t="str">
        <x:v>2202002</x:v>
      </x:c>
      <x:c r="B1055" s="3" t="str">
        <x:v>SEC012</x:v>
      </x:c>
      <x:c r="C1055" s="3" t="n">
        <x:v>1</x:v>
      </x:c>
      <x:c r="D1055" s="3" t="str">
        <x:v>present</x:v>
      </x:c>
      <x:c r="E1055" s="5" t="str">
        <x:f>VLOOKUP(B1055,Sections!$A$5:$I$45,3,FALSE)</x:f>
        <x:v>2025-1</x:v>
      </x:c>
    </x:row>
    <x:row r="1056" ht="21" customHeight="1">
      <x:c r="A1056" s="3" t="str">
        <x:v>2202002</x:v>
      </x:c>
      <x:c r="B1056" s="3" t="str">
        <x:v>SEC012</x:v>
      </x:c>
      <x:c r="C1056" s="3" t="n">
        <x:v>2</x:v>
      </x:c>
      <x:c r="D1056" s="3" t="str">
        <x:v>present</x:v>
      </x:c>
      <x:c r="E1056" s="5" t="str">
        <x:f>VLOOKUP(B1056,Sections!$A$5:$I$45,3,FALSE)</x:f>
        <x:v>2025-1</x:v>
      </x:c>
    </x:row>
    <x:row r="1057" ht="21" customHeight="1">
      <x:c r="A1057" s="3" t="str">
        <x:v>2202002</x:v>
      </x:c>
      <x:c r="B1057" s="3" t="str">
        <x:v>SEC012</x:v>
      </x:c>
      <x:c r="C1057" s="3" t="n">
        <x:v>3</x:v>
      </x:c>
      <x:c r="D1057" s="3" t="str">
        <x:v>present</x:v>
      </x:c>
      <x:c r="E1057" s="5" t="str">
        <x:f>VLOOKUP(B1057,Sections!$A$5:$I$45,3,FALSE)</x:f>
        <x:v>2025-1</x:v>
      </x:c>
    </x:row>
    <x:row r="1058" ht="21" customHeight="1">
      <x:c r="A1058" s="3" t="str">
        <x:v>2202002</x:v>
      </x:c>
      <x:c r="B1058" s="3" t="str">
        <x:v>SEC012</x:v>
      </x:c>
      <x:c r="C1058" s="3" t="n">
        <x:v>4</x:v>
      </x:c>
      <x:c r="D1058" s="3" t="str">
        <x:v>present</x:v>
      </x:c>
      <x:c r="E1058" s="5" t="str">
        <x:f>VLOOKUP(B1058,Sections!$A$5:$I$45,3,FALSE)</x:f>
        <x:v>2025-1</x:v>
      </x:c>
    </x:row>
    <x:row r="1059" ht="21" customHeight="1">
      <x:c r="A1059" s="3" t="str">
        <x:v>2202002</x:v>
      </x:c>
      <x:c r="B1059" s="3" t="str">
        <x:v>SEC012</x:v>
      </x:c>
      <x:c r="C1059" s="3" t="n">
        <x:v>5</x:v>
      </x:c>
      <x:c r="D1059" s="3" t="str">
        <x:v>present</x:v>
      </x:c>
      <x:c r="E1059" s="5" t="str">
        <x:f>VLOOKUP(B1059,Sections!$A$5:$I$45,3,FALSE)</x:f>
        <x:v>2025-1</x:v>
      </x:c>
    </x:row>
    <x:row r="1060" ht="21" customHeight="1">
      <x:c r="A1060" s="3" t="str">
        <x:v>2202002</x:v>
      </x:c>
      <x:c r="B1060" s="3" t="str">
        <x:v>SEC012</x:v>
      </x:c>
      <x:c r="C1060" s="3" t="n">
        <x:v>6</x:v>
      </x:c>
      <x:c r="D1060" s="3" t="str">
        <x:v>present</x:v>
      </x:c>
      <x:c r="E1060" s="5" t="str">
        <x:f>VLOOKUP(B1060,Sections!$A$5:$I$45,3,FALSE)</x:f>
        <x:v>2025-1</x:v>
      </x:c>
    </x:row>
    <x:row r="1061" ht="21" customHeight="1">
      <x:c r="A1061" s="3" t="str">
        <x:v>2202002</x:v>
      </x:c>
      <x:c r="B1061" s="3" t="str">
        <x:v>SEC012</x:v>
      </x:c>
      <x:c r="C1061" s="3" t="n">
        <x:v>7</x:v>
      </x:c>
      <x:c r="D1061" s="3" t="str">
        <x:v>present</x:v>
      </x:c>
      <x:c r="E1061" s="5" t="str">
        <x:f>VLOOKUP(B1061,Sections!$A$5:$I$45,3,FALSE)</x:f>
        <x:v>2025-1</x:v>
      </x:c>
    </x:row>
    <x:row r="1062" ht="21" customHeight="1">
      <x:c r="A1062" s="3" t="str">
        <x:v>2202002</x:v>
      </x:c>
      <x:c r="B1062" s="3" t="str">
        <x:v>SEC012</x:v>
      </x:c>
      <x:c r="C1062" s="3" t="n">
        <x:v>8</x:v>
      </x:c>
      <x:c r="D1062" s="3" t="str">
        <x:v>present</x:v>
      </x:c>
      <x:c r="E1062" s="5" t="str">
        <x:f>VLOOKUP(B1062,Sections!$A$5:$I$45,3,FALSE)</x:f>
        <x:v>2025-1</x:v>
      </x:c>
    </x:row>
    <x:row r="1063" ht="21" customHeight="1">
      <x:c r="A1063" s="3" t="str">
        <x:v>2202002</x:v>
      </x:c>
      <x:c r="B1063" s="3" t="str">
        <x:v>SEC012</x:v>
      </x:c>
      <x:c r="C1063" s="3" t="n">
        <x:v>9</x:v>
      </x:c>
      <x:c r="D1063" s="3" t="str">
        <x:v>present</x:v>
      </x:c>
      <x:c r="E1063" s="5" t="str">
        <x:f>VLOOKUP(B1063,Sections!$A$5:$I$45,3,FALSE)</x:f>
        <x:v>2025-1</x:v>
      </x:c>
    </x:row>
    <x:row r="1064" ht="21" customHeight="1">
      <x:c r="A1064" s="3" t="str">
        <x:v>2202002</x:v>
      </x:c>
      <x:c r="B1064" s="3" t="str">
        <x:v>SEC012</x:v>
      </x:c>
      <x:c r="C1064" s="3" t="n">
        <x:v>10</x:v>
      </x:c>
      <x:c r="D1064" s="3" t="str">
        <x:v>present</x:v>
      </x:c>
      <x:c r="E1064" s="5" t="str">
        <x:f>VLOOKUP(B1064,Sections!$A$5:$I$45,3,FALSE)</x:f>
        <x:v>2025-1</x:v>
      </x:c>
    </x:row>
    <x:row r="1065" ht="21" customHeight="1">
      <x:c r="A1065" s="3" t="str">
        <x:v>2202002</x:v>
      </x:c>
      <x:c r="B1065" s="3" t="str">
        <x:v>SEC012</x:v>
      </x:c>
      <x:c r="C1065" s="3" t="n">
        <x:v>11</x:v>
      </x:c>
      <x:c r="D1065" s="3" t="str">
        <x:v>present</x:v>
      </x:c>
      <x:c r="E1065" s="5" t="str">
        <x:f>VLOOKUP(B1065,Sections!$A$5:$I$45,3,FALSE)</x:f>
        <x:v>2025-1</x:v>
      </x:c>
    </x:row>
    <x:row r="1066" ht="21" customHeight="1">
      <x:c r="A1066" s="3" t="str">
        <x:v>2202002</x:v>
      </x:c>
      <x:c r="B1066" s="3" t="str">
        <x:v>SEC012</x:v>
      </x:c>
      <x:c r="C1066" s="3" t="n">
        <x:v>12</x:v>
      </x:c>
      <x:c r="D1066" s="3" t="str">
        <x:v>present</x:v>
      </x:c>
      <x:c r="E1066" s="5" t="str">
        <x:f>VLOOKUP(B1066,Sections!$A$5:$I$45,3,FALSE)</x:f>
        <x:v>2025-1</x:v>
      </x:c>
    </x:row>
    <x:row r="1067" ht="21" customHeight="1">
      <x:c r="A1067" s="3" t="str">
        <x:v>2202002</x:v>
      </x:c>
      <x:c r="B1067" s="3" t="str">
        <x:v>SEC012</x:v>
      </x:c>
      <x:c r="C1067" s="3" t="n">
        <x:v>13</x:v>
      </x:c>
      <x:c r="D1067" s="3" t="str">
        <x:v>absent</x:v>
      </x:c>
      <x:c r="E1067" s="5" t="str">
        <x:f>VLOOKUP(B1067,Sections!$A$5:$I$45,3,FALSE)</x:f>
        <x:v>2025-1</x:v>
      </x:c>
    </x:row>
    <x:row r="1068" ht="21" customHeight="1">
      <x:c r="A1068" s="3" t="str">
        <x:v>2202002</x:v>
      </x:c>
      <x:c r="B1068" s="3" t="str">
        <x:v>SEC012</x:v>
      </x:c>
      <x:c r="C1068" s="3" t="n">
        <x:v>14</x:v>
      </x:c>
      <x:c r="D1068" s="3" t="str">
        <x:v>absent</x:v>
      </x:c>
      <x:c r="E1068" s="5" t="str">
        <x:f>VLOOKUP(B1068,Sections!$A$5:$I$45,3,FALSE)</x:f>
        <x:v>2025-1</x:v>
      </x:c>
    </x:row>
    <x:row r="1069" ht="21" customHeight="1">
      <x:c r="A1069" s="3" t="str">
        <x:v>2202002</x:v>
      </x:c>
      <x:c r="B1069" s="3" t="str">
        <x:v>SEC012</x:v>
      </x:c>
      <x:c r="C1069" s="3" t="n">
        <x:v>15</x:v>
      </x:c>
      <x:c r="D1069" s="3" t="str">
        <x:v>present</x:v>
      </x:c>
      <x:c r="E1069" s="5" t="str">
        <x:f>VLOOKUP(B1069,Sections!$A$5:$I$45,3,FALSE)</x:f>
        <x:v>2025-1</x:v>
      </x:c>
    </x:row>
    <x:row r="1070" ht="21" customHeight="1">
      <x:c r="A1070" s="3" t="str">
        <x:v>2202003</x:v>
      </x:c>
      <x:c r="B1070" s="3" t="str">
        <x:v>SEC012</x:v>
      </x:c>
      <x:c r="C1070" s="3" t="n">
        <x:v>1</x:v>
      </x:c>
      <x:c r="D1070" s="3" t="str">
        <x:v>present</x:v>
      </x:c>
      <x:c r="E1070" s="5" t="str">
        <x:f>VLOOKUP(B1070,Sections!$A$5:$I$45,3,FALSE)</x:f>
        <x:v>2025-1</x:v>
      </x:c>
    </x:row>
    <x:row r="1071" ht="21" customHeight="1">
      <x:c r="A1071" s="3" t="str">
        <x:v>2202003</x:v>
      </x:c>
      <x:c r="B1071" s="3" t="str">
        <x:v>SEC012</x:v>
      </x:c>
      <x:c r="C1071" s="3" t="n">
        <x:v>2</x:v>
      </x:c>
      <x:c r="D1071" s="3" t="str">
        <x:v>present</x:v>
      </x:c>
      <x:c r="E1071" s="5" t="str">
        <x:f>VLOOKUP(B1071,Sections!$A$5:$I$45,3,FALSE)</x:f>
        <x:v>2025-1</x:v>
      </x:c>
    </x:row>
    <x:row r="1072" ht="21" customHeight="1">
      <x:c r="A1072" s="3" t="str">
        <x:v>2202003</x:v>
      </x:c>
      <x:c r="B1072" s="3" t="str">
        <x:v>SEC012</x:v>
      </x:c>
      <x:c r="C1072" s="3" t="n">
        <x:v>3</x:v>
      </x:c>
      <x:c r="D1072" s="3" t="str">
        <x:v>present</x:v>
      </x:c>
      <x:c r="E1072" s="5" t="str">
        <x:f>VLOOKUP(B1072,Sections!$A$5:$I$45,3,FALSE)</x:f>
        <x:v>2025-1</x:v>
      </x:c>
    </x:row>
    <x:row r="1073" ht="21" customHeight="1">
      <x:c r="A1073" s="3" t="str">
        <x:v>2202003</x:v>
      </x:c>
      <x:c r="B1073" s="3" t="str">
        <x:v>SEC012</x:v>
      </x:c>
      <x:c r="C1073" s="3" t="n">
        <x:v>4</x:v>
      </x:c>
      <x:c r="D1073" s="3" t="str">
        <x:v>late</x:v>
      </x:c>
      <x:c r="E1073" s="5" t="str">
        <x:f>VLOOKUP(B1073,Sections!$A$5:$I$45,3,FALSE)</x:f>
        <x:v>2025-1</x:v>
      </x:c>
    </x:row>
    <x:row r="1074" ht="21" customHeight="1">
      <x:c r="A1074" s="3" t="str">
        <x:v>2202003</x:v>
      </x:c>
      <x:c r="B1074" s="3" t="str">
        <x:v>SEC012</x:v>
      </x:c>
      <x:c r="C1074" s="3" t="n">
        <x:v>5</x:v>
      </x:c>
      <x:c r="D1074" s="3" t="str">
        <x:v>present</x:v>
      </x:c>
      <x:c r="E1074" s="5" t="str">
        <x:f>VLOOKUP(B1074,Sections!$A$5:$I$45,3,FALSE)</x:f>
        <x:v>2025-1</x:v>
      </x:c>
    </x:row>
    <x:row r="1075" ht="21" customHeight="1">
      <x:c r="A1075" s="3" t="str">
        <x:v>2202003</x:v>
      </x:c>
      <x:c r="B1075" s="3" t="str">
        <x:v>SEC012</x:v>
      </x:c>
      <x:c r="C1075" s="3" t="n">
        <x:v>6</x:v>
      </x:c>
      <x:c r="D1075" s="3" t="str">
        <x:v>present</x:v>
      </x:c>
      <x:c r="E1075" s="5" t="str">
        <x:f>VLOOKUP(B1075,Sections!$A$5:$I$45,3,FALSE)</x:f>
        <x:v>2025-1</x:v>
      </x:c>
    </x:row>
    <x:row r="1076" ht="21" customHeight="1">
      <x:c r="A1076" s="3" t="str">
        <x:v>2202003</x:v>
      </x:c>
      <x:c r="B1076" s="3" t="str">
        <x:v>SEC012</x:v>
      </x:c>
      <x:c r="C1076" s="3" t="n">
        <x:v>7</x:v>
      </x:c>
      <x:c r="D1076" s="3" t="str">
        <x:v>present</x:v>
      </x:c>
      <x:c r="E1076" s="5" t="str">
        <x:f>VLOOKUP(B1076,Sections!$A$5:$I$45,3,FALSE)</x:f>
        <x:v>2025-1</x:v>
      </x:c>
    </x:row>
    <x:row r="1077" ht="21" customHeight="1">
      <x:c r="A1077" s="3" t="str">
        <x:v>2202003</x:v>
      </x:c>
      <x:c r="B1077" s="3" t="str">
        <x:v>SEC012</x:v>
      </x:c>
      <x:c r="C1077" s="3" t="n">
        <x:v>8</x:v>
      </x:c>
      <x:c r="D1077" s="3" t="str">
        <x:v>present</x:v>
      </x:c>
      <x:c r="E1077" s="5" t="str">
        <x:f>VLOOKUP(B1077,Sections!$A$5:$I$45,3,FALSE)</x:f>
        <x:v>2025-1</x:v>
      </x:c>
    </x:row>
    <x:row r="1078" ht="21" customHeight="1">
      <x:c r="A1078" s="3" t="str">
        <x:v>2202003</x:v>
      </x:c>
      <x:c r="B1078" s="3" t="str">
        <x:v>SEC012</x:v>
      </x:c>
      <x:c r="C1078" s="3" t="n">
        <x:v>9</x:v>
      </x:c>
      <x:c r="D1078" s="3" t="str">
        <x:v>present</x:v>
      </x:c>
      <x:c r="E1078" s="5" t="str">
        <x:f>VLOOKUP(B1078,Sections!$A$5:$I$45,3,FALSE)</x:f>
        <x:v>2025-1</x:v>
      </x:c>
    </x:row>
    <x:row r="1079" ht="21" customHeight="1">
      <x:c r="A1079" s="3" t="str">
        <x:v>2202003</x:v>
      </x:c>
      <x:c r="B1079" s="3" t="str">
        <x:v>SEC012</x:v>
      </x:c>
      <x:c r="C1079" s="3" t="n">
        <x:v>10</x:v>
      </x:c>
      <x:c r="D1079" s="3" t="str">
        <x:v>excused</x:v>
      </x:c>
      <x:c r="E1079" s="5" t="str">
        <x:f>VLOOKUP(B1079,Sections!$A$5:$I$45,3,FALSE)</x:f>
        <x:v>2025-1</x:v>
      </x:c>
    </x:row>
    <x:row r="1080" ht="21" customHeight="1">
      <x:c r="A1080" s="3" t="str">
        <x:v>2202003</x:v>
      </x:c>
      <x:c r="B1080" s="3" t="str">
        <x:v>SEC012</x:v>
      </x:c>
      <x:c r="C1080" s="3" t="n">
        <x:v>11</x:v>
      </x:c>
      <x:c r="D1080" s="3" t="str">
        <x:v>present</x:v>
      </x:c>
      <x:c r="E1080" s="5" t="str">
        <x:f>VLOOKUP(B1080,Sections!$A$5:$I$45,3,FALSE)</x:f>
        <x:v>2025-1</x:v>
      </x:c>
    </x:row>
    <x:row r="1081" ht="21" customHeight="1">
      <x:c r="A1081" s="3" t="str">
        <x:v>2202003</x:v>
      </x:c>
      <x:c r="B1081" s="3" t="str">
        <x:v>SEC012</x:v>
      </x:c>
      <x:c r="C1081" s="3" t="n">
        <x:v>12</x:v>
      </x:c>
      <x:c r="D1081" s="3" t="str">
        <x:v>present</x:v>
      </x:c>
      <x:c r="E1081" s="5" t="str">
        <x:f>VLOOKUP(B1081,Sections!$A$5:$I$45,3,FALSE)</x:f>
        <x:v>2025-1</x:v>
      </x:c>
    </x:row>
    <x:row r="1082" ht="21" customHeight="1">
      <x:c r="A1082" s="3" t="str">
        <x:v>2202003</x:v>
      </x:c>
      <x:c r="B1082" s="3" t="str">
        <x:v>SEC012</x:v>
      </x:c>
      <x:c r="C1082" s="3" t="n">
        <x:v>13</x:v>
      </x:c>
      <x:c r="D1082" s="3" t="str">
        <x:v>present</x:v>
      </x:c>
      <x:c r="E1082" s="5" t="str">
        <x:f>VLOOKUP(B1082,Sections!$A$5:$I$45,3,FALSE)</x:f>
        <x:v>2025-1</x:v>
      </x:c>
    </x:row>
    <x:row r="1083" ht="21" customHeight="1">
      <x:c r="A1083" s="3" t="str">
        <x:v>2202003</x:v>
      </x:c>
      <x:c r="B1083" s="3" t="str">
        <x:v>SEC012</x:v>
      </x:c>
      <x:c r="C1083" s="3" t="n">
        <x:v>14</x:v>
      </x:c>
      <x:c r="D1083" s="3" t="str">
        <x:v>present</x:v>
      </x:c>
      <x:c r="E1083" s="5" t="str">
        <x:f>VLOOKUP(B1083,Sections!$A$5:$I$45,3,FALSE)</x:f>
        <x:v>2025-1</x:v>
      </x:c>
    </x:row>
    <x:row r="1084" ht="21" customHeight="1">
      <x:c r="A1084" s="3" t="str">
        <x:v>2202003</x:v>
      </x:c>
      <x:c r="B1084" s="3" t="str">
        <x:v>SEC012</x:v>
      </x:c>
      <x:c r="C1084" s="3" t="n">
        <x:v>15</x:v>
      </x:c>
      <x:c r="D1084" s="3" t="str">
        <x:v>present</x:v>
      </x:c>
      <x:c r="E1084" s="5" t="str">
        <x:f>VLOOKUP(B1084,Sections!$A$5:$I$45,3,FALSE)</x:f>
        <x:v>2025-1</x:v>
      </x:c>
    </x:row>
    <x:row r="1085" ht="21" customHeight="1">
      <x:c r="A1085" s="3" t="str">
        <x:v>2202004</x:v>
      </x:c>
      <x:c r="B1085" s="3" t="str">
        <x:v>SEC012</x:v>
      </x:c>
      <x:c r="C1085" s="3" t="n">
        <x:v>1</x:v>
      </x:c>
      <x:c r="D1085" s="3" t="str">
        <x:v>present</x:v>
      </x:c>
      <x:c r="E1085" s="5" t="str">
        <x:f>VLOOKUP(B1085,Sections!$A$5:$I$45,3,FALSE)</x:f>
        <x:v>2025-1</x:v>
      </x:c>
    </x:row>
    <x:row r="1086" ht="21" customHeight="1">
      <x:c r="A1086" s="3" t="str">
        <x:v>2202004</x:v>
      </x:c>
      <x:c r="B1086" s="3" t="str">
        <x:v>SEC012</x:v>
      </x:c>
      <x:c r="C1086" s="3" t="n">
        <x:v>2</x:v>
      </x:c>
      <x:c r="D1086" s="3" t="str">
        <x:v>present</x:v>
      </x:c>
      <x:c r="E1086" s="5" t="str">
        <x:f>VLOOKUP(B1086,Sections!$A$5:$I$45,3,FALSE)</x:f>
        <x:v>2025-1</x:v>
      </x:c>
    </x:row>
    <x:row r="1087" ht="21" customHeight="1">
      <x:c r="A1087" s="3" t="str">
        <x:v>2202004</x:v>
      </x:c>
      <x:c r="B1087" s="3" t="str">
        <x:v>SEC012</x:v>
      </x:c>
      <x:c r="C1087" s="3" t="n">
        <x:v>3</x:v>
      </x:c>
      <x:c r="D1087" s="3" t="str">
        <x:v>present</x:v>
      </x:c>
      <x:c r="E1087" s="5" t="str">
        <x:f>VLOOKUP(B1087,Sections!$A$5:$I$45,3,FALSE)</x:f>
        <x:v>2025-1</x:v>
      </x:c>
    </x:row>
    <x:row r="1088" ht="21" customHeight="1">
      <x:c r="A1088" s="3" t="str">
        <x:v>2202004</x:v>
      </x:c>
      <x:c r="B1088" s="3" t="str">
        <x:v>SEC012</x:v>
      </x:c>
      <x:c r="C1088" s="3" t="n">
        <x:v>4</x:v>
      </x:c>
      <x:c r="D1088" s="3" t="str">
        <x:v>absent</x:v>
      </x:c>
      <x:c r="E1088" s="5" t="str">
        <x:f>VLOOKUP(B1088,Sections!$A$5:$I$45,3,FALSE)</x:f>
        <x:v>2025-1</x:v>
      </x:c>
    </x:row>
    <x:row r="1089" ht="21" customHeight="1">
      <x:c r="A1089" s="3" t="str">
        <x:v>2202004</x:v>
      </x:c>
      <x:c r="B1089" s="3" t="str">
        <x:v>SEC012</x:v>
      </x:c>
      <x:c r="C1089" s="3" t="n">
        <x:v>5</x:v>
      </x:c>
      <x:c r="D1089" s="3" t="str">
        <x:v>present</x:v>
      </x:c>
      <x:c r="E1089" s="5" t="str">
        <x:f>VLOOKUP(B1089,Sections!$A$5:$I$45,3,FALSE)</x:f>
        <x:v>2025-1</x:v>
      </x:c>
    </x:row>
    <x:row r="1090" ht="21" customHeight="1">
      <x:c r="A1090" s="3" t="str">
        <x:v>2202004</x:v>
      </x:c>
      <x:c r="B1090" s="3" t="str">
        <x:v>SEC012</x:v>
      </x:c>
      <x:c r="C1090" s="3" t="n">
        <x:v>6</x:v>
      </x:c>
      <x:c r="D1090" s="3" t="str">
        <x:v>absent</x:v>
      </x:c>
      <x:c r="E1090" s="5" t="str">
        <x:f>VLOOKUP(B1090,Sections!$A$5:$I$45,3,FALSE)</x:f>
        <x:v>2025-1</x:v>
      </x:c>
    </x:row>
    <x:row r="1091" ht="21" customHeight="1">
      <x:c r="A1091" s="3" t="str">
        <x:v>2202004</x:v>
      </x:c>
      <x:c r="B1091" s="3" t="str">
        <x:v>SEC012</x:v>
      </x:c>
      <x:c r="C1091" s="3" t="n">
        <x:v>7</x:v>
      </x:c>
      <x:c r="D1091" s="3" t="str">
        <x:v>present</x:v>
      </x:c>
      <x:c r="E1091" s="5" t="str">
        <x:f>VLOOKUP(B1091,Sections!$A$5:$I$45,3,FALSE)</x:f>
        <x:v>2025-1</x:v>
      </x:c>
    </x:row>
    <x:row r="1092" ht="21" customHeight="1">
      <x:c r="A1092" s="3" t="str">
        <x:v>2202004</x:v>
      </x:c>
      <x:c r="B1092" s="3" t="str">
        <x:v>SEC012</x:v>
      </x:c>
      <x:c r="C1092" s="3" t="n">
        <x:v>8</x:v>
      </x:c>
      <x:c r="D1092" s="3" t="str">
        <x:v>present</x:v>
      </x:c>
      <x:c r="E1092" s="5" t="str">
        <x:f>VLOOKUP(B1092,Sections!$A$5:$I$45,3,FALSE)</x:f>
        <x:v>2025-1</x:v>
      </x:c>
    </x:row>
    <x:row r="1093" ht="21" customHeight="1">
      <x:c r="A1093" s="3" t="str">
        <x:v>2202004</x:v>
      </x:c>
      <x:c r="B1093" s="3" t="str">
        <x:v>SEC012</x:v>
      </x:c>
      <x:c r="C1093" s="3" t="n">
        <x:v>9</x:v>
      </x:c>
      <x:c r="D1093" s="3" t="str">
        <x:v>present</x:v>
      </x:c>
      <x:c r="E1093" s="5" t="str">
        <x:f>VLOOKUP(B1093,Sections!$A$5:$I$45,3,FALSE)</x:f>
        <x:v>2025-1</x:v>
      </x:c>
    </x:row>
    <x:row r="1094" ht="21" customHeight="1">
      <x:c r="A1094" s="3" t="str">
        <x:v>2202004</x:v>
      </x:c>
      <x:c r="B1094" s="3" t="str">
        <x:v>SEC012</x:v>
      </x:c>
      <x:c r="C1094" s="3" t="n">
        <x:v>10</x:v>
      </x:c>
      <x:c r="D1094" s="3" t="str">
        <x:v>present</x:v>
      </x:c>
      <x:c r="E1094" s="5" t="str">
        <x:f>VLOOKUP(B1094,Sections!$A$5:$I$45,3,FALSE)</x:f>
        <x:v>2025-1</x:v>
      </x:c>
    </x:row>
    <x:row r="1095" ht="21" customHeight="1">
      <x:c r="A1095" s="3" t="str">
        <x:v>2202004</x:v>
      </x:c>
      <x:c r="B1095" s="3" t="str">
        <x:v>SEC012</x:v>
      </x:c>
      <x:c r="C1095" s="3" t="n">
        <x:v>11</x:v>
      </x:c>
      <x:c r="D1095" s="3" t="str">
        <x:v>present</x:v>
      </x:c>
      <x:c r="E1095" s="5" t="str">
        <x:f>VLOOKUP(B1095,Sections!$A$5:$I$45,3,FALSE)</x:f>
        <x:v>2025-1</x:v>
      </x:c>
    </x:row>
    <x:row r="1096" ht="21" customHeight="1">
      <x:c r="A1096" s="3" t="str">
        <x:v>2202004</x:v>
      </x:c>
      <x:c r="B1096" s="3" t="str">
        <x:v>SEC012</x:v>
      </x:c>
      <x:c r="C1096" s="3" t="n">
        <x:v>12</x:v>
      </x:c>
      <x:c r="D1096" s="3" t="str">
        <x:v>present</x:v>
      </x:c>
      <x:c r="E1096" s="5" t="str">
        <x:f>VLOOKUP(B1096,Sections!$A$5:$I$45,3,FALSE)</x:f>
        <x:v>2025-1</x:v>
      </x:c>
    </x:row>
    <x:row r="1097" ht="21" customHeight="1">
      <x:c r="A1097" s="3" t="str">
        <x:v>2202004</x:v>
      </x:c>
      <x:c r="B1097" s="3" t="str">
        <x:v>SEC012</x:v>
      </x:c>
      <x:c r="C1097" s="3" t="n">
        <x:v>13</x:v>
      </x:c>
      <x:c r="D1097" s="3" t="str">
        <x:v>present</x:v>
      </x:c>
      <x:c r="E1097" s="5" t="str">
        <x:f>VLOOKUP(B1097,Sections!$A$5:$I$45,3,FALSE)</x:f>
        <x:v>2025-1</x:v>
      </x:c>
    </x:row>
    <x:row r="1098" ht="21" customHeight="1">
      <x:c r="A1098" s="3" t="str">
        <x:v>2202004</x:v>
      </x:c>
      <x:c r="B1098" s="3" t="str">
        <x:v>SEC012</x:v>
      </x:c>
      <x:c r="C1098" s="3" t="n">
        <x:v>14</x:v>
      </x:c>
      <x:c r="D1098" s="3" t="str">
        <x:v>present</x:v>
      </x:c>
      <x:c r="E1098" s="5" t="str">
        <x:f>VLOOKUP(B1098,Sections!$A$5:$I$45,3,FALSE)</x:f>
        <x:v>2025-1</x:v>
      </x:c>
    </x:row>
    <x:row r="1099" ht="21" customHeight="1">
      <x:c r="A1099" s="3" t="str">
        <x:v>2202004</x:v>
      </x:c>
      <x:c r="B1099" s="3" t="str">
        <x:v>SEC012</x:v>
      </x:c>
      <x:c r="C1099" s="3" t="n">
        <x:v>15</x:v>
      </x:c>
      <x:c r="D1099" s="3" t="str">
        <x:v>present</x:v>
      </x:c>
      <x:c r="E1099" s="5" t="str">
        <x:f>VLOOKUP(B1099,Sections!$A$5:$I$45,3,FALSE)</x:f>
        <x:v>2025-1</x:v>
      </x:c>
    </x:row>
    <x:row r="1100" ht="21" customHeight="1">
      <x:c r="A1100" s="3" t="str">
        <x:v>2202005</x:v>
      </x:c>
      <x:c r="B1100" s="3" t="str">
        <x:v>SEC012</x:v>
      </x:c>
      <x:c r="C1100" s="3" t="n">
        <x:v>1</x:v>
      </x:c>
      <x:c r="D1100" s="3" t="str">
        <x:v>late</x:v>
      </x:c>
      <x:c r="E1100" s="5" t="str">
        <x:f>VLOOKUP(B1100,Sections!$A$5:$I$45,3,FALSE)</x:f>
        <x:v>2025-1</x:v>
      </x:c>
    </x:row>
    <x:row r="1101" ht="21" customHeight="1">
      <x:c r="A1101" s="3" t="str">
        <x:v>2202005</x:v>
      </x:c>
      <x:c r="B1101" s="3" t="str">
        <x:v>SEC012</x:v>
      </x:c>
      <x:c r="C1101" s="3" t="n">
        <x:v>2</x:v>
      </x:c>
      <x:c r="D1101" s="3" t="str">
        <x:v>present</x:v>
      </x:c>
      <x:c r="E1101" s="5" t="str">
        <x:f>VLOOKUP(B1101,Sections!$A$5:$I$45,3,FALSE)</x:f>
        <x:v>2025-1</x:v>
      </x:c>
    </x:row>
    <x:row r="1102" ht="21" customHeight="1">
      <x:c r="A1102" s="3" t="str">
        <x:v>2202005</x:v>
      </x:c>
      <x:c r="B1102" s="3" t="str">
        <x:v>SEC012</x:v>
      </x:c>
      <x:c r="C1102" s="3" t="n">
        <x:v>3</x:v>
      </x:c>
      <x:c r="D1102" s="3" t="str">
        <x:v>absent</x:v>
      </x:c>
      <x:c r="E1102" s="5" t="str">
        <x:f>VLOOKUP(B1102,Sections!$A$5:$I$45,3,FALSE)</x:f>
        <x:v>2025-1</x:v>
      </x:c>
    </x:row>
    <x:row r="1103" ht="21" customHeight="1">
      <x:c r="A1103" s="3" t="str">
        <x:v>2202005</x:v>
      </x:c>
      <x:c r="B1103" s="3" t="str">
        <x:v>SEC012</x:v>
      </x:c>
      <x:c r="C1103" s="3" t="n">
        <x:v>4</x:v>
      </x:c>
      <x:c r="D1103" s="3" t="str">
        <x:v>present</x:v>
      </x:c>
      <x:c r="E1103" s="5" t="str">
        <x:f>VLOOKUP(B1103,Sections!$A$5:$I$45,3,FALSE)</x:f>
        <x:v>2025-1</x:v>
      </x:c>
    </x:row>
    <x:row r="1104" ht="21" customHeight="1">
      <x:c r="A1104" s="3" t="str">
        <x:v>2202005</x:v>
      </x:c>
      <x:c r="B1104" s="3" t="str">
        <x:v>SEC012</x:v>
      </x:c>
      <x:c r="C1104" s="3" t="n">
        <x:v>5</x:v>
      </x:c>
      <x:c r="D1104" s="3" t="str">
        <x:v>absent</x:v>
      </x:c>
      <x:c r="E1104" s="5" t="str">
        <x:f>VLOOKUP(B1104,Sections!$A$5:$I$45,3,FALSE)</x:f>
        <x:v>2025-1</x:v>
      </x:c>
    </x:row>
    <x:row r="1105" ht="21" customHeight="1">
      <x:c r="A1105" s="3" t="str">
        <x:v>2202005</x:v>
      </x:c>
      <x:c r="B1105" s="3" t="str">
        <x:v>SEC012</x:v>
      </x:c>
      <x:c r="C1105" s="3" t="n">
        <x:v>6</x:v>
      </x:c>
      <x:c r="D1105" s="3" t="str">
        <x:v>present</x:v>
      </x:c>
      <x:c r="E1105" s="5" t="str">
        <x:f>VLOOKUP(B1105,Sections!$A$5:$I$45,3,FALSE)</x:f>
        <x:v>2025-1</x:v>
      </x:c>
    </x:row>
    <x:row r="1106" ht="21" customHeight="1">
      <x:c r="A1106" s="3" t="str">
        <x:v>2202005</x:v>
      </x:c>
      <x:c r="B1106" s="3" t="str">
        <x:v>SEC012</x:v>
      </x:c>
      <x:c r="C1106" s="3" t="n">
        <x:v>7</x:v>
      </x:c>
      <x:c r="D1106" s="3" t="str">
        <x:v>absent</x:v>
      </x:c>
      <x:c r="E1106" s="5" t="str">
        <x:f>VLOOKUP(B1106,Sections!$A$5:$I$45,3,FALSE)</x:f>
        <x:v>2025-1</x:v>
      </x:c>
    </x:row>
    <x:row r="1107" ht="21" customHeight="1">
      <x:c r="A1107" s="3" t="str">
        <x:v>2202005</x:v>
      </x:c>
      <x:c r="B1107" s="3" t="str">
        <x:v>SEC012</x:v>
      </x:c>
      <x:c r="C1107" s="3" t="n">
        <x:v>8</x:v>
      </x:c>
      <x:c r="D1107" s="3" t="str">
        <x:v>present</x:v>
      </x:c>
      <x:c r="E1107" s="5" t="str">
        <x:f>VLOOKUP(B1107,Sections!$A$5:$I$45,3,FALSE)</x:f>
        <x:v>2025-1</x:v>
      </x:c>
    </x:row>
    <x:row r="1108" ht="21" customHeight="1">
      <x:c r="A1108" s="3" t="str">
        <x:v>2202005</x:v>
      </x:c>
      <x:c r="B1108" s="3" t="str">
        <x:v>SEC012</x:v>
      </x:c>
      <x:c r="C1108" s="3" t="n">
        <x:v>9</x:v>
      </x:c>
      <x:c r="D1108" s="3" t="str">
        <x:v>present</x:v>
      </x:c>
      <x:c r="E1108" s="5" t="str">
        <x:f>VLOOKUP(B1108,Sections!$A$5:$I$45,3,FALSE)</x:f>
        <x:v>2025-1</x:v>
      </x:c>
    </x:row>
    <x:row r="1109" ht="21" customHeight="1">
      <x:c r="A1109" s="3" t="str">
        <x:v>2202005</x:v>
      </x:c>
      <x:c r="B1109" s="3" t="str">
        <x:v>SEC012</x:v>
      </x:c>
      <x:c r="C1109" s="3" t="n">
        <x:v>10</x:v>
      </x:c>
      <x:c r="D1109" s="3" t="str">
        <x:v>excused</x:v>
      </x:c>
      <x:c r="E1109" s="5" t="str">
        <x:f>VLOOKUP(B1109,Sections!$A$5:$I$45,3,FALSE)</x:f>
        <x:v>2025-1</x:v>
      </x:c>
    </x:row>
    <x:row r="1110" ht="21" customHeight="1">
      <x:c r="A1110" s="3" t="str">
        <x:v>2202005</x:v>
      </x:c>
      <x:c r="B1110" s="3" t="str">
        <x:v>SEC012</x:v>
      </x:c>
      <x:c r="C1110" s="3" t="n">
        <x:v>11</x:v>
      </x:c>
      <x:c r="D1110" s="3" t="str">
        <x:v>absent</x:v>
      </x:c>
      <x:c r="E1110" s="5" t="str">
        <x:f>VLOOKUP(B1110,Sections!$A$5:$I$45,3,FALSE)</x:f>
        <x:v>2025-1</x:v>
      </x:c>
    </x:row>
    <x:row r="1111" ht="21" customHeight="1">
      <x:c r="A1111" s="3" t="str">
        <x:v>2202005</x:v>
      </x:c>
      <x:c r="B1111" s="3" t="str">
        <x:v>SEC012</x:v>
      </x:c>
      <x:c r="C1111" s="3" t="n">
        <x:v>12</x:v>
      </x:c>
      <x:c r="D1111" s="3" t="str">
        <x:v>absent</x:v>
      </x:c>
      <x:c r="E1111" s="5" t="str">
        <x:f>VLOOKUP(B1111,Sections!$A$5:$I$45,3,FALSE)</x:f>
        <x:v>2025-1</x:v>
      </x:c>
    </x:row>
    <x:row r="1112" ht="21" customHeight="1">
      <x:c r="A1112" s="3" t="str">
        <x:v>2202005</x:v>
      </x:c>
      <x:c r="B1112" s="3" t="str">
        <x:v>SEC012</x:v>
      </x:c>
      <x:c r="C1112" s="3" t="n">
        <x:v>13</x:v>
      </x:c>
      <x:c r="D1112" s="3" t="str">
        <x:v>present</x:v>
      </x:c>
      <x:c r="E1112" s="5" t="str">
        <x:f>VLOOKUP(B1112,Sections!$A$5:$I$45,3,FALSE)</x:f>
        <x:v>2025-1</x:v>
      </x:c>
    </x:row>
    <x:row r="1113" ht="21" customHeight="1">
      <x:c r="A1113" s="3" t="str">
        <x:v>2202005</x:v>
      </x:c>
      <x:c r="B1113" s="3" t="str">
        <x:v>SEC012</x:v>
      </x:c>
      <x:c r="C1113" s="3" t="n">
        <x:v>14</x:v>
      </x:c>
      <x:c r="D1113" s="3" t="str">
        <x:v>present</x:v>
      </x:c>
      <x:c r="E1113" s="5" t="str">
        <x:f>VLOOKUP(B1113,Sections!$A$5:$I$45,3,FALSE)</x:f>
        <x:v>2025-1</x:v>
      </x:c>
    </x:row>
    <x:row r="1114" ht="21" customHeight="1">
      <x:c r="A1114" s="3" t="str">
        <x:v>2202005</x:v>
      </x:c>
      <x:c r="B1114" s="3" t="str">
        <x:v>SEC012</x:v>
      </x:c>
      <x:c r="C1114" s="3" t="n">
        <x:v>15</x:v>
      </x:c>
      <x:c r="D1114" s="3" t="str">
        <x:v>present</x:v>
      </x:c>
      <x:c r="E1114" s="5" t="str">
        <x:f>VLOOKUP(B1114,Sections!$A$5:$I$45,3,FALSE)</x:f>
        <x:v>2025-1</x:v>
      </x:c>
    </x:row>
    <x:row r="1115" ht="21" customHeight="1">
      <x:c r="A1115" s="3" t="str">
        <x:v>2202006</x:v>
      </x:c>
      <x:c r="B1115" s="3" t="str">
        <x:v>SEC012</x:v>
      </x:c>
      <x:c r="C1115" s="3" t="n">
        <x:v>1</x:v>
      </x:c>
      <x:c r="D1115" s="3" t="str">
        <x:v>present</x:v>
      </x:c>
      <x:c r="E1115" s="5" t="str">
        <x:f>VLOOKUP(B1115,Sections!$A$5:$I$45,3,FALSE)</x:f>
        <x:v>2025-1</x:v>
      </x:c>
    </x:row>
    <x:row r="1116" ht="21" customHeight="1">
      <x:c r="A1116" s="3" t="str">
        <x:v>2202006</x:v>
      </x:c>
      <x:c r="B1116" s="3" t="str">
        <x:v>SEC012</x:v>
      </x:c>
      <x:c r="C1116" s="3" t="n">
        <x:v>2</x:v>
      </x:c>
      <x:c r="D1116" s="3" t="str">
        <x:v>present</x:v>
      </x:c>
      <x:c r="E1116" s="5" t="str">
        <x:f>VLOOKUP(B1116,Sections!$A$5:$I$45,3,FALSE)</x:f>
        <x:v>2025-1</x:v>
      </x:c>
    </x:row>
    <x:row r="1117" ht="21" customHeight="1">
      <x:c r="A1117" s="3" t="str">
        <x:v>2202006</x:v>
      </x:c>
      <x:c r="B1117" s="3" t="str">
        <x:v>SEC012</x:v>
      </x:c>
      <x:c r="C1117" s="3" t="n">
        <x:v>3</x:v>
      </x:c>
      <x:c r="D1117" s="3" t="str">
        <x:v>present</x:v>
      </x:c>
      <x:c r="E1117" s="5" t="str">
        <x:f>VLOOKUP(B1117,Sections!$A$5:$I$45,3,FALSE)</x:f>
        <x:v>2025-1</x:v>
      </x:c>
    </x:row>
    <x:row r="1118" ht="21" customHeight="1">
      <x:c r="A1118" s="3" t="str">
        <x:v>2202006</x:v>
      </x:c>
      <x:c r="B1118" s="3" t="str">
        <x:v>SEC012</x:v>
      </x:c>
      <x:c r="C1118" s="3" t="n">
        <x:v>4</x:v>
      </x:c>
      <x:c r="D1118" s="3" t="str">
        <x:v>present</x:v>
      </x:c>
      <x:c r="E1118" s="5" t="str">
        <x:f>VLOOKUP(B1118,Sections!$A$5:$I$45,3,FALSE)</x:f>
        <x:v>2025-1</x:v>
      </x:c>
    </x:row>
    <x:row r="1119" ht="21" customHeight="1">
      <x:c r="A1119" s="3" t="str">
        <x:v>2202006</x:v>
      </x:c>
      <x:c r="B1119" s="3" t="str">
        <x:v>SEC012</x:v>
      </x:c>
      <x:c r="C1119" s="3" t="n">
        <x:v>5</x:v>
      </x:c>
      <x:c r="D1119" s="3" t="str">
        <x:v>present</x:v>
      </x:c>
      <x:c r="E1119" s="5" t="str">
        <x:f>VLOOKUP(B1119,Sections!$A$5:$I$45,3,FALSE)</x:f>
        <x:v>2025-1</x:v>
      </x:c>
    </x:row>
    <x:row r="1120" ht="21" customHeight="1">
      <x:c r="A1120" s="3" t="str">
        <x:v>2202006</x:v>
      </x:c>
      <x:c r="B1120" s="3" t="str">
        <x:v>SEC012</x:v>
      </x:c>
      <x:c r="C1120" s="3" t="n">
        <x:v>6</x:v>
      </x:c>
      <x:c r="D1120" s="3" t="str">
        <x:v>present</x:v>
      </x:c>
      <x:c r="E1120" s="5" t="str">
        <x:f>VLOOKUP(B1120,Sections!$A$5:$I$45,3,FALSE)</x:f>
        <x:v>2025-1</x:v>
      </x:c>
    </x:row>
    <x:row r="1121" ht="21" customHeight="1">
      <x:c r="A1121" s="3" t="str">
        <x:v>2202006</x:v>
      </x:c>
      <x:c r="B1121" s="3" t="str">
        <x:v>SEC012</x:v>
      </x:c>
      <x:c r="C1121" s="3" t="n">
        <x:v>7</x:v>
      </x:c>
      <x:c r="D1121" s="3" t="str">
        <x:v>present</x:v>
      </x:c>
      <x:c r="E1121" s="5" t="str">
        <x:f>VLOOKUP(B1121,Sections!$A$5:$I$45,3,FALSE)</x:f>
        <x:v>2025-1</x:v>
      </x:c>
    </x:row>
    <x:row r="1122" ht="21" customHeight="1">
      <x:c r="A1122" s="3" t="str">
        <x:v>2202006</x:v>
      </x:c>
      <x:c r="B1122" s="3" t="str">
        <x:v>SEC012</x:v>
      </x:c>
      <x:c r="C1122" s="3" t="n">
        <x:v>8</x:v>
      </x:c>
      <x:c r="D1122" s="3" t="str">
        <x:v>present</x:v>
      </x:c>
      <x:c r="E1122" s="5" t="str">
        <x:f>VLOOKUP(B1122,Sections!$A$5:$I$45,3,FALSE)</x:f>
        <x:v>2025-1</x:v>
      </x:c>
    </x:row>
    <x:row r="1123" ht="21" customHeight="1">
      <x:c r="A1123" s="3" t="str">
        <x:v>2202006</x:v>
      </x:c>
      <x:c r="B1123" s="3" t="str">
        <x:v>SEC012</x:v>
      </x:c>
      <x:c r="C1123" s="3" t="n">
        <x:v>9</x:v>
      </x:c>
      <x:c r="D1123" s="3" t="str">
        <x:v>present</x:v>
      </x:c>
      <x:c r="E1123" s="5" t="str">
        <x:f>VLOOKUP(B1123,Sections!$A$5:$I$45,3,FALSE)</x:f>
        <x:v>2025-1</x:v>
      </x:c>
    </x:row>
    <x:row r="1124" ht="21" customHeight="1">
      <x:c r="A1124" s="3" t="str">
        <x:v>2202006</x:v>
      </x:c>
      <x:c r="B1124" s="3" t="str">
        <x:v>SEC012</x:v>
      </x:c>
      <x:c r="C1124" s="3" t="n">
        <x:v>10</x:v>
      </x:c>
      <x:c r="D1124" s="3" t="str">
        <x:v>present</x:v>
      </x:c>
      <x:c r="E1124" s="5" t="str">
        <x:f>VLOOKUP(B1124,Sections!$A$5:$I$45,3,FALSE)</x:f>
        <x:v>2025-1</x:v>
      </x:c>
    </x:row>
    <x:row r="1125" ht="21" customHeight="1">
      <x:c r="A1125" s="3" t="str">
        <x:v>2202006</x:v>
      </x:c>
      <x:c r="B1125" s="3" t="str">
        <x:v>SEC012</x:v>
      </x:c>
      <x:c r="C1125" s="3" t="n">
        <x:v>11</x:v>
      </x:c>
      <x:c r="D1125" s="3" t="str">
        <x:v>present</x:v>
      </x:c>
      <x:c r="E1125" s="5" t="str">
        <x:f>VLOOKUP(B1125,Sections!$A$5:$I$45,3,FALSE)</x:f>
        <x:v>2025-1</x:v>
      </x:c>
    </x:row>
    <x:row r="1126" ht="21" customHeight="1">
      <x:c r="A1126" s="3" t="str">
        <x:v>2202006</x:v>
      </x:c>
      <x:c r="B1126" s="3" t="str">
        <x:v>SEC012</x:v>
      </x:c>
      <x:c r="C1126" s="3" t="n">
        <x:v>12</x:v>
      </x:c>
      <x:c r="D1126" s="3" t="str">
        <x:v>present</x:v>
      </x:c>
      <x:c r="E1126" s="5" t="str">
        <x:f>VLOOKUP(B1126,Sections!$A$5:$I$45,3,FALSE)</x:f>
        <x:v>2025-1</x:v>
      </x:c>
    </x:row>
    <x:row r="1127" ht="21" customHeight="1">
      <x:c r="A1127" s="3" t="str">
        <x:v>2202006</x:v>
      </x:c>
      <x:c r="B1127" s="3" t="str">
        <x:v>SEC012</x:v>
      </x:c>
      <x:c r="C1127" s="3" t="n">
        <x:v>13</x:v>
      </x:c>
      <x:c r="D1127" s="3" t="str">
        <x:v>present</x:v>
      </x:c>
      <x:c r="E1127" s="5" t="str">
        <x:f>VLOOKUP(B1127,Sections!$A$5:$I$45,3,FALSE)</x:f>
        <x:v>2025-1</x:v>
      </x:c>
    </x:row>
    <x:row r="1128" ht="21" customHeight="1">
      <x:c r="A1128" s="3" t="str">
        <x:v>2202006</x:v>
      </x:c>
      <x:c r="B1128" s="3" t="str">
        <x:v>SEC012</x:v>
      </x:c>
      <x:c r="C1128" s="3" t="n">
        <x:v>14</x:v>
      </x:c>
      <x:c r="D1128" s="3" t="str">
        <x:v>present</x:v>
      </x:c>
      <x:c r="E1128" s="5" t="str">
        <x:f>VLOOKUP(B1128,Sections!$A$5:$I$45,3,FALSE)</x:f>
        <x:v>2025-1</x:v>
      </x:c>
    </x:row>
    <x:row r="1129" ht="21" customHeight="1">
      <x:c r="A1129" s="3" t="str">
        <x:v>2202006</x:v>
      </x:c>
      <x:c r="B1129" s="3" t="str">
        <x:v>SEC012</x:v>
      </x:c>
      <x:c r="C1129" s="3" t="n">
        <x:v>15</x:v>
      </x:c>
      <x:c r="D1129" s="3" t="str">
        <x:v>present</x:v>
      </x:c>
      <x:c r="E1129" s="5" t="str">
        <x:f>VLOOKUP(B1129,Sections!$A$5:$I$45,3,FALSE)</x:f>
        <x:v>2025-1</x:v>
      </x:c>
    </x:row>
    <x:row r="1130" ht="21" customHeight="1">
      <x:c r="A1130" s="3" t="str">
        <x:v>2202007</x:v>
      </x:c>
      <x:c r="B1130" s="3" t="str">
        <x:v>SEC012</x:v>
      </x:c>
      <x:c r="C1130" s="3" t="n">
        <x:v>1</x:v>
      </x:c>
      <x:c r="D1130" s="3" t="str">
        <x:v>present</x:v>
      </x:c>
      <x:c r="E1130" s="5" t="str">
        <x:f>VLOOKUP(B1130,Sections!$A$5:$I$45,3,FALSE)</x:f>
        <x:v>2025-1</x:v>
      </x:c>
    </x:row>
    <x:row r="1131" ht="21" customHeight="1">
      <x:c r="A1131" s="3" t="str">
        <x:v>2202007</x:v>
      </x:c>
      <x:c r="B1131" s="3" t="str">
        <x:v>SEC012</x:v>
      </x:c>
      <x:c r="C1131" s="3" t="n">
        <x:v>2</x:v>
      </x:c>
      <x:c r="D1131" s="3" t="str">
        <x:v>present</x:v>
      </x:c>
      <x:c r="E1131" s="5" t="str">
        <x:f>VLOOKUP(B1131,Sections!$A$5:$I$45,3,FALSE)</x:f>
        <x:v>2025-1</x:v>
      </x:c>
    </x:row>
    <x:row r="1132" ht="21" customHeight="1">
      <x:c r="A1132" s="3" t="str">
        <x:v>2202007</x:v>
      </x:c>
      <x:c r="B1132" s="3" t="str">
        <x:v>SEC012</x:v>
      </x:c>
      <x:c r="C1132" s="3" t="n">
        <x:v>3</x:v>
      </x:c>
      <x:c r="D1132" s="3" t="str">
        <x:v>absent</x:v>
      </x:c>
      <x:c r="E1132" s="5" t="str">
        <x:f>VLOOKUP(B1132,Sections!$A$5:$I$45,3,FALSE)</x:f>
        <x:v>2025-1</x:v>
      </x:c>
    </x:row>
    <x:row r="1133" ht="21" customHeight="1">
      <x:c r="A1133" s="3" t="str">
        <x:v>2202007</x:v>
      </x:c>
      <x:c r="B1133" s="3" t="str">
        <x:v>SEC012</x:v>
      </x:c>
      <x:c r="C1133" s="3" t="n">
        <x:v>4</x:v>
      </x:c>
      <x:c r="D1133" s="3" t="str">
        <x:v>present</x:v>
      </x:c>
      <x:c r="E1133" s="5" t="str">
        <x:f>VLOOKUP(B1133,Sections!$A$5:$I$45,3,FALSE)</x:f>
        <x:v>2025-1</x:v>
      </x:c>
    </x:row>
    <x:row r="1134" ht="21" customHeight="1">
      <x:c r="A1134" s="3" t="str">
        <x:v>2202007</x:v>
      </x:c>
      <x:c r="B1134" s="3" t="str">
        <x:v>SEC012</x:v>
      </x:c>
      <x:c r="C1134" s="3" t="n">
        <x:v>5</x:v>
      </x:c>
      <x:c r="D1134" s="3" t="str">
        <x:v>present</x:v>
      </x:c>
      <x:c r="E1134" s="5" t="str">
        <x:f>VLOOKUP(B1134,Sections!$A$5:$I$45,3,FALSE)</x:f>
        <x:v>2025-1</x:v>
      </x:c>
    </x:row>
    <x:row r="1135" ht="21" customHeight="1">
      <x:c r="A1135" s="3" t="str">
        <x:v>2202007</x:v>
      </x:c>
      <x:c r="B1135" s="3" t="str">
        <x:v>SEC012</x:v>
      </x:c>
      <x:c r="C1135" s="3" t="n">
        <x:v>6</x:v>
      </x:c>
      <x:c r="D1135" s="3" t="str">
        <x:v>present</x:v>
      </x:c>
      <x:c r="E1135" s="5" t="str">
        <x:f>VLOOKUP(B1135,Sections!$A$5:$I$45,3,FALSE)</x:f>
        <x:v>2025-1</x:v>
      </x:c>
    </x:row>
    <x:row r="1136" ht="21" customHeight="1">
      <x:c r="A1136" s="3" t="str">
        <x:v>2202007</x:v>
      </x:c>
      <x:c r="B1136" s="3" t="str">
        <x:v>SEC012</x:v>
      </x:c>
      <x:c r="C1136" s="3" t="n">
        <x:v>7</x:v>
      </x:c>
      <x:c r="D1136" s="3" t="str">
        <x:v>present</x:v>
      </x:c>
      <x:c r="E1136" s="5" t="str">
        <x:f>VLOOKUP(B1136,Sections!$A$5:$I$45,3,FALSE)</x:f>
        <x:v>2025-1</x:v>
      </x:c>
    </x:row>
    <x:row r="1137" ht="21" customHeight="1">
      <x:c r="A1137" s="3" t="str">
        <x:v>2202007</x:v>
      </x:c>
      <x:c r="B1137" s="3" t="str">
        <x:v>SEC012</x:v>
      </x:c>
      <x:c r="C1137" s="3" t="n">
        <x:v>8</x:v>
      </x:c>
      <x:c r="D1137" s="3" t="str">
        <x:v>present</x:v>
      </x:c>
      <x:c r="E1137" s="5" t="str">
        <x:f>VLOOKUP(B1137,Sections!$A$5:$I$45,3,FALSE)</x:f>
        <x:v>2025-1</x:v>
      </x:c>
    </x:row>
    <x:row r="1138" ht="21" customHeight="1">
      <x:c r="A1138" s="3" t="str">
        <x:v>2202007</x:v>
      </x:c>
      <x:c r="B1138" s="3" t="str">
        <x:v>SEC012</x:v>
      </x:c>
      <x:c r="C1138" s="3" t="n">
        <x:v>9</x:v>
      </x:c>
      <x:c r="D1138" s="3" t="str">
        <x:v>present</x:v>
      </x:c>
      <x:c r="E1138" s="5" t="str">
        <x:f>VLOOKUP(B1138,Sections!$A$5:$I$45,3,FALSE)</x:f>
        <x:v>2025-1</x:v>
      </x:c>
    </x:row>
    <x:row r="1139" ht="21" customHeight="1">
      <x:c r="A1139" s="3" t="str">
        <x:v>2202007</x:v>
      </x:c>
      <x:c r="B1139" s="3" t="str">
        <x:v>SEC012</x:v>
      </x:c>
      <x:c r="C1139" s="3" t="n">
        <x:v>10</x:v>
      </x:c>
      <x:c r="D1139" s="3" t="str">
        <x:v>present</x:v>
      </x:c>
      <x:c r="E1139" s="5" t="str">
        <x:f>VLOOKUP(B1139,Sections!$A$5:$I$45,3,FALSE)</x:f>
        <x:v>2025-1</x:v>
      </x:c>
    </x:row>
    <x:row r="1140" ht="21" customHeight="1">
      <x:c r="A1140" s="3" t="str">
        <x:v>2202007</x:v>
      </x:c>
      <x:c r="B1140" s="3" t="str">
        <x:v>SEC012</x:v>
      </x:c>
      <x:c r="C1140" s="3" t="n">
        <x:v>11</x:v>
      </x:c>
      <x:c r="D1140" s="3" t="str">
        <x:v>present</x:v>
      </x:c>
      <x:c r="E1140" s="5" t="str">
        <x:f>VLOOKUP(B1140,Sections!$A$5:$I$45,3,FALSE)</x:f>
        <x:v>2025-1</x:v>
      </x:c>
    </x:row>
    <x:row r="1141" ht="21" customHeight="1">
      <x:c r="A1141" s="3" t="str">
        <x:v>2202007</x:v>
      </x:c>
      <x:c r="B1141" s="3" t="str">
        <x:v>SEC012</x:v>
      </x:c>
      <x:c r="C1141" s="3" t="n">
        <x:v>12</x:v>
      </x:c>
      <x:c r="D1141" s="3" t="str">
        <x:v>present</x:v>
      </x:c>
      <x:c r="E1141" s="5" t="str">
        <x:f>VLOOKUP(B1141,Sections!$A$5:$I$45,3,FALSE)</x:f>
        <x:v>2025-1</x:v>
      </x:c>
    </x:row>
    <x:row r="1142" ht="21" customHeight="1">
      <x:c r="A1142" s="3" t="str">
        <x:v>2202007</x:v>
      </x:c>
      <x:c r="B1142" s="3" t="str">
        <x:v>SEC012</x:v>
      </x:c>
      <x:c r="C1142" s="3" t="n">
        <x:v>13</x:v>
      </x:c>
      <x:c r="D1142" s="3" t="str">
        <x:v>present</x:v>
      </x:c>
      <x:c r="E1142" s="5" t="str">
        <x:f>VLOOKUP(B1142,Sections!$A$5:$I$45,3,FALSE)</x:f>
        <x:v>2025-1</x:v>
      </x:c>
    </x:row>
    <x:row r="1143" ht="21" customHeight="1">
      <x:c r="A1143" s="3" t="str">
        <x:v>2202007</x:v>
      </x:c>
      <x:c r="B1143" s="3" t="str">
        <x:v>SEC012</x:v>
      </x:c>
      <x:c r="C1143" s="3" t="n">
        <x:v>14</x:v>
      </x:c>
      <x:c r="D1143" s="3" t="str">
        <x:v>late</x:v>
      </x:c>
      <x:c r="E1143" s="5" t="str">
        <x:f>VLOOKUP(B1143,Sections!$A$5:$I$45,3,FALSE)</x:f>
        <x:v>2025-1</x:v>
      </x:c>
    </x:row>
    <x:row r="1144" ht="21" customHeight="1">
      <x:c r="A1144" s="3" t="str">
        <x:v>2202007</x:v>
      </x:c>
      <x:c r="B1144" s="3" t="str">
        <x:v>SEC012</x:v>
      </x:c>
      <x:c r="C1144" s="3" t="n">
        <x:v>15</x:v>
      </x:c>
      <x:c r="D1144" s="3" t="str">
        <x:v>present</x:v>
      </x:c>
      <x:c r="E1144" s="5" t="str">
        <x:f>VLOOKUP(B1144,Sections!$A$5:$I$45,3,FALSE)</x:f>
        <x:v>2025-1</x:v>
      </x:c>
    </x:row>
    <x:row r="1145" ht="21" customHeight="1">
      <x:c r="A1145" s="3" t="str">
        <x:v>2202008</x:v>
      </x:c>
      <x:c r="B1145" s="3" t="str">
        <x:v>SEC012</x:v>
      </x:c>
      <x:c r="C1145" s="3" t="n">
        <x:v>1</x:v>
      </x:c>
      <x:c r="D1145" s="3" t="str">
        <x:v>present</x:v>
      </x:c>
      <x:c r="E1145" s="5" t="str">
        <x:f>VLOOKUP(B1145,Sections!$A$5:$I$45,3,FALSE)</x:f>
        <x:v>2025-1</x:v>
      </x:c>
    </x:row>
    <x:row r="1146" ht="21" customHeight="1">
      <x:c r="A1146" s="3" t="str">
        <x:v>2202008</x:v>
      </x:c>
      <x:c r="B1146" s="3" t="str">
        <x:v>SEC012</x:v>
      </x:c>
      <x:c r="C1146" s="3" t="n">
        <x:v>2</x:v>
      </x:c>
      <x:c r="D1146" s="3" t="str">
        <x:v>present</x:v>
      </x:c>
      <x:c r="E1146" s="5" t="str">
        <x:f>VLOOKUP(B1146,Sections!$A$5:$I$45,3,FALSE)</x:f>
        <x:v>2025-1</x:v>
      </x:c>
    </x:row>
    <x:row r="1147" ht="21" customHeight="1">
      <x:c r="A1147" s="3" t="str">
        <x:v>2202008</x:v>
      </x:c>
      <x:c r="B1147" s="3" t="str">
        <x:v>SEC012</x:v>
      </x:c>
      <x:c r="C1147" s="3" t="n">
        <x:v>3</x:v>
      </x:c>
      <x:c r="D1147" s="3" t="str">
        <x:v>present</x:v>
      </x:c>
      <x:c r="E1147" s="5" t="str">
        <x:f>VLOOKUP(B1147,Sections!$A$5:$I$45,3,FALSE)</x:f>
        <x:v>2025-1</x:v>
      </x:c>
    </x:row>
    <x:row r="1148" ht="21" customHeight="1">
      <x:c r="A1148" s="3" t="str">
        <x:v>2202008</x:v>
      </x:c>
      <x:c r="B1148" s="3" t="str">
        <x:v>SEC012</x:v>
      </x:c>
      <x:c r="C1148" s="3" t="n">
        <x:v>4</x:v>
      </x:c>
      <x:c r="D1148" s="3" t="str">
        <x:v>excused</x:v>
      </x:c>
      <x:c r="E1148" s="5" t="str">
        <x:f>VLOOKUP(B1148,Sections!$A$5:$I$45,3,FALSE)</x:f>
        <x:v>2025-1</x:v>
      </x:c>
    </x:row>
    <x:row r="1149" ht="21" customHeight="1">
      <x:c r="A1149" s="3" t="str">
        <x:v>2202008</x:v>
      </x:c>
      <x:c r="B1149" s="3" t="str">
        <x:v>SEC012</x:v>
      </x:c>
      <x:c r="C1149" s="3" t="n">
        <x:v>5</x:v>
      </x:c>
      <x:c r="D1149" s="3" t="str">
        <x:v>present</x:v>
      </x:c>
      <x:c r="E1149" s="5" t="str">
        <x:f>VLOOKUP(B1149,Sections!$A$5:$I$45,3,FALSE)</x:f>
        <x:v>2025-1</x:v>
      </x:c>
    </x:row>
    <x:row r="1150" ht="21" customHeight="1">
      <x:c r="A1150" s="3" t="str">
        <x:v>2202008</x:v>
      </x:c>
      <x:c r="B1150" s="3" t="str">
        <x:v>SEC012</x:v>
      </x:c>
      <x:c r="C1150" s="3" t="n">
        <x:v>6</x:v>
      </x:c>
      <x:c r="D1150" s="3" t="str">
        <x:v>present</x:v>
      </x:c>
      <x:c r="E1150" s="5" t="str">
        <x:f>VLOOKUP(B1150,Sections!$A$5:$I$45,3,FALSE)</x:f>
        <x:v>2025-1</x:v>
      </x:c>
    </x:row>
    <x:row r="1151" ht="21" customHeight="1">
      <x:c r="A1151" s="3" t="str">
        <x:v>2202008</x:v>
      </x:c>
      <x:c r="B1151" s="3" t="str">
        <x:v>SEC012</x:v>
      </x:c>
      <x:c r="C1151" s="3" t="n">
        <x:v>7</x:v>
      </x:c>
      <x:c r="D1151" s="3" t="str">
        <x:v>present</x:v>
      </x:c>
      <x:c r="E1151" s="5" t="str">
        <x:f>VLOOKUP(B1151,Sections!$A$5:$I$45,3,FALSE)</x:f>
        <x:v>2025-1</x:v>
      </x:c>
    </x:row>
    <x:row r="1152" ht="21" customHeight="1">
      <x:c r="A1152" s="3" t="str">
        <x:v>2202008</x:v>
      </x:c>
      <x:c r="B1152" s="3" t="str">
        <x:v>SEC012</x:v>
      </x:c>
      <x:c r="C1152" s="3" t="n">
        <x:v>8</x:v>
      </x:c>
      <x:c r="D1152" s="3" t="str">
        <x:v>present</x:v>
      </x:c>
      <x:c r="E1152" s="5" t="str">
        <x:f>VLOOKUP(B1152,Sections!$A$5:$I$45,3,FALSE)</x:f>
        <x:v>2025-1</x:v>
      </x:c>
    </x:row>
    <x:row r="1153" ht="21" customHeight="1">
      <x:c r="A1153" s="3" t="str">
        <x:v>2202008</x:v>
      </x:c>
      <x:c r="B1153" s="3" t="str">
        <x:v>SEC012</x:v>
      </x:c>
      <x:c r="C1153" s="3" t="n">
        <x:v>9</x:v>
      </x:c>
      <x:c r="D1153" s="3" t="str">
        <x:v>present</x:v>
      </x:c>
      <x:c r="E1153" s="5" t="str">
        <x:f>VLOOKUP(B1153,Sections!$A$5:$I$45,3,FALSE)</x:f>
        <x:v>2025-1</x:v>
      </x:c>
    </x:row>
    <x:row r="1154" ht="21" customHeight="1">
      <x:c r="A1154" s="3" t="str">
        <x:v>2202008</x:v>
      </x:c>
      <x:c r="B1154" s="3" t="str">
        <x:v>SEC012</x:v>
      </x:c>
      <x:c r="C1154" s="3" t="n">
        <x:v>10</x:v>
      </x:c>
      <x:c r="D1154" s="3" t="str">
        <x:v>present</x:v>
      </x:c>
      <x:c r="E1154" s="5" t="str">
        <x:f>VLOOKUP(B1154,Sections!$A$5:$I$45,3,FALSE)</x:f>
        <x:v>2025-1</x:v>
      </x:c>
    </x:row>
    <x:row r="1155" ht="21" customHeight="1">
      <x:c r="A1155" s="3" t="str">
        <x:v>2202008</x:v>
      </x:c>
      <x:c r="B1155" s="3" t="str">
        <x:v>SEC012</x:v>
      </x:c>
      <x:c r="C1155" s="3" t="n">
        <x:v>11</x:v>
      </x:c>
      <x:c r="D1155" s="3" t="str">
        <x:v>present</x:v>
      </x:c>
      <x:c r="E1155" s="5" t="str">
        <x:f>VLOOKUP(B1155,Sections!$A$5:$I$45,3,FALSE)</x:f>
        <x:v>2025-1</x:v>
      </x:c>
    </x:row>
    <x:row r="1156" ht="21" customHeight="1">
      <x:c r="A1156" s="3" t="str">
        <x:v>2202008</x:v>
      </x:c>
      <x:c r="B1156" s="3" t="str">
        <x:v>SEC012</x:v>
      </x:c>
      <x:c r="C1156" s="3" t="n">
        <x:v>12</x:v>
      </x:c>
      <x:c r="D1156" s="3" t="str">
        <x:v>present</x:v>
      </x:c>
      <x:c r="E1156" s="5" t="str">
        <x:f>VLOOKUP(B1156,Sections!$A$5:$I$45,3,FALSE)</x:f>
        <x:v>2025-1</x:v>
      </x:c>
    </x:row>
    <x:row r="1157" ht="21" customHeight="1">
      <x:c r="A1157" s="3" t="str">
        <x:v>2202008</x:v>
      </x:c>
      <x:c r="B1157" s="3" t="str">
        <x:v>SEC012</x:v>
      </x:c>
      <x:c r="C1157" s="3" t="n">
        <x:v>13</x:v>
      </x:c>
      <x:c r="D1157" s="3" t="str">
        <x:v>excused</x:v>
      </x:c>
      <x:c r="E1157" s="5" t="str">
        <x:f>VLOOKUP(B1157,Sections!$A$5:$I$45,3,FALSE)</x:f>
        <x:v>2025-1</x:v>
      </x:c>
    </x:row>
    <x:row r="1158" ht="21" customHeight="1">
      <x:c r="A1158" s="3" t="str">
        <x:v>2202008</x:v>
      </x:c>
      <x:c r="B1158" s="3" t="str">
        <x:v>SEC012</x:v>
      </x:c>
      <x:c r="C1158" s="3" t="n">
        <x:v>14</x:v>
      </x:c>
      <x:c r="D1158" s="3" t="str">
        <x:v>present</x:v>
      </x:c>
      <x:c r="E1158" s="5" t="str">
        <x:f>VLOOKUP(B1158,Sections!$A$5:$I$45,3,FALSE)</x:f>
        <x:v>2025-1</x:v>
      </x:c>
    </x:row>
    <x:row r="1159" ht="21" customHeight="1">
      <x:c r="A1159" s="3" t="str">
        <x:v>2202008</x:v>
      </x:c>
      <x:c r="B1159" s="3" t="str">
        <x:v>SEC012</x:v>
      </x:c>
      <x:c r="C1159" s="3" t="n">
        <x:v>15</x:v>
      </x:c>
      <x:c r="D1159" s="3" t="str">
        <x:v>present</x:v>
      </x:c>
      <x:c r="E1159" s="5" t="str">
        <x:f>VLOOKUP(B1159,Sections!$A$5:$I$45,3,FALSE)</x:f>
        <x:v>2025-1</x:v>
      </x:c>
    </x:row>
    <x:row r="1160" ht="21" customHeight="1">
      <x:c r="A1160" s="3" t="str">
        <x:v>2202009</x:v>
      </x:c>
      <x:c r="B1160" s="3" t="str">
        <x:v>SEC012</x:v>
      </x:c>
      <x:c r="C1160" s="3" t="n">
        <x:v>1</x:v>
      </x:c>
      <x:c r="D1160" s="3" t="str">
        <x:v>present</x:v>
      </x:c>
      <x:c r="E1160" s="5" t="str">
        <x:f>VLOOKUP(B1160,Sections!$A$5:$I$45,3,FALSE)</x:f>
        <x:v>2025-1</x:v>
      </x:c>
    </x:row>
    <x:row r="1161" ht="21" customHeight="1">
      <x:c r="A1161" s="3" t="str">
        <x:v>2202009</x:v>
      </x:c>
      <x:c r="B1161" s="3" t="str">
        <x:v>SEC012</x:v>
      </x:c>
      <x:c r="C1161" s="3" t="n">
        <x:v>2</x:v>
      </x:c>
      <x:c r="D1161" s="3" t="str">
        <x:v>present</x:v>
      </x:c>
      <x:c r="E1161" s="5" t="str">
        <x:f>VLOOKUP(B1161,Sections!$A$5:$I$45,3,FALSE)</x:f>
        <x:v>2025-1</x:v>
      </x:c>
    </x:row>
    <x:row r="1162" ht="21" customHeight="1">
      <x:c r="A1162" s="3" t="str">
        <x:v>2202009</x:v>
      </x:c>
      <x:c r="B1162" s="3" t="str">
        <x:v>SEC012</x:v>
      </x:c>
      <x:c r="C1162" s="3" t="n">
        <x:v>3</x:v>
      </x:c>
      <x:c r="D1162" s="3" t="str">
        <x:v>present</x:v>
      </x:c>
      <x:c r="E1162" s="5" t="str">
        <x:f>VLOOKUP(B1162,Sections!$A$5:$I$45,3,FALSE)</x:f>
        <x:v>2025-1</x:v>
      </x:c>
    </x:row>
    <x:row r="1163" ht="21" customHeight="1">
      <x:c r="A1163" s="3" t="str">
        <x:v>2202009</x:v>
      </x:c>
      <x:c r="B1163" s="3" t="str">
        <x:v>SEC012</x:v>
      </x:c>
      <x:c r="C1163" s="3" t="n">
        <x:v>4</x:v>
      </x:c>
      <x:c r="D1163" s="3" t="str">
        <x:v>present</x:v>
      </x:c>
      <x:c r="E1163" s="5" t="str">
        <x:f>VLOOKUP(B1163,Sections!$A$5:$I$45,3,FALSE)</x:f>
        <x:v>2025-1</x:v>
      </x:c>
    </x:row>
    <x:row r="1164" ht="21" customHeight="1">
      <x:c r="A1164" s="3" t="str">
        <x:v>2202009</x:v>
      </x:c>
      <x:c r="B1164" s="3" t="str">
        <x:v>SEC012</x:v>
      </x:c>
      <x:c r="C1164" s="3" t="n">
        <x:v>5</x:v>
      </x:c>
      <x:c r="D1164" s="3" t="str">
        <x:v>present</x:v>
      </x:c>
      <x:c r="E1164" s="5" t="str">
        <x:f>VLOOKUP(B1164,Sections!$A$5:$I$45,3,FALSE)</x:f>
        <x:v>2025-1</x:v>
      </x:c>
    </x:row>
    <x:row r="1165" ht="21" customHeight="1">
      <x:c r="A1165" s="3" t="str">
        <x:v>2202009</x:v>
      </x:c>
      <x:c r="B1165" s="3" t="str">
        <x:v>SEC012</x:v>
      </x:c>
      <x:c r="C1165" s="3" t="n">
        <x:v>6</x:v>
      </x:c>
      <x:c r="D1165" s="3" t="str">
        <x:v>present</x:v>
      </x:c>
      <x:c r="E1165" s="5" t="str">
        <x:f>VLOOKUP(B1165,Sections!$A$5:$I$45,3,FALSE)</x:f>
        <x:v>2025-1</x:v>
      </x:c>
    </x:row>
    <x:row r="1166" ht="21" customHeight="1">
      <x:c r="A1166" s="3" t="str">
        <x:v>2202009</x:v>
      </x:c>
      <x:c r="B1166" s="3" t="str">
        <x:v>SEC012</x:v>
      </x:c>
      <x:c r="C1166" s="3" t="n">
        <x:v>7</x:v>
      </x:c>
      <x:c r="D1166" s="3" t="str">
        <x:v>present</x:v>
      </x:c>
      <x:c r="E1166" s="5" t="str">
        <x:f>VLOOKUP(B1166,Sections!$A$5:$I$45,3,FALSE)</x:f>
        <x:v>2025-1</x:v>
      </x:c>
    </x:row>
    <x:row r="1167" ht="21" customHeight="1">
      <x:c r="A1167" s="3" t="str">
        <x:v>2202009</x:v>
      </x:c>
      <x:c r="B1167" s="3" t="str">
        <x:v>SEC012</x:v>
      </x:c>
      <x:c r="C1167" s="3" t="n">
        <x:v>8</x:v>
      </x:c>
      <x:c r="D1167" s="3" t="str">
        <x:v>present</x:v>
      </x:c>
      <x:c r="E1167" s="5" t="str">
        <x:f>VLOOKUP(B1167,Sections!$A$5:$I$45,3,FALSE)</x:f>
        <x:v>2025-1</x:v>
      </x:c>
    </x:row>
    <x:row r="1168" ht="21" customHeight="1">
      <x:c r="A1168" s="3" t="str">
        <x:v>2202009</x:v>
      </x:c>
      <x:c r="B1168" s="3" t="str">
        <x:v>SEC012</x:v>
      </x:c>
      <x:c r="C1168" s="3" t="n">
        <x:v>9</x:v>
      </x:c>
      <x:c r="D1168" s="3" t="str">
        <x:v>present</x:v>
      </x:c>
      <x:c r="E1168" s="5" t="str">
        <x:f>VLOOKUP(B1168,Sections!$A$5:$I$45,3,FALSE)</x:f>
        <x:v>2025-1</x:v>
      </x:c>
    </x:row>
    <x:row r="1169" ht="21" customHeight="1">
      <x:c r="A1169" s="3" t="str">
        <x:v>2202009</x:v>
      </x:c>
      <x:c r="B1169" s="3" t="str">
        <x:v>SEC012</x:v>
      </x:c>
      <x:c r="C1169" s="3" t="n">
        <x:v>10</x:v>
      </x:c>
      <x:c r="D1169" s="3" t="str">
        <x:v>present</x:v>
      </x:c>
      <x:c r="E1169" s="5" t="str">
        <x:f>VLOOKUP(B1169,Sections!$A$5:$I$45,3,FALSE)</x:f>
        <x:v>2025-1</x:v>
      </x:c>
    </x:row>
    <x:row r="1170" ht="21" customHeight="1">
      <x:c r="A1170" s="3" t="str">
        <x:v>2202009</x:v>
      </x:c>
      <x:c r="B1170" s="3" t="str">
        <x:v>SEC012</x:v>
      </x:c>
      <x:c r="C1170" s="3" t="n">
        <x:v>11</x:v>
      </x:c>
      <x:c r="D1170" s="3" t="str">
        <x:v>present</x:v>
      </x:c>
      <x:c r="E1170" s="5" t="str">
        <x:f>VLOOKUP(B1170,Sections!$A$5:$I$45,3,FALSE)</x:f>
        <x:v>2025-1</x:v>
      </x:c>
    </x:row>
    <x:row r="1171" ht="21" customHeight="1">
      <x:c r="A1171" s="3" t="str">
        <x:v>2202009</x:v>
      </x:c>
      <x:c r="B1171" s="3" t="str">
        <x:v>SEC012</x:v>
      </x:c>
      <x:c r="C1171" s="3" t="n">
        <x:v>12</x:v>
      </x:c>
      <x:c r="D1171" s="3" t="str">
        <x:v>present</x:v>
      </x:c>
      <x:c r="E1171" s="5" t="str">
        <x:f>VLOOKUP(B1171,Sections!$A$5:$I$45,3,FALSE)</x:f>
        <x:v>2025-1</x:v>
      </x:c>
    </x:row>
    <x:row r="1172" ht="21" customHeight="1">
      <x:c r="A1172" s="3" t="str">
        <x:v>2202009</x:v>
      </x:c>
      <x:c r="B1172" s="3" t="str">
        <x:v>SEC012</x:v>
      </x:c>
      <x:c r="C1172" s="3" t="n">
        <x:v>13</x:v>
      </x:c>
      <x:c r="D1172" s="3" t="str">
        <x:v>present</x:v>
      </x:c>
      <x:c r="E1172" s="5" t="str">
        <x:f>VLOOKUP(B1172,Sections!$A$5:$I$45,3,FALSE)</x:f>
        <x:v>2025-1</x:v>
      </x:c>
    </x:row>
    <x:row r="1173" ht="21" customHeight="1">
      <x:c r="A1173" s="3" t="str">
        <x:v>2202009</x:v>
      </x:c>
      <x:c r="B1173" s="3" t="str">
        <x:v>SEC012</x:v>
      </x:c>
      <x:c r="C1173" s="3" t="n">
        <x:v>14</x:v>
      </x:c>
      <x:c r="D1173" s="3" t="str">
        <x:v>present</x:v>
      </x:c>
      <x:c r="E1173" s="5" t="str">
        <x:f>VLOOKUP(B1173,Sections!$A$5:$I$45,3,FALSE)</x:f>
        <x:v>2025-1</x:v>
      </x:c>
    </x:row>
    <x:row r="1174" ht="21" customHeight="1">
      <x:c r="A1174" s="3" t="str">
        <x:v>2202009</x:v>
      </x:c>
      <x:c r="B1174" s="3" t="str">
        <x:v>SEC012</x:v>
      </x:c>
      <x:c r="C1174" s="3" t="n">
        <x:v>15</x:v>
      </x:c>
      <x:c r="D1174" s="3" t="str">
        <x:v>present</x:v>
      </x:c>
      <x:c r="E1174" s="5" t="str">
        <x:f>VLOOKUP(B1174,Sections!$A$5:$I$45,3,FALSE)</x:f>
        <x:v>2025-1</x:v>
      </x:c>
    </x:row>
    <x:row r="1175" ht="21" customHeight="1">
      <x:c r="A1175" s="3" t="str">
        <x:v>2202010</x:v>
      </x:c>
      <x:c r="B1175" s="3" t="str">
        <x:v>SEC012</x:v>
      </x:c>
      <x:c r="C1175" s="3" t="n">
        <x:v>1</x:v>
      </x:c>
      <x:c r="D1175" s="3" t="str">
        <x:v>present</x:v>
      </x:c>
      <x:c r="E1175" s="5" t="str">
        <x:f>VLOOKUP(B1175,Sections!$A$5:$I$45,3,FALSE)</x:f>
        <x:v>2025-1</x:v>
      </x:c>
    </x:row>
    <x:row r="1176" ht="21" customHeight="1">
      <x:c r="A1176" s="3" t="str">
        <x:v>2202010</x:v>
      </x:c>
      <x:c r="B1176" s="3" t="str">
        <x:v>SEC012</x:v>
      </x:c>
      <x:c r="C1176" s="3" t="n">
        <x:v>2</x:v>
      </x:c>
      <x:c r="D1176" s="3" t="str">
        <x:v>present</x:v>
      </x:c>
      <x:c r="E1176" s="5" t="str">
        <x:f>VLOOKUP(B1176,Sections!$A$5:$I$45,3,FALSE)</x:f>
        <x:v>2025-1</x:v>
      </x:c>
    </x:row>
    <x:row r="1177" ht="21" customHeight="1">
      <x:c r="A1177" s="3" t="str">
        <x:v>2202010</x:v>
      </x:c>
      <x:c r="B1177" s="3" t="str">
        <x:v>SEC012</x:v>
      </x:c>
      <x:c r="C1177" s="3" t="n">
        <x:v>3</x:v>
      </x:c>
      <x:c r="D1177" s="3" t="str">
        <x:v>present</x:v>
      </x:c>
      <x:c r="E1177" s="5" t="str">
        <x:f>VLOOKUP(B1177,Sections!$A$5:$I$45,3,FALSE)</x:f>
        <x:v>2025-1</x:v>
      </x:c>
    </x:row>
    <x:row r="1178" ht="21" customHeight="1">
      <x:c r="A1178" s="3" t="str">
        <x:v>2202010</x:v>
      </x:c>
      <x:c r="B1178" s="3" t="str">
        <x:v>SEC012</x:v>
      </x:c>
      <x:c r="C1178" s="3" t="n">
        <x:v>4</x:v>
      </x:c>
      <x:c r="D1178" s="3" t="str">
        <x:v>present</x:v>
      </x:c>
      <x:c r="E1178" s="5" t="str">
        <x:f>VLOOKUP(B1178,Sections!$A$5:$I$45,3,FALSE)</x:f>
        <x:v>2025-1</x:v>
      </x:c>
    </x:row>
    <x:row r="1179" ht="21" customHeight="1">
      <x:c r="A1179" s="3" t="str">
        <x:v>2202010</x:v>
      </x:c>
      <x:c r="B1179" s="3" t="str">
        <x:v>SEC012</x:v>
      </x:c>
      <x:c r="C1179" s="3" t="n">
        <x:v>5</x:v>
      </x:c>
      <x:c r="D1179" s="3" t="str">
        <x:v>present</x:v>
      </x:c>
      <x:c r="E1179" s="5" t="str">
        <x:f>VLOOKUP(B1179,Sections!$A$5:$I$45,3,FALSE)</x:f>
        <x:v>2025-1</x:v>
      </x:c>
    </x:row>
    <x:row r="1180" ht="21" customHeight="1">
      <x:c r="A1180" s="3" t="str">
        <x:v>2202010</x:v>
      </x:c>
      <x:c r="B1180" s="3" t="str">
        <x:v>SEC012</x:v>
      </x:c>
      <x:c r="C1180" s="3" t="n">
        <x:v>6</x:v>
      </x:c>
      <x:c r="D1180" s="3" t="str">
        <x:v>present</x:v>
      </x:c>
      <x:c r="E1180" s="5" t="str">
        <x:f>VLOOKUP(B1180,Sections!$A$5:$I$45,3,FALSE)</x:f>
        <x:v>2025-1</x:v>
      </x:c>
    </x:row>
    <x:row r="1181" ht="21" customHeight="1">
      <x:c r="A1181" s="3" t="str">
        <x:v>2202010</x:v>
      </x:c>
      <x:c r="B1181" s="3" t="str">
        <x:v>SEC012</x:v>
      </x:c>
      <x:c r="C1181" s="3" t="n">
        <x:v>7</x:v>
      </x:c>
      <x:c r="D1181" s="3" t="str">
        <x:v>absent</x:v>
      </x:c>
      <x:c r="E1181" s="5" t="str">
        <x:f>VLOOKUP(B1181,Sections!$A$5:$I$45,3,FALSE)</x:f>
        <x:v>2025-1</x:v>
      </x:c>
    </x:row>
    <x:row r="1182" ht="21" customHeight="1">
      <x:c r="A1182" s="3" t="str">
        <x:v>2202010</x:v>
      </x:c>
      <x:c r="B1182" s="3" t="str">
        <x:v>SEC012</x:v>
      </x:c>
      <x:c r="C1182" s="3" t="n">
        <x:v>8</x:v>
      </x:c>
      <x:c r="D1182" s="3" t="str">
        <x:v>absent</x:v>
      </x:c>
      <x:c r="E1182" s="5" t="str">
        <x:f>VLOOKUP(B1182,Sections!$A$5:$I$45,3,FALSE)</x:f>
        <x:v>2025-1</x:v>
      </x:c>
    </x:row>
    <x:row r="1183" ht="21" customHeight="1">
      <x:c r="A1183" s="3" t="str">
        <x:v>2202010</x:v>
      </x:c>
      <x:c r="B1183" s="3" t="str">
        <x:v>SEC012</x:v>
      </x:c>
      <x:c r="C1183" s="3" t="n">
        <x:v>9</x:v>
      </x:c>
      <x:c r="D1183" s="3" t="str">
        <x:v>late</x:v>
      </x:c>
      <x:c r="E1183" s="5" t="str">
        <x:f>VLOOKUP(B1183,Sections!$A$5:$I$45,3,FALSE)</x:f>
        <x:v>2025-1</x:v>
      </x:c>
    </x:row>
    <x:row r="1184" ht="21" customHeight="1">
      <x:c r="A1184" s="3" t="str">
        <x:v>2202010</x:v>
      </x:c>
      <x:c r="B1184" s="3" t="str">
        <x:v>SEC012</x:v>
      </x:c>
      <x:c r="C1184" s="3" t="n">
        <x:v>10</x:v>
      </x:c>
      <x:c r="D1184" s="3" t="str">
        <x:v>present</x:v>
      </x:c>
      <x:c r="E1184" s="5" t="str">
        <x:f>VLOOKUP(B1184,Sections!$A$5:$I$45,3,FALSE)</x:f>
        <x:v>2025-1</x:v>
      </x:c>
    </x:row>
    <x:row r="1185" ht="21" customHeight="1">
      <x:c r="A1185" s="3" t="str">
        <x:v>2202010</x:v>
      </x:c>
      <x:c r="B1185" s="3" t="str">
        <x:v>SEC012</x:v>
      </x:c>
      <x:c r="C1185" s="3" t="n">
        <x:v>11</x:v>
      </x:c>
      <x:c r="D1185" s="3" t="str">
        <x:v>present</x:v>
      </x:c>
      <x:c r="E1185" s="5" t="str">
        <x:f>VLOOKUP(B1185,Sections!$A$5:$I$45,3,FALSE)</x:f>
        <x:v>2025-1</x:v>
      </x:c>
    </x:row>
    <x:row r="1186" ht="21" customHeight="1">
      <x:c r="A1186" s="3" t="str">
        <x:v>2202010</x:v>
      </x:c>
      <x:c r="B1186" s="3" t="str">
        <x:v>SEC012</x:v>
      </x:c>
      <x:c r="C1186" s="3" t="n">
        <x:v>12</x:v>
      </x:c>
      <x:c r="D1186" s="3" t="str">
        <x:v>present</x:v>
      </x:c>
      <x:c r="E1186" s="5" t="str">
        <x:f>VLOOKUP(B1186,Sections!$A$5:$I$45,3,FALSE)</x:f>
        <x:v>2025-1</x:v>
      </x:c>
    </x:row>
    <x:row r="1187" ht="21" customHeight="1">
      <x:c r="A1187" s="3" t="str">
        <x:v>2202010</x:v>
      </x:c>
      <x:c r="B1187" s="3" t="str">
        <x:v>SEC012</x:v>
      </x:c>
      <x:c r="C1187" s="3" t="n">
        <x:v>13</x:v>
      </x:c>
      <x:c r="D1187" s="3" t="str">
        <x:v>present</x:v>
      </x:c>
      <x:c r="E1187" s="5" t="str">
        <x:f>VLOOKUP(B1187,Sections!$A$5:$I$45,3,FALSE)</x:f>
        <x:v>2025-1</x:v>
      </x:c>
    </x:row>
    <x:row r="1188" ht="21" customHeight="1">
      <x:c r="A1188" s="3" t="str">
        <x:v>2202010</x:v>
      </x:c>
      <x:c r="B1188" s="3" t="str">
        <x:v>SEC012</x:v>
      </x:c>
      <x:c r="C1188" s="3" t="n">
        <x:v>14</x:v>
      </x:c>
      <x:c r="D1188" s="3" t="str">
        <x:v>present</x:v>
      </x:c>
      <x:c r="E1188" s="5" t="str">
        <x:f>VLOOKUP(B1188,Sections!$A$5:$I$45,3,FALSE)</x:f>
        <x:v>2025-1</x:v>
      </x:c>
    </x:row>
    <x:row r="1189" ht="21" customHeight="1">
      <x:c r="A1189" s="3" t="str">
        <x:v>2202010</x:v>
      </x:c>
      <x:c r="B1189" s="3" t="str">
        <x:v>SEC012</x:v>
      </x:c>
      <x:c r="C1189" s="3" t="n">
        <x:v>15</x:v>
      </x:c>
      <x:c r="D1189" s="3" t="str">
        <x:v>present</x:v>
      </x:c>
      <x:c r="E1189" s="5" t="str">
        <x:f>VLOOKUP(B1189,Sections!$A$5:$I$45,3,FALSE)</x:f>
        <x:v>2025-1</x:v>
      </x:c>
    </x:row>
    <x:row r="1190" ht="21" customHeight="1">
      <x:c r="A1190" s="3" t="str">
        <x:v>2202011</x:v>
      </x:c>
      <x:c r="B1190" s="3" t="str">
        <x:v>SEC013</x:v>
      </x:c>
      <x:c r="C1190" s="3" t="n">
        <x:v>1</x:v>
      </x:c>
      <x:c r="D1190" s="3" t="str">
        <x:v>late</x:v>
      </x:c>
      <x:c r="E1190" s="5" t="str">
        <x:f>VLOOKUP(B1190,Sections!$A$5:$I$45,3,FALSE)</x:f>
        <x:v>2025-1</x:v>
      </x:c>
    </x:row>
    <x:row r="1191" ht="21" customHeight="1">
      <x:c r="A1191" s="3" t="str">
        <x:v>2202011</x:v>
      </x:c>
      <x:c r="B1191" s="3" t="str">
        <x:v>SEC013</x:v>
      </x:c>
      <x:c r="C1191" s="3" t="n">
        <x:v>2</x:v>
      </x:c>
      <x:c r="D1191" s="3" t="str">
        <x:v>present</x:v>
      </x:c>
      <x:c r="E1191" s="5" t="str">
        <x:f>VLOOKUP(B1191,Sections!$A$5:$I$45,3,FALSE)</x:f>
        <x:v>2025-1</x:v>
      </x:c>
    </x:row>
    <x:row r="1192" ht="21" customHeight="1">
      <x:c r="A1192" s="3" t="str">
        <x:v>2202011</x:v>
      </x:c>
      <x:c r="B1192" s="3" t="str">
        <x:v>SEC013</x:v>
      </x:c>
      <x:c r="C1192" s="3" t="n">
        <x:v>3</x:v>
      </x:c>
      <x:c r="D1192" s="3" t="str">
        <x:v>present</x:v>
      </x:c>
      <x:c r="E1192" s="5" t="str">
        <x:f>VLOOKUP(B1192,Sections!$A$5:$I$45,3,FALSE)</x:f>
        <x:v>2025-1</x:v>
      </x:c>
    </x:row>
    <x:row r="1193" ht="21" customHeight="1">
      <x:c r="A1193" s="3" t="str">
        <x:v>2202011</x:v>
      </x:c>
      <x:c r="B1193" s="3" t="str">
        <x:v>SEC013</x:v>
      </x:c>
      <x:c r="C1193" s="3" t="n">
        <x:v>4</x:v>
      </x:c>
      <x:c r="D1193" s="3" t="str">
        <x:v>late</x:v>
      </x:c>
      <x:c r="E1193" s="5" t="str">
        <x:f>VLOOKUP(B1193,Sections!$A$5:$I$45,3,FALSE)</x:f>
        <x:v>2025-1</x:v>
      </x:c>
    </x:row>
    <x:row r="1194" ht="21" customHeight="1">
      <x:c r="A1194" s="3" t="str">
        <x:v>2202011</x:v>
      </x:c>
      <x:c r="B1194" s="3" t="str">
        <x:v>SEC013</x:v>
      </x:c>
      <x:c r="C1194" s="3" t="n">
        <x:v>5</x:v>
      </x:c>
      <x:c r="D1194" s="3" t="str">
        <x:v>present</x:v>
      </x:c>
      <x:c r="E1194" s="5" t="str">
        <x:f>VLOOKUP(B1194,Sections!$A$5:$I$45,3,FALSE)</x:f>
        <x:v>2025-1</x:v>
      </x:c>
    </x:row>
    <x:row r="1195" ht="21" customHeight="1">
      <x:c r="A1195" s="3" t="str">
        <x:v>2202011</x:v>
      </x:c>
      <x:c r="B1195" s="3" t="str">
        <x:v>SEC013</x:v>
      </x:c>
      <x:c r="C1195" s="3" t="n">
        <x:v>6</x:v>
      </x:c>
      <x:c r="D1195" s="3" t="str">
        <x:v>absent</x:v>
      </x:c>
      <x:c r="E1195" s="5" t="str">
        <x:f>VLOOKUP(B1195,Sections!$A$5:$I$45,3,FALSE)</x:f>
        <x:v>2025-1</x:v>
      </x:c>
    </x:row>
    <x:row r="1196" ht="21" customHeight="1">
      <x:c r="A1196" s="3" t="str">
        <x:v>2202011</x:v>
      </x:c>
      <x:c r="B1196" s="3" t="str">
        <x:v>SEC013</x:v>
      </x:c>
      <x:c r="C1196" s="3" t="n">
        <x:v>7</x:v>
      </x:c>
      <x:c r="D1196" s="3" t="str">
        <x:v>present</x:v>
      </x:c>
      <x:c r="E1196" s="5" t="str">
        <x:f>VLOOKUP(B1196,Sections!$A$5:$I$45,3,FALSE)</x:f>
        <x:v>2025-1</x:v>
      </x:c>
    </x:row>
    <x:row r="1197" ht="21" customHeight="1">
      <x:c r="A1197" s="3" t="str">
        <x:v>2202011</x:v>
      </x:c>
      <x:c r="B1197" s="3" t="str">
        <x:v>SEC013</x:v>
      </x:c>
      <x:c r="C1197" s="3" t="n">
        <x:v>8</x:v>
      </x:c>
      <x:c r="D1197" s="3" t="str">
        <x:v>present</x:v>
      </x:c>
      <x:c r="E1197" s="5" t="str">
        <x:f>VLOOKUP(B1197,Sections!$A$5:$I$45,3,FALSE)</x:f>
        <x:v>2025-1</x:v>
      </x:c>
    </x:row>
    <x:row r="1198" ht="21" customHeight="1">
      <x:c r="A1198" s="3" t="str">
        <x:v>2202011</x:v>
      </x:c>
      <x:c r="B1198" s="3" t="str">
        <x:v>SEC013</x:v>
      </x:c>
      <x:c r="C1198" s="3" t="n">
        <x:v>9</x:v>
      </x:c>
      <x:c r="D1198" s="3" t="str">
        <x:v>present</x:v>
      </x:c>
      <x:c r="E1198" s="5" t="str">
        <x:f>VLOOKUP(B1198,Sections!$A$5:$I$45,3,FALSE)</x:f>
        <x:v>2025-1</x:v>
      </x:c>
    </x:row>
    <x:row r="1199" ht="21" customHeight="1">
      <x:c r="A1199" s="3" t="str">
        <x:v>2202011</x:v>
      </x:c>
      <x:c r="B1199" s="3" t="str">
        <x:v>SEC013</x:v>
      </x:c>
      <x:c r="C1199" s="3" t="n">
        <x:v>10</x:v>
      </x:c>
      <x:c r="D1199" s="3" t="str">
        <x:v>present</x:v>
      </x:c>
      <x:c r="E1199" s="5" t="str">
        <x:f>VLOOKUP(B1199,Sections!$A$5:$I$45,3,FALSE)</x:f>
        <x:v>2025-1</x:v>
      </x:c>
    </x:row>
    <x:row r="1200" ht="21" customHeight="1">
      <x:c r="A1200" s="3" t="str">
        <x:v>2202011</x:v>
      </x:c>
      <x:c r="B1200" s="3" t="str">
        <x:v>SEC013</x:v>
      </x:c>
      <x:c r="C1200" s="3" t="n">
        <x:v>11</x:v>
      </x:c>
      <x:c r="D1200" s="3" t="str">
        <x:v>present</x:v>
      </x:c>
      <x:c r="E1200" s="5" t="str">
        <x:f>VLOOKUP(B1200,Sections!$A$5:$I$45,3,FALSE)</x:f>
        <x:v>2025-1</x:v>
      </x:c>
    </x:row>
    <x:row r="1201" ht="21" customHeight="1">
      <x:c r="A1201" s="3" t="str">
        <x:v>2202011</x:v>
      </x:c>
      <x:c r="B1201" s="3" t="str">
        <x:v>SEC013</x:v>
      </x:c>
      <x:c r="C1201" s="3" t="n">
        <x:v>12</x:v>
      </x:c>
      <x:c r="D1201" s="3" t="str">
        <x:v>present</x:v>
      </x:c>
      <x:c r="E1201" s="5" t="str">
        <x:f>VLOOKUP(B1201,Sections!$A$5:$I$45,3,FALSE)</x:f>
        <x:v>2025-1</x:v>
      </x:c>
    </x:row>
    <x:row r="1202" ht="21" customHeight="1">
      <x:c r="A1202" s="3" t="str">
        <x:v>2202011</x:v>
      </x:c>
      <x:c r="B1202" s="3" t="str">
        <x:v>SEC013</x:v>
      </x:c>
      <x:c r="C1202" s="3" t="n">
        <x:v>13</x:v>
      </x:c>
      <x:c r="D1202" s="3" t="str">
        <x:v>present</x:v>
      </x:c>
      <x:c r="E1202" s="5" t="str">
        <x:f>VLOOKUP(B1202,Sections!$A$5:$I$45,3,FALSE)</x:f>
        <x:v>2025-1</x:v>
      </x:c>
    </x:row>
    <x:row r="1203" ht="21" customHeight="1">
      <x:c r="A1203" s="3" t="str">
        <x:v>2202011</x:v>
      </x:c>
      <x:c r="B1203" s="3" t="str">
        <x:v>SEC013</x:v>
      </x:c>
      <x:c r="C1203" s="3" t="n">
        <x:v>14</x:v>
      </x:c>
      <x:c r="D1203" s="3" t="str">
        <x:v>present</x:v>
      </x:c>
      <x:c r="E1203" s="5" t="str">
        <x:f>VLOOKUP(B1203,Sections!$A$5:$I$45,3,FALSE)</x:f>
        <x:v>2025-1</x:v>
      </x:c>
    </x:row>
    <x:row r="1204" ht="21" customHeight="1">
      <x:c r="A1204" s="3" t="str">
        <x:v>2202011</x:v>
      </x:c>
      <x:c r="B1204" s="3" t="str">
        <x:v>SEC013</x:v>
      </x:c>
      <x:c r="C1204" s="3" t="n">
        <x:v>15</x:v>
      </x:c>
      <x:c r="D1204" s="3" t="str">
        <x:v>present</x:v>
      </x:c>
      <x:c r="E1204" s="5" t="str">
        <x:f>VLOOKUP(B1204,Sections!$A$5:$I$45,3,FALSE)</x:f>
        <x:v>2025-1</x:v>
      </x:c>
    </x:row>
    <x:row r="1205" ht="21" customHeight="1">
      <x:c r="A1205" s="3" t="str">
        <x:v>2202012</x:v>
      </x:c>
      <x:c r="B1205" s="3" t="str">
        <x:v>SEC013</x:v>
      </x:c>
      <x:c r="C1205" s="3" t="n">
        <x:v>1</x:v>
      </x:c>
      <x:c r="D1205" s="3" t="str">
        <x:v>present</x:v>
      </x:c>
      <x:c r="E1205" s="5" t="str">
        <x:f>VLOOKUP(B1205,Sections!$A$5:$I$45,3,FALSE)</x:f>
        <x:v>2025-1</x:v>
      </x:c>
    </x:row>
    <x:row r="1206" ht="21" customHeight="1">
      <x:c r="A1206" s="3" t="str">
        <x:v>2202012</x:v>
      </x:c>
      <x:c r="B1206" s="3" t="str">
        <x:v>SEC013</x:v>
      </x:c>
      <x:c r="C1206" s="3" t="n">
        <x:v>2</x:v>
      </x:c>
      <x:c r="D1206" s="3" t="str">
        <x:v>present</x:v>
      </x:c>
      <x:c r="E1206" s="5" t="str">
        <x:f>VLOOKUP(B1206,Sections!$A$5:$I$45,3,FALSE)</x:f>
        <x:v>2025-1</x:v>
      </x:c>
    </x:row>
    <x:row r="1207" ht="21" customHeight="1">
      <x:c r="A1207" s="3" t="str">
        <x:v>2202012</x:v>
      </x:c>
      <x:c r="B1207" s="3" t="str">
        <x:v>SEC013</x:v>
      </x:c>
      <x:c r="C1207" s="3" t="n">
        <x:v>3</x:v>
      </x:c>
      <x:c r="D1207" s="3" t="str">
        <x:v>present</x:v>
      </x:c>
      <x:c r="E1207" s="5" t="str">
        <x:f>VLOOKUP(B1207,Sections!$A$5:$I$45,3,FALSE)</x:f>
        <x:v>2025-1</x:v>
      </x:c>
    </x:row>
    <x:row r="1208" ht="21" customHeight="1">
      <x:c r="A1208" s="3" t="str">
        <x:v>2202012</x:v>
      </x:c>
      <x:c r="B1208" s="3" t="str">
        <x:v>SEC013</x:v>
      </x:c>
      <x:c r="C1208" s="3" t="n">
        <x:v>4</x:v>
      </x:c>
      <x:c r="D1208" s="3" t="str">
        <x:v>late</x:v>
      </x:c>
      <x:c r="E1208" s="5" t="str">
        <x:f>VLOOKUP(B1208,Sections!$A$5:$I$45,3,FALSE)</x:f>
        <x:v>2025-1</x:v>
      </x:c>
    </x:row>
    <x:row r="1209" ht="21" customHeight="1">
      <x:c r="A1209" s="3" t="str">
        <x:v>2202012</x:v>
      </x:c>
      <x:c r="B1209" s="3" t="str">
        <x:v>SEC013</x:v>
      </x:c>
      <x:c r="C1209" s="3" t="n">
        <x:v>5</x:v>
      </x:c>
      <x:c r="D1209" s="3" t="str">
        <x:v>present</x:v>
      </x:c>
      <x:c r="E1209" s="5" t="str">
        <x:f>VLOOKUP(B1209,Sections!$A$5:$I$45,3,FALSE)</x:f>
        <x:v>2025-1</x:v>
      </x:c>
    </x:row>
    <x:row r="1210" ht="21" customHeight="1">
      <x:c r="A1210" s="3" t="str">
        <x:v>2202012</x:v>
      </x:c>
      <x:c r="B1210" s="3" t="str">
        <x:v>SEC013</x:v>
      </x:c>
      <x:c r="C1210" s="3" t="n">
        <x:v>6</x:v>
      </x:c>
      <x:c r="D1210" s="3" t="str">
        <x:v>present</x:v>
      </x:c>
      <x:c r="E1210" s="5" t="str">
        <x:f>VLOOKUP(B1210,Sections!$A$5:$I$45,3,FALSE)</x:f>
        <x:v>2025-1</x:v>
      </x:c>
    </x:row>
    <x:row r="1211" ht="21" customHeight="1">
      <x:c r="A1211" s="3" t="str">
        <x:v>2202012</x:v>
      </x:c>
      <x:c r="B1211" s="3" t="str">
        <x:v>SEC013</x:v>
      </x:c>
      <x:c r="C1211" s="3" t="n">
        <x:v>7</x:v>
      </x:c>
      <x:c r="D1211" s="3" t="str">
        <x:v>present</x:v>
      </x:c>
      <x:c r="E1211" s="5" t="str">
        <x:f>VLOOKUP(B1211,Sections!$A$5:$I$45,3,FALSE)</x:f>
        <x:v>2025-1</x:v>
      </x:c>
    </x:row>
    <x:row r="1212" ht="21" customHeight="1">
      <x:c r="A1212" s="3" t="str">
        <x:v>2202012</x:v>
      </x:c>
      <x:c r="B1212" s="3" t="str">
        <x:v>SEC013</x:v>
      </x:c>
      <x:c r="C1212" s="3" t="n">
        <x:v>8</x:v>
      </x:c>
      <x:c r="D1212" s="3" t="str">
        <x:v>present</x:v>
      </x:c>
      <x:c r="E1212" s="5" t="str">
        <x:f>VLOOKUP(B1212,Sections!$A$5:$I$45,3,FALSE)</x:f>
        <x:v>2025-1</x:v>
      </x:c>
    </x:row>
    <x:row r="1213" ht="21" customHeight="1">
      <x:c r="A1213" s="3" t="str">
        <x:v>2202012</x:v>
      </x:c>
      <x:c r="B1213" s="3" t="str">
        <x:v>SEC013</x:v>
      </x:c>
      <x:c r="C1213" s="3" t="n">
        <x:v>9</x:v>
      </x:c>
      <x:c r="D1213" s="3" t="str">
        <x:v>present</x:v>
      </x:c>
      <x:c r="E1213" s="5" t="str">
        <x:f>VLOOKUP(B1213,Sections!$A$5:$I$45,3,FALSE)</x:f>
        <x:v>2025-1</x:v>
      </x:c>
    </x:row>
    <x:row r="1214" ht="21" customHeight="1">
      <x:c r="A1214" s="3" t="str">
        <x:v>2202012</x:v>
      </x:c>
      <x:c r="B1214" s="3" t="str">
        <x:v>SEC013</x:v>
      </x:c>
      <x:c r="C1214" s="3" t="n">
        <x:v>10</x:v>
      </x:c>
      <x:c r="D1214" s="3" t="str">
        <x:v>present</x:v>
      </x:c>
      <x:c r="E1214" s="5" t="str">
        <x:f>VLOOKUP(B1214,Sections!$A$5:$I$45,3,FALSE)</x:f>
        <x:v>2025-1</x:v>
      </x:c>
    </x:row>
    <x:row r="1215" ht="21" customHeight="1">
      <x:c r="A1215" s="3" t="str">
        <x:v>2202012</x:v>
      </x:c>
      <x:c r="B1215" s="3" t="str">
        <x:v>SEC013</x:v>
      </x:c>
      <x:c r="C1215" s="3" t="n">
        <x:v>11</x:v>
      </x:c>
      <x:c r="D1215" s="3" t="str">
        <x:v>late</x:v>
      </x:c>
      <x:c r="E1215" s="5" t="str">
        <x:f>VLOOKUP(B1215,Sections!$A$5:$I$45,3,FALSE)</x:f>
        <x:v>2025-1</x:v>
      </x:c>
    </x:row>
    <x:row r="1216" ht="21" customHeight="1">
      <x:c r="A1216" s="3" t="str">
        <x:v>2202012</x:v>
      </x:c>
      <x:c r="B1216" s="3" t="str">
        <x:v>SEC013</x:v>
      </x:c>
      <x:c r="C1216" s="3" t="n">
        <x:v>12</x:v>
      </x:c>
      <x:c r="D1216" s="3" t="str">
        <x:v>present</x:v>
      </x:c>
      <x:c r="E1216" s="5" t="str">
        <x:f>VLOOKUP(B1216,Sections!$A$5:$I$45,3,FALSE)</x:f>
        <x:v>2025-1</x:v>
      </x:c>
    </x:row>
    <x:row r="1217" ht="21" customHeight="1">
      <x:c r="A1217" s="3" t="str">
        <x:v>2202012</x:v>
      </x:c>
      <x:c r="B1217" s="3" t="str">
        <x:v>SEC013</x:v>
      </x:c>
      <x:c r="C1217" s="3" t="n">
        <x:v>13</x:v>
      </x:c>
      <x:c r="D1217" s="3" t="str">
        <x:v>present</x:v>
      </x:c>
      <x:c r="E1217" s="5" t="str">
        <x:f>VLOOKUP(B1217,Sections!$A$5:$I$45,3,FALSE)</x:f>
        <x:v>2025-1</x:v>
      </x:c>
    </x:row>
    <x:row r="1218" ht="21" customHeight="1">
      <x:c r="A1218" s="3" t="str">
        <x:v>2202012</x:v>
      </x:c>
      <x:c r="B1218" s="3" t="str">
        <x:v>SEC013</x:v>
      </x:c>
      <x:c r="C1218" s="3" t="n">
        <x:v>14</x:v>
      </x:c>
      <x:c r="D1218" s="3" t="str">
        <x:v>present</x:v>
      </x:c>
      <x:c r="E1218" s="5" t="str">
        <x:f>VLOOKUP(B1218,Sections!$A$5:$I$45,3,FALSE)</x:f>
        <x:v>2025-1</x:v>
      </x:c>
    </x:row>
    <x:row r="1219" ht="21" customHeight="1">
      <x:c r="A1219" s="3" t="str">
        <x:v>2202012</x:v>
      </x:c>
      <x:c r="B1219" s="3" t="str">
        <x:v>SEC013</x:v>
      </x:c>
      <x:c r="C1219" s="3" t="n">
        <x:v>15</x:v>
      </x:c>
      <x:c r="D1219" s="3" t="str">
        <x:v>late</x:v>
      </x:c>
      <x:c r="E1219" s="5" t="str">
        <x:f>VLOOKUP(B1219,Sections!$A$5:$I$45,3,FALSE)</x:f>
        <x:v>2025-1</x:v>
      </x:c>
    </x:row>
    <x:row r="1220" ht="21" customHeight="1">
      <x:c r="A1220" s="3" t="str">
        <x:v>2202013</x:v>
      </x:c>
      <x:c r="B1220" s="3" t="str">
        <x:v>SEC013</x:v>
      </x:c>
      <x:c r="C1220" s="3" t="n">
        <x:v>1</x:v>
      </x:c>
      <x:c r="D1220" s="3" t="str">
        <x:v>present</x:v>
      </x:c>
      <x:c r="E1220" s="5" t="str">
        <x:f>VLOOKUP(B1220,Sections!$A$5:$I$45,3,FALSE)</x:f>
        <x:v>2025-1</x:v>
      </x:c>
    </x:row>
    <x:row r="1221" ht="21" customHeight="1">
      <x:c r="A1221" s="3" t="str">
        <x:v>2202013</x:v>
      </x:c>
      <x:c r="B1221" s="3" t="str">
        <x:v>SEC013</x:v>
      </x:c>
      <x:c r="C1221" s="3" t="n">
        <x:v>2</x:v>
      </x:c>
      <x:c r="D1221" s="3" t="str">
        <x:v>present</x:v>
      </x:c>
      <x:c r="E1221" s="5" t="str">
        <x:f>VLOOKUP(B1221,Sections!$A$5:$I$45,3,FALSE)</x:f>
        <x:v>2025-1</x:v>
      </x:c>
    </x:row>
    <x:row r="1222" ht="21" customHeight="1">
      <x:c r="A1222" s="3" t="str">
        <x:v>2202013</x:v>
      </x:c>
      <x:c r="B1222" s="3" t="str">
        <x:v>SEC013</x:v>
      </x:c>
      <x:c r="C1222" s="3" t="n">
        <x:v>3</x:v>
      </x:c>
      <x:c r="D1222" s="3" t="str">
        <x:v>present</x:v>
      </x:c>
      <x:c r="E1222" s="5" t="str">
        <x:f>VLOOKUP(B1222,Sections!$A$5:$I$45,3,FALSE)</x:f>
        <x:v>2025-1</x:v>
      </x:c>
    </x:row>
    <x:row r="1223" ht="21" customHeight="1">
      <x:c r="A1223" s="3" t="str">
        <x:v>2202013</x:v>
      </x:c>
      <x:c r="B1223" s="3" t="str">
        <x:v>SEC013</x:v>
      </x:c>
      <x:c r="C1223" s="3" t="n">
        <x:v>4</x:v>
      </x:c>
      <x:c r="D1223" s="3" t="str">
        <x:v>present</x:v>
      </x:c>
      <x:c r="E1223" s="5" t="str">
        <x:f>VLOOKUP(B1223,Sections!$A$5:$I$45,3,FALSE)</x:f>
        <x:v>2025-1</x:v>
      </x:c>
    </x:row>
    <x:row r="1224" ht="21" customHeight="1">
      <x:c r="A1224" s="3" t="str">
        <x:v>2202013</x:v>
      </x:c>
      <x:c r="B1224" s="3" t="str">
        <x:v>SEC013</x:v>
      </x:c>
      <x:c r="C1224" s="3" t="n">
        <x:v>5</x:v>
      </x:c>
      <x:c r="D1224" s="3" t="str">
        <x:v>present</x:v>
      </x:c>
      <x:c r="E1224" s="5" t="str">
        <x:f>VLOOKUP(B1224,Sections!$A$5:$I$45,3,FALSE)</x:f>
        <x:v>2025-1</x:v>
      </x:c>
    </x:row>
    <x:row r="1225" ht="21" customHeight="1">
      <x:c r="A1225" s="3" t="str">
        <x:v>2202013</x:v>
      </x:c>
      <x:c r="B1225" s="3" t="str">
        <x:v>SEC013</x:v>
      </x:c>
      <x:c r="C1225" s="3" t="n">
        <x:v>6</x:v>
      </x:c>
      <x:c r="D1225" s="3" t="str">
        <x:v>present</x:v>
      </x:c>
      <x:c r="E1225" s="5" t="str">
        <x:f>VLOOKUP(B1225,Sections!$A$5:$I$45,3,FALSE)</x:f>
        <x:v>2025-1</x:v>
      </x:c>
    </x:row>
    <x:row r="1226" ht="21" customHeight="1">
      <x:c r="A1226" s="3" t="str">
        <x:v>2202013</x:v>
      </x:c>
      <x:c r="B1226" s="3" t="str">
        <x:v>SEC013</x:v>
      </x:c>
      <x:c r="C1226" s="3" t="n">
        <x:v>7</x:v>
      </x:c>
      <x:c r="D1226" s="3" t="str">
        <x:v>present</x:v>
      </x:c>
      <x:c r="E1226" s="5" t="str">
        <x:f>VLOOKUP(B1226,Sections!$A$5:$I$45,3,FALSE)</x:f>
        <x:v>2025-1</x:v>
      </x:c>
    </x:row>
    <x:row r="1227" ht="21" customHeight="1">
      <x:c r="A1227" s="3" t="str">
        <x:v>2202013</x:v>
      </x:c>
      <x:c r="B1227" s="3" t="str">
        <x:v>SEC013</x:v>
      </x:c>
      <x:c r="C1227" s="3" t="n">
        <x:v>8</x:v>
      </x:c>
      <x:c r="D1227" s="3" t="str">
        <x:v>present</x:v>
      </x:c>
      <x:c r="E1227" s="5" t="str">
        <x:f>VLOOKUP(B1227,Sections!$A$5:$I$45,3,FALSE)</x:f>
        <x:v>2025-1</x:v>
      </x:c>
    </x:row>
    <x:row r="1228" ht="21" customHeight="1">
      <x:c r="A1228" s="3" t="str">
        <x:v>2202013</x:v>
      </x:c>
      <x:c r="B1228" s="3" t="str">
        <x:v>SEC013</x:v>
      </x:c>
      <x:c r="C1228" s="3" t="n">
        <x:v>9</x:v>
      </x:c>
      <x:c r="D1228" s="3" t="str">
        <x:v>present</x:v>
      </x:c>
      <x:c r="E1228" s="5" t="str">
        <x:f>VLOOKUP(B1228,Sections!$A$5:$I$45,3,FALSE)</x:f>
        <x:v>2025-1</x:v>
      </x:c>
    </x:row>
    <x:row r="1229" ht="21" customHeight="1">
      <x:c r="A1229" s="3" t="str">
        <x:v>2202013</x:v>
      </x:c>
      <x:c r="B1229" s="3" t="str">
        <x:v>SEC013</x:v>
      </x:c>
      <x:c r="C1229" s="3" t="n">
        <x:v>10</x:v>
      </x:c>
      <x:c r="D1229" s="3" t="str">
        <x:v>present</x:v>
      </x:c>
      <x:c r="E1229" s="5" t="str">
        <x:f>VLOOKUP(B1229,Sections!$A$5:$I$45,3,FALSE)</x:f>
        <x:v>2025-1</x:v>
      </x:c>
    </x:row>
    <x:row r="1230" ht="21" customHeight="1">
      <x:c r="A1230" s="3" t="str">
        <x:v>2202013</x:v>
      </x:c>
      <x:c r="B1230" s="3" t="str">
        <x:v>SEC013</x:v>
      </x:c>
      <x:c r="C1230" s="3" t="n">
        <x:v>11</x:v>
      </x:c>
      <x:c r="D1230" s="3" t="str">
        <x:v>present</x:v>
      </x:c>
      <x:c r="E1230" s="5" t="str">
        <x:f>VLOOKUP(B1230,Sections!$A$5:$I$45,3,FALSE)</x:f>
        <x:v>2025-1</x:v>
      </x:c>
    </x:row>
    <x:row r="1231" ht="21" customHeight="1">
      <x:c r="A1231" s="3" t="str">
        <x:v>2202013</x:v>
      </x:c>
      <x:c r="B1231" s="3" t="str">
        <x:v>SEC013</x:v>
      </x:c>
      <x:c r="C1231" s="3" t="n">
        <x:v>12</x:v>
      </x:c>
      <x:c r="D1231" s="3" t="str">
        <x:v>present</x:v>
      </x:c>
      <x:c r="E1231" s="5" t="str">
        <x:f>VLOOKUP(B1231,Sections!$A$5:$I$45,3,FALSE)</x:f>
        <x:v>2025-1</x:v>
      </x:c>
    </x:row>
    <x:row r="1232" ht="21" customHeight="1">
      <x:c r="A1232" s="3" t="str">
        <x:v>2202013</x:v>
      </x:c>
      <x:c r="B1232" s="3" t="str">
        <x:v>SEC013</x:v>
      </x:c>
      <x:c r="C1232" s="3" t="n">
        <x:v>13</x:v>
      </x:c>
      <x:c r="D1232" s="3" t="str">
        <x:v>present</x:v>
      </x:c>
      <x:c r="E1232" s="5" t="str">
        <x:f>VLOOKUP(B1232,Sections!$A$5:$I$45,3,FALSE)</x:f>
        <x:v>2025-1</x:v>
      </x:c>
    </x:row>
    <x:row r="1233" ht="21" customHeight="1">
      <x:c r="A1233" s="3" t="str">
        <x:v>2202013</x:v>
      </x:c>
      <x:c r="B1233" s="3" t="str">
        <x:v>SEC013</x:v>
      </x:c>
      <x:c r="C1233" s="3" t="n">
        <x:v>14</x:v>
      </x:c>
      <x:c r="D1233" s="3" t="str">
        <x:v>present</x:v>
      </x:c>
      <x:c r="E1233" s="5" t="str">
        <x:f>VLOOKUP(B1233,Sections!$A$5:$I$45,3,FALSE)</x:f>
        <x:v>2025-1</x:v>
      </x:c>
    </x:row>
    <x:row r="1234" ht="21" customHeight="1">
      <x:c r="A1234" s="3" t="str">
        <x:v>2202013</x:v>
      </x:c>
      <x:c r="B1234" s="3" t="str">
        <x:v>SEC013</x:v>
      </x:c>
      <x:c r="C1234" s="3" t="n">
        <x:v>15</x:v>
      </x:c>
      <x:c r="D1234" s="3" t="str">
        <x:v>present</x:v>
      </x:c>
      <x:c r="E1234" s="5" t="str">
        <x:f>VLOOKUP(B1234,Sections!$A$5:$I$45,3,FALSE)</x:f>
        <x:v>2025-1</x:v>
      </x:c>
    </x:row>
    <x:row r="1235" ht="21" customHeight="1">
      <x:c r="A1235" s="3" t="str">
        <x:v>2202014</x:v>
      </x:c>
      <x:c r="B1235" s="3" t="str">
        <x:v>SEC013</x:v>
      </x:c>
      <x:c r="C1235" s="3" t="n">
        <x:v>1</x:v>
      </x:c>
      <x:c r="D1235" s="3" t="str">
        <x:v>present</x:v>
      </x:c>
      <x:c r="E1235" s="5" t="str">
        <x:f>VLOOKUP(B1235,Sections!$A$5:$I$45,3,FALSE)</x:f>
        <x:v>2025-1</x:v>
      </x:c>
    </x:row>
    <x:row r="1236" ht="21" customHeight="1">
      <x:c r="A1236" s="3" t="str">
        <x:v>2202014</x:v>
      </x:c>
      <x:c r="B1236" s="3" t="str">
        <x:v>SEC013</x:v>
      </x:c>
      <x:c r="C1236" s="3" t="n">
        <x:v>2</x:v>
      </x:c>
      <x:c r="D1236" s="3" t="str">
        <x:v>present</x:v>
      </x:c>
      <x:c r="E1236" s="5" t="str">
        <x:f>VLOOKUP(B1236,Sections!$A$5:$I$45,3,FALSE)</x:f>
        <x:v>2025-1</x:v>
      </x:c>
    </x:row>
    <x:row r="1237" ht="21" customHeight="1">
      <x:c r="A1237" s="3" t="str">
        <x:v>2202014</x:v>
      </x:c>
      <x:c r="B1237" s="3" t="str">
        <x:v>SEC013</x:v>
      </x:c>
      <x:c r="C1237" s="3" t="n">
        <x:v>3</x:v>
      </x:c>
      <x:c r="D1237" s="3" t="str">
        <x:v>present</x:v>
      </x:c>
      <x:c r="E1237" s="5" t="str">
        <x:f>VLOOKUP(B1237,Sections!$A$5:$I$45,3,FALSE)</x:f>
        <x:v>2025-1</x:v>
      </x:c>
    </x:row>
    <x:row r="1238" ht="21" customHeight="1">
      <x:c r="A1238" s="3" t="str">
        <x:v>2202014</x:v>
      </x:c>
      <x:c r="B1238" s="3" t="str">
        <x:v>SEC013</x:v>
      </x:c>
      <x:c r="C1238" s="3" t="n">
        <x:v>4</x:v>
      </x:c>
      <x:c r="D1238" s="3" t="str">
        <x:v>present</x:v>
      </x:c>
      <x:c r="E1238" s="5" t="str">
        <x:f>VLOOKUP(B1238,Sections!$A$5:$I$45,3,FALSE)</x:f>
        <x:v>2025-1</x:v>
      </x:c>
    </x:row>
    <x:row r="1239" ht="21" customHeight="1">
      <x:c r="A1239" s="3" t="str">
        <x:v>2202014</x:v>
      </x:c>
      <x:c r="B1239" s="3" t="str">
        <x:v>SEC013</x:v>
      </x:c>
      <x:c r="C1239" s="3" t="n">
        <x:v>5</x:v>
      </x:c>
      <x:c r="D1239" s="3" t="str">
        <x:v>present</x:v>
      </x:c>
      <x:c r="E1239" s="5" t="str">
        <x:f>VLOOKUP(B1239,Sections!$A$5:$I$45,3,FALSE)</x:f>
        <x:v>2025-1</x:v>
      </x:c>
    </x:row>
    <x:row r="1240" ht="21" customHeight="1">
      <x:c r="A1240" s="3" t="str">
        <x:v>2202014</x:v>
      </x:c>
      <x:c r="B1240" s="3" t="str">
        <x:v>SEC013</x:v>
      </x:c>
      <x:c r="C1240" s="3" t="n">
        <x:v>6</x:v>
      </x:c>
      <x:c r="D1240" s="3" t="str">
        <x:v>present</x:v>
      </x:c>
      <x:c r="E1240" s="5" t="str">
        <x:f>VLOOKUP(B1240,Sections!$A$5:$I$45,3,FALSE)</x:f>
        <x:v>2025-1</x:v>
      </x:c>
    </x:row>
    <x:row r="1241" ht="21" customHeight="1">
      <x:c r="A1241" s="3" t="str">
        <x:v>2202014</x:v>
      </x:c>
      <x:c r="B1241" s="3" t="str">
        <x:v>SEC013</x:v>
      </x:c>
      <x:c r="C1241" s="3" t="n">
        <x:v>7</x:v>
      </x:c>
      <x:c r="D1241" s="3" t="str">
        <x:v>present</x:v>
      </x:c>
      <x:c r="E1241" s="5" t="str">
        <x:f>VLOOKUP(B1241,Sections!$A$5:$I$45,3,FALSE)</x:f>
        <x:v>2025-1</x:v>
      </x:c>
    </x:row>
    <x:row r="1242" ht="21" customHeight="1">
      <x:c r="A1242" s="3" t="str">
        <x:v>2202014</x:v>
      </x:c>
      <x:c r="B1242" s="3" t="str">
        <x:v>SEC013</x:v>
      </x:c>
      <x:c r="C1242" s="3" t="n">
        <x:v>8</x:v>
      </x:c>
      <x:c r="D1242" s="3" t="str">
        <x:v>present</x:v>
      </x:c>
      <x:c r="E1242" s="5" t="str">
        <x:f>VLOOKUP(B1242,Sections!$A$5:$I$45,3,FALSE)</x:f>
        <x:v>2025-1</x:v>
      </x:c>
    </x:row>
    <x:row r="1243" ht="21" customHeight="1">
      <x:c r="A1243" s="3" t="str">
        <x:v>2202014</x:v>
      </x:c>
      <x:c r="B1243" s="3" t="str">
        <x:v>SEC013</x:v>
      </x:c>
      <x:c r="C1243" s="3" t="n">
        <x:v>9</x:v>
      </x:c>
      <x:c r="D1243" s="3" t="str">
        <x:v>present</x:v>
      </x:c>
      <x:c r="E1243" s="5" t="str">
        <x:f>VLOOKUP(B1243,Sections!$A$5:$I$45,3,FALSE)</x:f>
        <x:v>2025-1</x:v>
      </x:c>
    </x:row>
    <x:row r="1244" ht="21" customHeight="1">
      <x:c r="A1244" s="3" t="str">
        <x:v>2202014</x:v>
      </x:c>
      <x:c r="B1244" s="3" t="str">
        <x:v>SEC013</x:v>
      </x:c>
      <x:c r="C1244" s="3" t="n">
        <x:v>10</x:v>
      </x:c>
      <x:c r="D1244" s="3" t="str">
        <x:v>present</x:v>
      </x:c>
      <x:c r="E1244" s="5" t="str">
        <x:f>VLOOKUP(B1244,Sections!$A$5:$I$45,3,FALSE)</x:f>
        <x:v>2025-1</x:v>
      </x:c>
    </x:row>
    <x:row r="1245" ht="21" customHeight="1">
      <x:c r="A1245" s="3" t="str">
        <x:v>2202014</x:v>
      </x:c>
      <x:c r="B1245" s="3" t="str">
        <x:v>SEC013</x:v>
      </x:c>
      <x:c r="C1245" s="3" t="n">
        <x:v>11</x:v>
      </x:c>
      <x:c r="D1245" s="3" t="str">
        <x:v>present</x:v>
      </x:c>
      <x:c r="E1245" s="5" t="str">
        <x:f>VLOOKUP(B1245,Sections!$A$5:$I$45,3,FALSE)</x:f>
        <x:v>2025-1</x:v>
      </x:c>
    </x:row>
    <x:row r="1246" ht="21" customHeight="1">
      <x:c r="A1246" s="3" t="str">
        <x:v>2202014</x:v>
      </x:c>
      <x:c r="B1246" s="3" t="str">
        <x:v>SEC013</x:v>
      </x:c>
      <x:c r="C1246" s="3" t="n">
        <x:v>12</x:v>
      </x:c>
      <x:c r="D1246" s="3" t="str">
        <x:v>present</x:v>
      </x:c>
      <x:c r="E1246" s="5" t="str">
        <x:f>VLOOKUP(B1246,Sections!$A$5:$I$45,3,FALSE)</x:f>
        <x:v>2025-1</x:v>
      </x:c>
    </x:row>
    <x:row r="1247" ht="21" customHeight="1">
      <x:c r="A1247" s="3" t="str">
        <x:v>2202014</x:v>
      </x:c>
      <x:c r="B1247" s="3" t="str">
        <x:v>SEC013</x:v>
      </x:c>
      <x:c r="C1247" s="3" t="n">
        <x:v>13</x:v>
      </x:c>
      <x:c r="D1247" s="3" t="str">
        <x:v>present</x:v>
      </x:c>
      <x:c r="E1247" s="5" t="str">
        <x:f>VLOOKUP(B1247,Sections!$A$5:$I$45,3,FALSE)</x:f>
        <x:v>2025-1</x:v>
      </x:c>
    </x:row>
    <x:row r="1248" ht="21" customHeight="1">
      <x:c r="A1248" s="3" t="str">
        <x:v>2202014</x:v>
      </x:c>
      <x:c r="B1248" s="3" t="str">
        <x:v>SEC013</x:v>
      </x:c>
      <x:c r="C1248" s="3" t="n">
        <x:v>14</x:v>
      </x:c>
      <x:c r="D1248" s="3" t="str">
        <x:v>present</x:v>
      </x:c>
      <x:c r="E1248" s="5" t="str">
        <x:f>VLOOKUP(B1248,Sections!$A$5:$I$45,3,FALSE)</x:f>
        <x:v>2025-1</x:v>
      </x:c>
    </x:row>
    <x:row r="1249" ht="21" customHeight="1">
      <x:c r="A1249" s="3" t="str">
        <x:v>2202014</x:v>
      </x:c>
      <x:c r="B1249" s="3" t="str">
        <x:v>SEC013</x:v>
      </x:c>
      <x:c r="C1249" s="3" t="n">
        <x:v>15</x:v>
      </x:c>
      <x:c r="D1249" s="3" t="str">
        <x:v>excused</x:v>
      </x:c>
      <x:c r="E1249" s="5" t="str">
        <x:f>VLOOKUP(B1249,Sections!$A$5:$I$45,3,FALSE)</x:f>
        <x:v>2025-1</x:v>
      </x:c>
    </x:row>
    <x:row r="1250" ht="21" customHeight="1">
      <x:c r="A1250" s="3" t="str">
        <x:v>2202015</x:v>
      </x:c>
      <x:c r="B1250" s="3" t="str">
        <x:v>SEC013</x:v>
      </x:c>
      <x:c r="C1250" s="3" t="n">
        <x:v>1</x:v>
      </x:c>
      <x:c r="D1250" s="3" t="str">
        <x:v>present</x:v>
      </x:c>
      <x:c r="E1250" s="5" t="str">
        <x:f>VLOOKUP(B1250,Sections!$A$5:$I$45,3,FALSE)</x:f>
        <x:v>2025-1</x:v>
      </x:c>
    </x:row>
    <x:row r="1251" ht="21" customHeight="1">
      <x:c r="A1251" s="3" t="str">
        <x:v>2202015</x:v>
      </x:c>
      <x:c r="B1251" s="3" t="str">
        <x:v>SEC013</x:v>
      </x:c>
      <x:c r="C1251" s="3" t="n">
        <x:v>2</x:v>
      </x:c>
      <x:c r="D1251" s="3" t="str">
        <x:v>absent</x:v>
      </x:c>
      <x:c r="E1251" s="5" t="str">
        <x:f>VLOOKUP(B1251,Sections!$A$5:$I$45,3,FALSE)</x:f>
        <x:v>2025-1</x:v>
      </x:c>
    </x:row>
    <x:row r="1252" ht="21" customHeight="1">
      <x:c r="A1252" s="3" t="str">
        <x:v>2202015</x:v>
      </x:c>
      <x:c r="B1252" s="3" t="str">
        <x:v>SEC013</x:v>
      </x:c>
      <x:c r="C1252" s="3" t="n">
        <x:v>3</x:v>
      </x:c>
      <x:c r="D1252" s="3" t="str">
        <x:v>present</x:v>
      </x:c>
      <x:c r="E1252" s="5" t="str">
        <x:f>VLOOKUP(B1252,Sections!$A$5:$I$45,3,FALSE)</x:f>
        <x:v>2025-1</x:v>
      </x:c>
    </x:row>
    <x:row r="1253" ht="21" customHeight="1">
      <x:c r="A1253" s="3" t="str">
        <x:v>2202015</x:v>
      </x:c>
      <x:c r="B1253" s="3" t="str">
        <x:v>SEC013</x:v>
      </x:c>
      <x:c r="C1253" s="3" t="n">
        <x:v>4</x:v>
      </x:c>
      <x:c r="D1253" s="3" t="str">
        <x:v>present</x:v>
      </x:c>
      <x:c r="E1253" s="5" t="str">
        <x:f>VLOOKUP(B1253,Sections!$A$5:$I$45,3,FALSE)</x:f>
        <x:v>2025-1</x:v>
      </x:c>
    </x:row>
    <x:row r="1254" ht="21" customHeight="1">
      <x:c r="A1254" s="3" t="str">
        <x:v>2202015</x:v>
      </x:c>
      <x:c r="B1254" s="3" t="str">
        <x:v>SEC013</x:v>
      </x:c>
      <x:c r="C1254" s="3" t="n">
        <x:v>5</x:v>
      </x:c>
      <x:c r="D1254" s="3" t="str">
        <x:v>present</x:v>
      </x:c>
      <x:c r="E1254" s="5" t="str">
        <x:f>VLOOKUP(B1254,Sections!$A$5:$I$45,3,FALSE)</x:f>
        <x:v>2025-1</x:v>
      </x:c>
    </x:row>
    <x:row r="1255" ht="21" customHeight="1">
      <x:c r="A1255" s="3" t="str">
        <x:v>2202015</x:v>
      </x:c>
      <x:c r="B1255" s="3" t="str">
        <x:v>SEC013</x:v>
      </x:c>
      <x:c r="C1255" s="3" t="n">
        <x:v>6</x:v>
      </x:c>
      <x:c r="D1255" s="3" t="str">
        <x:v>absent</x:v>
      </x:c>
      <x:c r="E1255" s="5" t="str">
        <x:f>VLOOKUP(B1255,Sections!$A$5:$I$45,3,FALSE)</x:f>
        <x:v>2025-1</x:v>
      </x:c>
    </x:row>
    <x:row r="1256" ht="21" customHeight="1">
      <x:c r="A1256" s="3" t="str">
        <x:v>2202015</x:v>
      </x:c>
      <x:c r="B1256" s="3" t="str">
        <x:v>SEC013</x:v>
      </x:c>
      <x:c r="C1256" s="3" t="n">
        <x:v>7</x:v>
      </x:c>
      <x:c r="D1256" s="3" t="str">
        <x:v>absent</x:v>
      </x:c>
      <x:c r="E1256" s="5" t="str">
        <x:f>VLOOKUP(B1256,Sections!$A$5:$I$45,3,FALSE)</x:f>
        <x:v>2025-1</x:v>
      </x:c>
    </x:row>
    <x:row r="1257" ht="21" customHeight="1">
      <x:c r="A1257" s="3" t="str">
        <x:v>2202015</x:v>
      </x:c>
      <x:c r="B1257" s="3" t="str">
        <x:v>SEC013</x:v>
      </x:c>
      <x:c r="C1257" s="3" t="n">
        <x:v>8</x:v>
      </x:c>
      <x:c r="D1257" s="3" t="str">
        <x:v>absent</x:v>
      </x:c>
      <x:c r="E1257" s="5" t="str">
        <x:f>VLOOKUP(B1257,Sections!$A$5:$I$45,3,FALSE)</x:f>
        <x:v>2025-1</x:v>
      </x:c>
    </x:row>
    <x:row r="1258" ht="21" customHeight="1">
      <x:c r="A1258" s="3" t="str">
        <x:v>2202015</x:v>
      </x:c>
      <x:c r="B1258" s="3" t="str">
        <x:v>SEC013</x:v>
      </x:c>
      <x:c r="C1258" s="3" t="n">
        <x:v>9</x:v>
      </x:c>
      <x:c r="D1258" s="3" t="str">
        <x:v>absent</x:v>
      </x:c>
      <x:c r="E1258" s="5" t="str">
        <x:f>VLOOKUP(B1258,Sections!$A$5:$I$45,3,FALSE)</x:f>
        <x:v>2025-1</x:v>
      </x:c>
    </x:row>
    <x:row r="1259" ht="21" customHeight="1">
      <x:c r="A1259" s="3" t="str">
        <x:v>2202015</x:v>
      </x:c>
      <x:c r="B1259" s="3" t="str">
        <x:v>SEC013</x:v>
      </x:c>
      <x:c r="C1259" s="3" t="n">
        <x:v>10</x:v>
      </x:c>
      <x:c r="D1259" s="3" t="str">
        <x:v>absent</x:v>
      </x:c>
      <x:c r="E1259" s="5" t="str">
        <x:f>VLOOKUP(B1259,Sections!$A$5:$I$45,3,FALSE)</x:f>
        <x:v>2025-1</x:v>
      </x:c>
    </x:row>
    <x:row r="1260" ht="21" customHeight="1">
      <x:c r="A1260" s="3" t="str">
        <x:v>2202015</x:v>
      </x:c>
      <x:c r="B1260" s="3" t="str">
        <x:v>SEC013</x:v>
      </x:c>
      <x:c r="C1260" s="3" t="n">
        <x:v>11</x:v>
      </x:c>
      <x:c r="D1260" s="3" t="str">
        <x:v>absent</x:v>
      </x:c>
      <x:c r="E1260" s="5" t="str">
        <x:f>VLOOKUP(B1260,Sections!$A$5:$I$45,3,FALSE)</x:f>
        <x:v>2025-1</x:v>
      </x:c>
    </x:row>
    <x:row r="1261" ht="21" customHeight="1">
      <x:c r="A1261" s="3" t="str">
        <x:v>2202015</x:v>
      </x:c>
      <x:c r="B1261" s="3" t="str">
        <x:v>SEC013</x:v>
      </x:c>
      <x:c r="C1261" s="3" t="n">
        <x:v>12</x:v>
      </x:c>
      <x:c r="D1261" s="3" t="str">
        <x:v>present</x:v>
      </x:c>
      <x:c r="E1261" s="5" t="str">
        <x:f>VLOOKUP(B1261,Sections!$A$5:$I$45,3,FALSE)</x:f>
        <x:v>2025-1</x:v>
      </x:c>
    </x:row>
    <x:row r="1262" ht="21" customHeight="1">
      <x:c r="A1262" s="3" t="str">
        <x:v>2202015</x:v>
      </x:c>
      <x:c r="B1262" s="3" t="str">
        <x:v>SEC013</x:v>
      </x:c>
      <x:c r="C1262" s="3" t="n">
        <x:v>13</x:v>
      </x:c>
      <x:c r="D1262" s="3" t="str">
        <x:v>excused</x:v>
      </x:c>
      <x:c r="E1262" s="5" t="str">
        <x:f>VLOOKUP(B1262,Sections!$A$5:$I$45,3,FALSE)</x:f>
        <x:v>2025-1</x:v>
      </x:c>
    </x:row>
    <x:row r="1263" ht="21" customHeight="1">
      <x:c r="A1263" s="3" t="str">
        <x:v>2202015</x:v>
      </x:c>
      <x:c r="B1263" s="3" t="str">
        <x:v>SEC013</x:v>
      </x:c>
      <x:c r="C1263" s="3" t="n">
        <x:v>14</x:v>
      </x:c>
      <x:c r="D1263" s="3" t="str">
        <x:v>present</x:v>
      </x:c>
      <x:c r="E1263" s="5" t="str">
        <x:f>VLOOKUP(B1263,Sections!$A$5:$I$45,3,FALSE)</x:f>
        <x:v>2025-1</x:v>
      </x:c>
    </x:row>
    <x:row r="1264" ht="21" customHeight="1">
      <x:c r="A1264" s="3" t="str">
        <x:v>2202015</x:v>
      </x:c>
      <x:c r="B1264" s="3" t="str">
        <x:v>SEC013</x:v>
      </x:c>
      <x:c r="C1264" s="3" t="n">
        <x:v>15</x:v>
      </x:c>
      <x:c r="D1264" s="3" t="str">
        <x:v>absent</x:v>
      </x:c>
      <x:c r="E1264" s="5" t="str">
        <x:f>VLOOKUP(B1264,Sections!$A$5:$I$45,3,FALSE)</x:f>
        <x:v>2025-1</x:v>
      </x:c>
    </x:row>
    <x:row r="1265" ht="21" customHeight="1">
      <x:c r="A1265" s="3" t="str">
        <x:v>2202016</x:v>
      </x:c>
      <x:c r="B1265" s="3" t="str">
        <x:v>SEC013</x:v>
      </x:c>
      <x:c r="C1265" s="3" t="n">
        <x:v>1</x:v>
      </x:c>
      <x:c r="D1265" s="3" t="str">
        <x:v>present</x:v>
      </x:c>
      <x:c r="E1265" s="5" t="str">
        <x:f>VLOOKUP(B1265,Sections!$A$5:$I$45,3,FALSE)</x:f>
        <x:v>2025-1</x:v>
      </x:c>
    </x:row>
    <x:row r="1266" ht="21" customHeight="1">
      <x:c r="A1266" s="3" t="str">
        <x:v>2202016</x:v>
      </x:c>
      <x:c r="B1266" s="3" t="str">
        <x:v>SEC013</x:v>
      </x:c>
      <x:c r="C1266" s="3" t="n">
        <x:v>2</x:v>
      </x:c>
      <x:c r="D1266" s="3" t="str">
        <x:v>present</x:v>
      </x:c>
      <x:c r="E1266" s="5" t="str">
        <x:f>VLOOKUP(B1266,Sections!$A$5:$I$45,3,FALSE)</x:f>
        <x:v>2025-1</x:v>
      </x:c>
    </x:row>
    <x:row r="1267" ht="21" customHeight="1">
      <x:c r="A1267" s="3" t="str">
        <x:v>2202016</x:v>
      </x:c>
      <x:c r="B1267" s="3" t="str">
        <x:v>SEC013</x:v>
      </x:c>
      <x:c r="C1267" s="3" t="n">
        <x:v>3</x:v>
      </x:c>
      <x:c r="D1267" s="3" t="str">
        <x:v>absent</x:v>
      </x:c>
      <x:c r="E1267" s="5" t="str">
        <x:f>VLOOKUP(B1267,Sections!$A$5:$I$45,3,FALSE)</x:f>
        <x:v>2025-1</x:v>
      </x:c>
    </x:row>
    <x:row r="1268" ht="21" customHeight="1">
      <x:c r="A1268" s="3" t="str">
        <x:v>2202016</x:v>
      </x:c>
      <x:c r="B1268" s="3" t="str">
        <x:v>SEC013</x:v>
      </x:c>
      <x:c r="C1268" s="3" t="n">
        <x:v>4</x:v>
      </x:c>
      <x:c r="D1268" s="3" t="str">
        <x:v>absent</x:v>
      </x:c>
      <x:c r="E1268" s="5" t="str">
        <x:f>VLOOKUP(B1268,Sections!$A$5:$I$45,3,FALSE)</x:f>
        <x:v>2025-1</x:v>
      </x:c>
    </x:row>
    <x:row r="1269" ht="21" customHeight="1">
      <x:c r="A1269" s="3" t="str">
        <x:v>2202016</x:v>
      </x:c>
      <x:c r="B1269" s="3" t="str">
        <x:v>SEC013</x:v>
      </x:c>
      <x:c r="C1269" s="3" t="n">
        <x:v>5</x:v>
      </x:c>
      <x:c r="D1269" s="3" t="str">
        <x:v>present</x:v>
      </x:c>
      <x:c r="E1269" s="5" t="str">
        <x:f>VLOOKUP(B1269,Sections!$A$5:$I$45,3,FALSE)</x:f>
        <x:v>2025-1</x:v>
      </x:c>
    </x:row>
    <x:row r="1270" ht="21" customHeight="1">
      <x:c r="A1270" s="3" t="str">
        <x:v>2202016</x:v>
      </x:c>
      <x:c r="B1270" s="3" t="str">
        <x:v>SEC013</x:v>
      </x:c>
      <x:c r="C1270" s="3" t="n">
        <x:v>6</x:v>
      </x:c>
      <x:c r="D1270" s="3" t="str">
        <x:v>excused</x:v>
      </x:c>
      <x:c r="E1270" s="5" t="str">
        <x:f>VLOOKUP(B1270,Sections!$A$5:$I$45,3,FALSE)</x:f>
        <x:v>2025-1</x:v>
      </x:c>
    </x:row>
    <x:row r="1271" ht="21" customHeight="1">
      <x:c r="A1271" s="3" t="str">
        <x:v>2202016</x:v>
      </x:c>
      <x:c r="B1271" s="3" t="str">
        <x:v>SEC013</x:v>
      </x:c>
      <x:c r="C1271" s="3" t="n">
        <x:v>7</x:v>
      </x:c>
      <x:c r="D1271" s="3" t="str">
        <x:v>present</x:v>
      </x:c>
      <x:c r="E1271" s="5" t="str">
        <x:f>VLOOKUP(B1271,Sections!$A$5:$I$45,3,FALSE)</x:f>
        <x:v>2025-1</x:v>
      </x:c>
    </x:row>
    <x:row r="1272" ht="21" customHeight="1">
      <x:c r="A1272" s="3" t="str">
        <x:v>2202016</x:v>
      </x:c>
      <x:c r="B1272" s="3" t="str">
        <x:v>SEC013</x:v>
      </x:c>
      <x:c r="C1272" s="3" t="n">
        <x:v>8</x:v>
      </x:c>
      <x:c r="D1272" s="3" t="str">
        <x:v>present</x:v>
      </x:c>
      <x:c r="E1272" s="5" t="str">
        <x:f>VLOOKUP(B1272,Sections!$A$5:$I$45,3,FALSE)</x:f>
        <x:v>2025-1</x:v>
      </x:c>
    </x:row>
    <x:row r="1273" ht="21" customHeight="1">
      <x:c r="A1273" s="3" t="str">
        <x:v>2202016</x:v>
      </x:c>
      <x:c r="B1273" s="3" t="str">
        <x:v>SEC013</x:v>
      </x:c>
      <x:c r="C1273" s="3" t="n">
        <x:v>9</x:v>
      </x:c>
      <x:c r="D1273" s="3" t="str">
        <x:v>present</x:v>
      </x:c>
      <x:c r="E1273" s="5" t="str">
        <x:f>VLOOKUP(B1273,Sections!$A$5:$I$45,3,FALSE)</x:f>
        <x:v>2025-1</x:v>
      </x:c>
    </x:row>
    <x:row r="1274" ht="21" customHeight="1">
      <x:c r="A1274" s="3" t="str">
        <x:v>2202016</x:v>
      </x:c>
      <x:c r="B1274" s="3" t="str">
        <x:v>SEC013</x:v>
      </x:c>
      <x:c r="C1274" s="3" t="n">
        <x:v>10</x:v>
      </x:c>
      <x:c r="D1274" s="3" t="str">
        <x:v>present</x:v>
      </x:c>
      <x:c r="E1274" s="5" t="str">
        <x:f>VLOOKUP(B1274,Sections!$A$5:$I$45,3,FALSE)</x:f>
        <x:v>2025-1</x:v>
      </x:c>
    </x:row>
    <x:row r="1275" ht="21" customHeight="1">
      <x:c r="A1275" s="3" t="str">
        <x:v>2202016</x:v>
      </x:c>
      <x:c r="B1275" s="3" t="str">
        <x:v>SEC013</x:v>
      </x:c>
      <x:c r="C1275" s="3" t="n">
        <x:v>11</x:v>
      </x:c>
      <x:c r="D1275" s="3" t="str">
        <x:v>present</x:v>
      </x:c>
      <x:c r="E1275" s="5" t="str">
        <x:f>VLOOKUP(B1275,Sections!$A$5:$I$45,3,FALSE)</x:f>
        <x:v>2025-1</x:v>
      </x:c>
    </x:row>
    <x:row r="1276" ht="21" customHeight="1">
      <x:c r="A1276" s="3" t="str">
        <x:v>2202016</x:v>
      </x:c>
      <x:c r="B1276" s="3" t="str">
        <x:v>SEC013</x:v>
      </x:c>
      <x:c r="C1276" s="3" t="n">
        <x:v>12</x:v>
      </x:c>
      <x:c r="D1276" s="3" t="str">
        <x:v>present</x:v>
      </x:c>
      <x:c r="E1276" s="5" t="str">
        <x:f>VLOOKUP(B1276,Sections!$A$5:$I$45,3,FALSE)</x:f>
        <x:v>2025-1</x:v>
      </x:c>
    </x:row>
    <x:row r="1277" ht="21" customHeight="1">
      <x:c r="A1277" s="3" t="str">
        <x:v>2202016</x:v>
      </x:c>
      <x:c r="B1277" s="3" t="str">
        <x:v>SEC013</x:v>
      </x:c>
      <x:c r="C1277" s="3" t="n">
        <x:v>13</x:v>
      </x:c>
      <x:c r="D1277" s="3" t="str">
        <x:v>present</x:v>
      </x:c>
      <x:c r="E1277" s="5" t="str">
        <x:f>VLOOKUP(B1277,Sections!$A$5:$I$45,3,FALSE)</x:f>
        <x:v>2025-1</x:v>
      </x:c>
    </x:row>
    <x:row r="1278" ht="21" customHeight="1">
      <x:c r="A1278" s="3" t="str">
        <x:v>2202016</x:v>
      </x:c>
      <x:c r="B1278" s="3" t="str">
        <x:v>SEC013</x:v>
      </x:c>
      <x:c r="C1278" s="3" t="n">
        <x:v>14</x:v>
      </x:c>
      <x:c r="D1278" s="3" t="str">
        <x:v>present</x:v>
      </x:c>
      <x:c r="E1278" s="5" t="str">
        <x:f>VLOOKUP(B1278,Sections!$A$5:$I$45,3,FALSE)</x:f>
        <x:v>2025-1</x:v>
      </x:c>
    </x:row>
    <x:row r="1279" ht="21" customHeight="1">
      <x:c r="A1279" s="3" t="str">
        <x:v>2202016</x:v>
      </x:c>
      <x:c r="B1279" s="3" t="str">
        <x:v>SEC013</x:v>
      </x:c>
      <x:c r="C1279" s="3" t="n">
        <x:v>15</x:v>
      </x:c>
      <x:c r="D1279" s="3" t="str">
        <x:v>present</x:v>
      </x:c>
      <x:c r="E1279" s="5" t="str">
        <x:f>VLOOKUP(B1279,Sections!$A$5:$I$45,3,FALSE)</x:f>
        <x:v>2025-1</x:v>
      </x:c>
    </x:row>
    <x:row r="1280" ht="21" customHeight="1">
      <x:c r="A1280" s="3" t="str">
        <x:v>2202017</x:v>
      </x:c>
      <x:c r="B1280" s="3" t="str">
        <x:v>SEC013</x:v>
      </x:c>
      <x:c r="C1280" s="3" t="n">
        <x:v>1</x:v>
      </x:c>
      <x:c r="D1280" s="3" t="str">
        <x:v>present</x:v>
      </x:c>
      <x:c r="E1280" s="5" t="str">
        <x:f>VLOOKUP(B1280,Sections!$A$5:$I$45,3,FALSE)</x:f>
        <x:v>2025-1</x:v>
      </x:c>
    </x:row>
    <x:row r="1281" ht="21" customHeight="1">
      <x:c r="A1281" s="3" t="str">
        <x:v>2202017</x:v>
      </x:c>
      <x:c r="B1281" s="3" t="str">
        <x:v>SEC013</x:v>
      </x:c>
      <x:c r="C1281" s="3" t="n">
        <x:v>2</x:v>
      </x:c>
      <x:c r="D1281" s="3" t="str">
        <x:v>excused</x:v>
      </x:c>
      <x:c r="E1281" s="5" t="str">
        <x:f>VLOOKUP(B1281,Sections!$A$5:$I$45,3,FALSE)</x:f>
        <x:v>2025-1</x:v>
      </x:c>
    </x:row>
    <x:row r="1282" ht="21" customHeight="1">
      <x:c r="A1282" s="3" t="str">
        <x:v>2202017</x:v>
      </x:c>
      <x:c r="B1282" s="3" t="str">
        <x:v>SEC013</x:v>
      </x:c>
      <x:c r="C1282" s="3" t="n">
        <x:v>3</x:v>
      </x:c>
      <x:c r="D1282" s="3" t="str">
        <x:v>present</x:v>
      </x:c>
      <x:c r="E1282" s="5" t="str">
        <x:f>VLOOKUP(B1282,Sections!$A$5:$I$45,3,FALSE)</x:f>
        <x:v>2025-1</x:v>
      </x:c>
    </x:row>
    <x:row r="1283" ht="21" customHeight="1">
      <x:c r="A1283" s="3" t="str">
        <x:v>2202017</x:v>
      </x:c>
      <x:c r="B1283" s="3" t="str">
        <x:v>SEC013</x:v>
      </x:c>
      <x:c r="C1283" s="3" t="n">
        <x:v>4</x:v>
      </x:c>
      <x:c r="D1283" s="3" t="str">
        <x:v>present</x:v>
      </x:c>
      <x:c r="E1283" s="5" t="str">
        <x:f>VLOOKUP(B1283,Sections!$A$5:$I$45,3,FALSE)</x:f>
        <x:v>2025-1</x:v>
      </x:c>
    </x:row>
    <x:row r="1284" ht="21" customHeight="1">
      <x:c r="A1284" s="3" t="str">
        <x:v>2202017</x:v>
      </x:c>
      <x:c r="B1284" s="3" t="str">
        <x:v>SEC013</x:v>
      </x:c>
      <x:c r="C1284" s="3" t="n">
        <x:v>5</x:v>
      </x:c>
      <x:c r="D1284" s="3" t="str">
        <x:v>present</x:v>
      </x:c>
      <x:c r="E1284" s="5" t="str">
        <x:f>VLOOKUP(B1284,Sections!$A$5:$I$45,3,FALSE)</x:f>
        <x:v>2025-1</x:v>
      </x:c>
    </x:row>
    <x:row r="1285" ht="21" customHeight="1">
      <x:c r="A1285" s="3" t="str">
        <x:v>2202017</x:v>
      </x:c>
      <x:c r="B1285" s="3" t="str">
        <x:v>SEC013</x:v>
      </x:c>
      <x:c r="C1285" s="3" t="n">
        <x:v>6</x:v>
      </x:c>
      <x:c r="D1285" s="3" t="str">
        <x:v>present</x:v>
      </x:c>
      <x:c r="E1285" s="5" t="str">
        <x:f>VLOOKUP(B1285,Sections!$A$5:$I$45,3,FALSE)</x:f>
        <x:v>2025-1</x:v>
      </x:c>
    </x:row>
    <x:row r="1286" ht="21" customHeight="1">
      <x:c r="A1286" s="3" t="str">
        <x:v>2202017</x:v>
      </x:c>
      <x:c r="B1286" s="3" t="str">
        <x:v>SEC013</x:v>
      </x:c>
      <x:c r="C1286" s="3" t="n">
        <x:v>7</x:v>
      </x:c>
      <x:c r="D1286" s="3" t="str">
        <x:v>present</x:v>
      </x:c>
      <x:c r="E1286" s="5" t="str">
        <x:f>VLOOKUP(B1286,Sections!$A$5:$I$45,3,FALSE)</x:f>
        <x:v>2025-1</x:v>
      </x:c>
    </x:row>
    <x:row r="1287" ht="21" customHeight="1">
      <x:c r="A1287" s="3" t="str">
        <x:v>2202017</x:v>
      </x:c>
      <x:c r="B1287" s="3" t="str">
        <x:v>SEC013</x:v>
      </x:c>
      <x:c r="C1287" s="3" t="n">
        <x:v>8</x:v>
      </x:c>
      <x:c r="D1287" s="3" t="str">
        <x:v>present</x:v>
      </x:c>
      <x:c r="E1287" s="5" t="str">
        <x:f>VLOOKUP(B1287,Sections!$A$5:$I$45,3,FALSE)</x:f>
        <x:v>2025-1</x:v>
      </x:c>
    </x:row>
    <x:row r="1288" ht="21" customHeight="1">
      <x:c r="A1288" s="3" t="str">
        <x:v>2202017</x:v>
      </x:c>
      <x:c r="B1288" s="3" t="str">
        <x:v>SEC013</x:v>
      </x:c>
      <x:c r="C1288" s="3" t="n">
        <x:v>9</x:v>
      </x:c>
      <x:c r="D1288" s="3" t="str">
        <x:v>present</x:v>
      </x:c>
      <x:c r="E1288" s="5" t="str">
        <x:f>VLOOKUP(B1288,Sections!$A$5:$I$45,3,FALSE)</x:f>
        <x:v>2025-1</x:v>
      </x:c>
    </x:row>
    <x:row r="1289" ht="21" customHeight="1">
      <x:c r="A1289" s="3" t="str">
        <x:v>2202017</x:v>
      </x:c>
      <x:c r="B1289" s="3" t="str">
        <x:v>SEC013</x:v>
      </x:c>
      <x:c r="C1289" s="3" t="n">
        <x:v>10</x:v>
      </x:c>
      <x:c r="D1289" s="3" t="str">
        <x:v>present</x:v>
      </x:c>
      <x:c r="E1289" s="5" t="str">
        <x:f>VLOOKUP(B1289,Sections!$A$5:$I$45,3,FALSE)</x:f>
        <x:v>2025-1</x:v>
      </x:c>
    </x:row>
    <x:row r="1290" ht="21" customHeight="1">
      <x:c r="A1290" s="3" t="str">
        <x:v>2202017</x:v>
      </x:c>
      <x:c r="B1290" s="3" t="str">
        <x:v>SEC013</x:v>
      </x:c>
      <x:c r="C1290" s="3" t="n">
        <x:v>11</x:v>
      </x:c>
      <x:c r="D1290" s="3" t="str">
        <x:v>present</x:v>
      </x:c>
      <x:c r="E1290" s="5" t="str">
        <x:f>VLOOKUP(B1290,Sections!$A$5:$I$45,3,FALSE)</x:f>
        <x:v>2025-1</x:v>
      </x:c>
    </x:row>
    <x:row r="1291" ht="21" customHeight="1">
      <x:c r="A1291" s="3" t="str">
        <x:v>2202017</x:v>
      </x:c>
      <x:c r="B1291" s="3" t="str">
        <x:v>SEC013</x:v>
      </x:c>
      <x:c r="C1291" s="3" t="n">
        <x:v>12</x:v>
      </x:c>
      <x:c r="D1291" s="3" t="str">
        <x:v>present</x:v>
      </x:c>
      <x:c r="E1291" s="5" t="str">
        <x:f>VLOOKUP(B1291,Sections!$A$5:$I$45,3,FALSE)</x:f>
        <x:v>2025-1</x:v>
      </x:c>
    </x:row>
    <x:row r="1292" ht="21" customHeight="1">
      <x:c r="A1292" s="3" t="str">
        <x:v>2202017</x:v>
      </x:c>
      <x:c r="B1292" s="3" t="str">
        <x:v>SEC013</x:v>
      </x:c>
      <x:c r="C1292" s="3" t="n">
        <x:v>13</x:v>
      </x:c>
      <x:c r="D1292" s="3" t="str">
        <x:v>excused</x:v>
      </x:c>
      <x:c r="E1292" s="5" t="str">
        <x:f>VLOOKUP(B1292,Sections!$A$5:$I$45,3,FALSE)</x:f>
        <x:v>2025-1</x:v>
      </x:c>
    </x:row>
    <x:row r="1293" ht="21" customHeight="1">
      <x:c r="A1293" s="3" t="str">
        <x:v>2202017</x:v>
      </x:c>
      <x:c r="B1293" s="3" t="str">
        <x:v>SEC013</x:v>
      </x:c>
      <x:c r="C1293" s="3" t="n">
        <x:v>14</x:v>
      </x:c>
      <x:c r="D1293" s="3" t="str">
        <x:v>present</x:v>
      </x:c>
      <x:c r="E1293" s="5" t="str">
        <x:f>VLOOKUP(B1293,Sections!$A$5:$I$45,3,FALSE)</x:f>
        <x:v>2025-1</x:v>
      </x:c>
    </x:row>
    <x:row r="1294" ht="21" customHeight="1">
      <x:c r="A1294" s="3" t="str">
        <x:v>2202017</x:v>
      </x:c>
      <x:c r="B1294" s="3" t="str">
        <x:v>SEC013</x:v>
      </x:c>
      <x:c r="C1294" s="3" t="n">
        <x:v>15</x:v>
      </x:c>
      <x:c r="D1294" s="3" t="str">
        <x:v>present</x:v>
      </x:c>
      <x:c r="E1294" s="5" t="str">
        <x:f>VLOOKUP(B1294,Sections!$A$5:$I$45,3,FALSE)</x:f>
        <x:v>2025-1</x:v>
      </x:c>
    </x:row>
    <x:row r="1295" ht="21" customHeight="1">
      <x:c r="A1295" s="3" t="str">
        <x:v>2202018</x:v>
      </x:c>
      <x:c r="B1295" s="3" t="str">
        <x:v>SEC013</x:v>
      </x:c>
      <x:c r="C1295" s="3" t="n">
        <x:v>1</x:v>
      </x:c>
      <x:c r="D1295" s="3" t="str">
        <x:v>present</x:v>
      </x:c>
      <x:c r="E1295" s="5" t="str">
        <x:f>VLOOKUP(B1295,Sections!$A$5:$I$45,3,FALSE)</x:f>
        <x:v>2025-1</x:v>
      </x:c>
    </x:row>
    <x:row r="1296" ht="21" customHeight="1">
      <x:c r="A1296" s="3" t="str">
        <x:v>2202018</x:v>
      </x:c>
      <x:c r="B1296" s="3" t="str">
        <x:v>SEC013</x:v>
      </x:c>
      <x:c r="C1296" s="3" t="n">
        <x:v>2</x:v>
      </x:c>
      <x:c r="D1296" s="3" t="str">
        <x:v>present</x:v>
      </x:c>
      <x:c r="E1296" s="5" t="str">
        <x:f>VLOOKUP(B1296,Sections!$A$5:$I$45,3,FALSE)</x:f>
        <x:v>2025-1</x:v>
      </x:c>
    </x:row>
    <x:row r="1297" ht="21" customHeight="1">
      <x:c r="A1297" s="3" t="str">
        <x:v>2202018</x:v>
      </x:c>
      <x:c r="B1297" s="3" t="str">
        <x:v>SEC013</x:v>
      </x:c>
      <x:c r="C1297" s="3" t="n">
        <x:v>3</x:v>
      </x:c>
      <x:c r="D1297" s="3" t="str">
        <x:v>present</x:v>
      </x:c>
      <x:c r="E1297" s="5" t="str">
        <x:f>VLOOKUP(B1297,Sections!$A$5:$I$45,3,FALSE)</x:f>
        <x:v>2025-1</x:v>
      </x:c>
    </x:row>
    <x:row r="1298" ht="21" customHeight="1">
      <x:c r="A1298" s="3" t="str">
        <x:v>2202018</x:v>
      </x:c>
      <x:c r="B1298" s="3" t="str">
        <x:v>SEC013</x:v>
      </x:c>
      <x:c r="C1298" s="3" t="n">
        <x:v>4</x:v>
      </x:c>
      <x:c r="D1298" s="3" t="str">
        <x:v>absent</x:v>
      </x:c>
      <x:c r="E1298" s="5" t="str">
        <x:f>VLOOKUP(B1298,Sections!$A$5:$I$45,3,FALSE)</x:f>
        <x:v>2025-1</x:v>
      </x:c>
    </x:row>
    <x:row r="1299" ht="21" customHeight="1">
      <x:c r="A1299" s="3" t="str">
        <x:v>2202018</x:v>
      </x:c>
      <x:c r="B1299" s="3" t="str">
        <x:v>SEC013</x:v>
      </x:c>
      <x:c r="C1299" s="3" t="n">
        <x:v>5</x:v>
      </x:c>
      <x:c r="D1299" s="3" t="str">
        <x:v>present</x:v>
      </x:c>
      <x:c r="E1299" s="5" t="str">
        <x:f>VLOOKUP(B1299,Sections!$A$5:$I$45,3,FALSE)</x:f>
        <x:v>2025-1</x:v>
      </x:c>
    </x:row>
    <x:row r="1300" ht="21" customHeight="1">
      <x:c r="A1300" s="3" t="str">
        <x:v>2202018</x:v>
      </x:c>
      <x:c r="B1300" s="3" t="str">
        <x:v>SEC013</x:v>
      </x:c>
      <x:c r="C1300" s="3" t="n">
        <x:v>6</x:v>
      </x:c>
      <x:c r="D1300" s="3" t="str">
        <x:v>present</x:v>
      </x:c>
      <x:c r="E1300" s="5" t="str">
        <x:f>VLOOKUP(B1300,Sections!$A$5:$I$45,3,FALSE)</x:f>
        <x:v>2025-1</x:v>
      </x:c>
    </x:row>
    <x:row r="1301" ht="21" customHeight="1">
      <x:c r="A1301" s="3" t="str">
        <x:v>2202018</x:v>
      </x:c>
      <x:c r="B1301" s="3" t="str">
        <x:v>SEC013</x:v>
      </x:c>
      <x:c r="C1301" s="3" t="n">
        <x:v>7</x:v>
      </x:c>
      <x:c r="D1301" s="3" t="str">
        <x:v>present</x:v>
      </x:c>
      <x:c r="E1301" s="5" t="str">
        <x:f>VLOOKUP(B1301,Sections!$A$5:$I$45,3,FALSE)</x:f>
        <x:v>2025-1</x:v>
      </x:c>
    </x:row>
    <x:row r="1302" ht="21" customHeight="1">
      <x:c r="A1302" s="3" t="str">
        <x:v>2202018</x:v>
      </x:c>
      <x:c r="B1302" s="3" t="str">
        <x:v>SEC013</x:v>
      </x:c>
      <x:c r="C1302" s="3" t="n">
        <x:v>8</x:v>
      </x:c>
      <x:c r="D1302" s="3" t="str">
        <x:v>present</x:v>
      </x:c>
      <x:c r="E1302" s="5" t="str">
        <x:f>VLOOKUP(B1302,Sections!$A$5:$I$45,3,FALSE)</x:f>
        <x:v>2025-1</x:v>
      </x:c>
    </x:row>
    <x:row r="1303" ht="21" customHeight="1">
      <x:c r="A1303" s="3" t="str">
        <x:v>2202018</x:v>
      </x:c>
      <x:c r="B1303" s="3" t="str">
        <x:v>SEC013</x:v>
      </x:c>
      <x:c r="C1303" s="3" t="n">
        <x:v>9</x:v>
      </x:c>
      <x:c r="D1303" s="3" t="str">
        <x:v>present</x:v>
      </x:c>
      <x:c r="E1303" s="5" t="str">
        <x:f>VLOOKUP(B1303,Sections!$A$5:$I$45,3,FALSE)</x:f>
        <x:v>2025-1</x:v>
      </x:c>
    </x:row>
    <x:row r="1304" ht="21" customHeight="1">
      <x:c r="A1304" s="3" t="str">
        <x:v>2202018</x:v>
      </x:c>
      <x:c r="B1304" s="3" t="str">
        <x:v>SEC013</x:v>
      </x:c>
      <x:c r="C1304" s="3" t="n">
        <x:v>10</x:v>
      </x:c>
      <x:c r="D1304" s="3" t="str">
        <x:v>present</x:v>
      </x:c>
      <x:c r="E1304" s="5" t="str">
        <x:f>VLOOKUP(B1304,Sections!$A$5:$I$45,3,FALSE)</x:f>
        <x:v>2025-1</x:v>
      </x:c>
    </x:row>
    <x:row r="1305" ht="21" customHeight="1">
      <x:c r="A1305" s="3" t="str">
        <x:v>2202018</x:v>
      </x:c>
      <x:c r="B1305" s="3" t="str">
        <x:v>SEC013</x:v>
      </x:c>
      <x:c r="C1305" s="3" t="n">
        <x:v>11</x:v>
      </x:c>
      <x:c r="D1305" s="3" t="str">
        <x:v>present</x:v>
      </x:c>
      <x:c r="E1305" s="5" t="str">
        <x:f>VLOOKUP(B1305,Sections!$A$5:$I$45,3,FALSE)</x:f>
        <x:v>2025-1</x:v>
      </x:c>
    </x:row>
    <x:row r="1306" ht="21" customHeight="1">
      <x:c r="A1306" s="3" t="str">
        <x:v>2202018</x:v>
      </x:c>
      <x:c r="B1306" s="3" t="str">
        <x:v>SEC013</x:v>
      </x:c>
      <x:c r="C1306" s="3" t="n">
        <x:v>12</x:v>
      </x:c>
      <x:c r="D1306" s="3" t="str">
        <x:v>excused</x:v>
      </x:c>
      <x:c r="E1306" s="5" t="str">
        <x:f>VLOOKUP(B1306,Sections!$A$5:$I$45,3,FALSE)</x:f>
        <x:v>2025-1</x:v>
      </x:c>
    </x:row>
    <x:row r="1307" ht="21" customHeight="1">
      <x:c r="A1307" s="3" t="str">
        <x:v>2202018</x:v>
      </x:c>
      <x:c r="B1307" s="3" t="str">
        <x:v>SEC013</x:v>
      </x:c>
      <x:c r="C1307" s="3" t="n">
        <x:v>13</x:v>
      </x:c>
      <x:c r="D1307" s="3" t="str">
        <x:v>present</x:v>
      </x:c>
      <x:c r="E1307" s="5" t="str">
        <x:f>VLOOKUP(B1307,Sections!$A$5:$I$45,3,FALSE)</x:f>
        <x:v>2025-1</x:v>
      </x:c>
    </x:row>
    <x:row r="1308" ht="21" customHeight="1">
      <x:c r="A1308" s="3" t="str">
        <x:v>2202018</x:v>
      </x:c>
      <x:c r="B1308" s="3" t="str">
        <x:v>SEC013</x:v>
      </x:c>
      <x:c r="C1308" s="3" t="n">
        <x:v>14</x:v>
      </x:c>
      <x:c r="D1308" s="3" t="str">
        <x:v>present</x:v>
      </x:c>
      <x:c r="E1308" s="5" t="str">
        <x:f>VLOOKUP(B1308,Sections!$A$5:$I$45,3,FALSE)</x:f>
        <x:v>2025-1</x:v>
      </x:c>
    </x:row>
    <x:row r="1309" ht="21" customHeight="1">
      <x:c r="A1309" s="3" t="str">
        <x:v>2202018</x:v>
      </x:c>
      <x:c r="B1309" s="3" t="str">
        <x:v>SEC013</x:v>
      </x:c>
      <x:c r="C1309" s="3" t="n">
        <x:v>15</x:v>
      </x:c>
      <x:c r="D1309" s="3" t="str">
        <x:v>present</x:v>
      </x:c>
      <x:c r="E1309" s="5" t="str">
        <x:f>VLOOKUP(B1309,Sections!$A$5:$I$45,3,FALSE)</x:f>
        <x:v>2025-1</x:v>
      </x:c>
    </x:row>
    <x:row r="1310" ht="21" customHeight="1">
      <x:c r="A1310" s="3" t="str">
        <x:v>2202019</x:v>
      </x:c>
      <x:c r="B1310" s="3" t="str">
        <x:v>SEC013</x:v>
      </x:c>
      <x:c r="C1310" s="3" t="n">
        <x:v>1</x:v>
      </x:c>
      <x:c r="D1310" s="3" t="str">
        <x:v>present</x:v>
      </x:c>
      <x:c r="E1310" s="5" t="str">
        <x:f>VLOOKUP(B1310,Sections!$A$5:$I$45,3,FALSE)</x:f>
        <x:v>2025-1</x:v>
      </x:c>
    </x:row>
    <x:row r="1311" ht="21" customHeight="1">
      <x:c r="A1311" s="3" t="str">
        <x:v>2202019</x:v>
      </x:c>
      <x:c r="B1311" s="3" t="str">
        <x:v>SEC013</x:v>
      </x:c>
      <x:c r="C1311" s="3" t="n">
        <x:v>2</x:v>
      </x:c>
      <x:c r="D1311" s="3" t="str">
        <x:v>present</x:v>
      </x:c>
      <x:c r="E1311" s="5" t="str">
        <x:f>VLOOKUP(B1311,Sections!$A$5:$I$45,3,FALSE)</x:f>
        <x:v>2025-1</x:v>
      </x:c>
    </x:row>
    <x:row r="1312" ht="21" customHeight="1">
      <x:c r="A1312" s="3" t="str">
        <x:v>2202019</x:v>
      </x:c>
      <x:c r="B1312" s="3" t="str">
        <x:v>SEC013</x:v>
      </x:c>
      <x:c r="C1312" s="3" t="n">
        <x:v>3</x:v>
      </x:c>
      <x:c r="D1312" s="3" t="str">
        <x:v>present</x:v>
      </x:c>
      <x:c r="E1312" s="5" t="str">
        <x:f>VLOOKUP(B1312,Sections!$A$5:$I$45,3,FALSE)</x:f>
        <x:v>2025-1</x:v>
      </x:c>
    </x:row>
    <x:row r="1313" ht="21" customHeight="1">
      <x:c r="A1313" s="3" t="str">
        <x:v>2202019</x:v>
      </x:c>
      <x:c r="B1313" s="3" t="str">
        <x:v>SEC013</x:v>
      </x:c>
      <x:c r="C1313" s="3" t="n">
        <x:v>4</x:v>
      </x:c>
      <x:c r="D1313" s="3" t="str">
        <x:v>present</x:v>
      </x:c>
      <x:c r="E1313" s="5" t="str">
        <x:f>VLOOKUP(B1313,Sections!$A$5:$I$45,3,FALSE)</x:f>
        <x:v>2025-1</x:v>
      </x:c>
    </x:row>
    <x:row r="1314" ht="21" customHeight="1">
      <x:c r="A1314" s="3" t="str">
        <x:v>2202019</x:v>
      </x:c>
      <x:c r="B1314" s="3" t="str">
        <x:v>SEC013</x:v>
      </x:c>
      <x:c r="C1314" s="3" t="n">
        <x:v>5</x:v>
      </x:c>
      <x:c r="D1314" s="3" t="str">
        <x:v>absent</x:v>
      </x:c>
      <x:c r="E1314" s="5" t="str">
        <x:f>VLOOKUP(B1314,Sections!$A$5:$I$45,3,FALSE)</x:f>
        <x:v>2025-1</x:v>
      </x:c>
    </x:row>
    <x:row r="1315" ht="21" customHeight="1">
      <x:c r="A1315" s="3" t="str">
        <x:v>2202019</x:v>
      </x:c>
      <x:c r="B1315" s="3" t="str">
        <x:v>SEC013</x:v>
      </x:c>
      <x:c r="C1315" s="3" t="n">
        <x:v>6</x:v>
      </x:c>
      <x:c r="D1315" s="3" t="str">
        <x:v>present</x:v>
      </x:c>
      <x:c r="E1315" s="5" t="str">
        <x:f>VLOOKUP(B1315,Sections!$A$5:$I$45,3,FALSE)</x:f>
        <x:v>2025-1</x:v>
      </x:c>
    </x:row>
    <x:row r="1316" ht="21" customHeight="1">
      <x:c r="A1316" s="3" t="str">
        <x:v>2202019</x:v>
      </x:c>
      <x:c r="B1316" s="3" t="str">
        <x:v>SEC013</x:v>
      </x:c>
      <x:c r="C1316" s="3" t="n">
        <x:v>7</x:v>
      </x:c>
      <x:c r="D1316" s="3" t="str">
        <x:v>present</x:v>
      </x:c>
      <x:c r="E1316" s="5" t="str">
        <x:f>VLOOKUP(B1316,Sections!$A$5:$I$45,3,FALSE)</x:f>
        <x:v>2025-1</x:v>
      </x:c>
    </x:row>
    <x:row r="1317" ht="21" customHeight="1">
      <x:c r="A1317" s="3" t="str">
        <x:v>2202019</x:v>
      </x:c>
      <x:c r="B1317" s="3" t="str">
        <x:v>SEC013</x:v>
      </x:c>
      <x:c r="C1317" s="3" t="n">
        <x:v>8</x:v>
      </x:c>
      <x:c r="D1317" s="3" t="str">
        <x:v>present</x:v>
      </x:c>
      <x:c r="E1317" s="5" t="str">
        <x:f>VLOOKUP(B1317,Sections!$A$5:$I$45,3,FALSE)</x:f>
        <x:v>2025-1</x:v>
      </x:c>
    </x:row>
    <x:row r="1318" ht="21" customHeight="1">
      <x:c r="A1318" s="3" t="str">
        <x:v>2202019</x:v>
      </x:c>
      <x:c r="B1318" s="3" t="str">
        <x:v>SEC013</x:v>
      </x:c>
      <x:c r="C1318" s="3" t="n">
        <x:v>9</x:v>
      </x:c>
      <x:c r="D1318" s="3" t="str">
        <x:v>present</x:v>
      </x:c>
      <x:c r="E1318" s="5" t="str">
        <x:f>VLOOKUP(B1318,Sections!$A$5:$I$45,3,FALSE)</x:f>
        <x:v>2025-1</x:v>
      </x:c>
    </x:row>
    <x:row r="1319" ht="21" customHeight="1">
      <x:c r="A1319" s="3" t="str">
        <x:v>2202019</x:v>
      </x:c>
      <x:c r="B1319" s="3" t="str">
        <x:v>SEC013</x:v>
      </x:c>
      <x:c r="C1319" s="3" t="n">
        <x:v>10</x:v>
      </x:c>
      <x:c r="D1319" s="3" t="str">
        <x:v>late</x:v>
      </x:c>
      <x:c r="E1319" s="5" t="str">
        <x:f>VLOOKUP(B1319,Sections!$A$5:$I$45,3,FALSE)</x:f>
        <x:v>2025-1</x:v>
      </x:c>
    </x:row>
    <x:row r="1320" ht="21" customHeight="1">
      <x:c r="A1320" s="3" t="str">
        <x:v>2202019</x:v>
      </x:c>
      <x:c r="B1320" s="3" t="str">
        <x:v>SEC013</x:v>
      </x:c>
      <x:c r="C1320" s="3" t="n">
        <x:v>11</x:v>
      </x:c>
      <x:c r="D1320" s="3" t="str">
        <x:v>present</x:v>
      </x:c>
      <x:c r="E1320" s="5" t="str">
        <x:f>VLOOKUP(B1320,Sections!$A$5:$I$45,3,FALSE)</x:f>
        <x:v>2025-1</x:v>
      </x:c>
    </x:row>
    <x:row r="1321" ht="21" customHeight="1">
      <x:c r="A1321" s="3" t="str">
        <x:v>2202019</x:v>
      </x:c>
      <x:c r="B1321" s="3" t="str">
        <x:v>SEC013</x:v>
      </x:c>
      <x:c r="C1321" s="3" t="n">
        <x:v>12</x:v>
      </x:c>
      <x:c r="D1321" s="3" t="str">
        <x:v>present</x:v>
      </x:c>
      <x:c r="E1321" s="5" t="str">
        <x:f>VLOOKUP(B1321,Sections!$A$5:$I$45,3,FALSE)</x:f>
        <x:v>2025-1</x:v>
      </x:c>
    </x:row>
    <x:row r="1322" ht="21" customHeight="1">
      <x:c r="A1322" s="3" t="str">
        <x:v>2202019</x:v>
      </x:c>
      <x:c r="B1322" s="3" t="str">
        <x:v>SEC013</x:v>
      </x:c>
      <x:c r="C1322" s="3" t="n">
        <x:v>13</x:v>
      </x:c>
      <x:c r="D1322" s="3" t="str">
        <x:v>present</x:v>
      </x:c>
      <x:c r="E1322" s="5" t="str">
        <x:f>VLOOKUP(B1322,Sections!$A$5:$I$45,3,FALSE)</x:f>
        <x:v>2025-1</x:v>
      </x:c>
    </x:row>
    <x:row r="1323" ht="21" customHeight="1">
      <x:c r="A1323" s="3" t="str">
        <x:v>2202019</x:v>
      </x:c>
      <x:c r="B1323" s="3" t="str">
        <x:v>SEC013</x:v>
      </x:c>
      <x:c r="C1323" s="3" t="n">
        <x:v>14</x:v>
      </x:c>
      <x:c r="D1323" s="3" t="str">
        <x:v>present</x:v>
      </x:c>
      <x:c r="E1323" s="5" t="str">
        <x:f>VLOOKUP(B1323,Sections!$A$5:$I$45,3,FALSE)</x:f>
        <x:v>2025-1</x:v>
      </x:c>
    </x:row>
    <x:row r="1324" ht="21" customHeight="1">
      <x:c r="A1324" s="3" t="str">
        <x:v>2202019</x:v>
      </x:c>
      <x:c r="B1324" s="3" t="str">
        <x:v>SEC013</x:v>
      </x:c>
      <x:c r="C1324" s="3" t="n">
        <x:v>15</x:v>
      </x:c>
      <x:c r="D1324" s="3" t="str">
        <x:v>present</x:v>
      </x:c>
      <x:c r="E1324" s="5" t="str">
        <x:f>VLOOKUP(B1324,Sections!$A$5:$I$45,3,FALSE)</x:f>
        <x:v>2025-1</x:v>
      </x:c>
    </x:row>
    <x:row r="1325" ht="21" customHeight="1">
      <x:c r="A1325" s="3" t="str">
        <x:v>2202020</x:v>
      </x:c>
      <x:c r="B1325" s="3" t="str">
        <x:v>SEC013</x:v>
      </x:c>
      <x:c r="C1325" s="3" t="n">
        <x:v>1</x:v>
      </x:c>
      <x:c r="D1325" s="3" t="str">
        <x:v>present</x:v>
      </x:c>
      <x:c r="E1325" s="5" t="str">
        <x:f>VLOOKUP(B1325,Sections!$A$5:$I$45,3,FALSE)</x:f>
        <x:v>2025-1</x:v>
      </x:c>
    </x:row>
    <x:row r="1326" ht="21" customHeight="1">
      <x:c r="A1326" s="3" t="str">
        <x:v>2202020</x:v>
      </x:c>
      <x:c r="B1326" s="3" t="str">
        <x:v>SEC013</x:v>
      </x:c>
      <x:c r="C1326" s="3" t="n">
        <x:v>2</x:v>
      </x:c>
      <x:c r="D1326" s="3" t="str">
        <x:v>absent</x:v>
      </x:c>
      <x:c r="E1326" s="5" t="str">
        <x:f>VLOOKUP(B1326,Sections!$A$5:$I$45,3,FALSE)</x:f>
        <x:v>2025-1</x:v>
      </x:c>
    </x:row>
    <x:row r="1327" ht="21" customHeight="1">
      <x:c r="A1327" s="3" t="str">
        <x:v>2202020</x:v>
      </x:c>
      <x:c r="B1327" s="3" t="str">
        <x:v>SEC013</x:v>
      </x:c>
      <x:c r="C1327" s="3" t="n">
        <x:v>3</x:v>
      </x:c>
      <x:c r="D1327" s="3" t="str">
        <x:v>absent</x:v>
      </x:c>
      <x:c r="E1327" s="5" t="str">
        <x:f>VLOOKUP(B1327,Sections!$A$5:$I$45,3,FALSE)</x:f>
        <x:v>2025-1</x:v>
      </x:c>
    </x:row>
    <x:row r="1328" ht="21" customHeight="1">
      <x:c r="A1328" s="3" t="str">
        <x:v>2202020</x:v>
      </x:c>
      <x:c r="B1328" s="3" t="str">
        <x:v>SEC013</x:v>
      </x:c>
      <x:c r="C1328" s="3" t="n">
        <x:v>4</x:v>
      </x:c>
      <x:c r="D1328" s="3" t="str">
        <x:v>present</x:v>
      </x:c>
      <x:c r="E1328" s="5" t="str">
        <x:f>VLOOKUP(B1328,Sections!$A$5:$I$45,3,FALSE)</x:f>
        <x:v>2025-1</x:v>
      </x:c>
    </x:row>
    <x:row r="1329" ht="21" customHeight="1">
      <x:c r="A1329" s="3" t="str">
        <x:v>2202020</x:v>
      </x:c>
      <x:c r="B1329" s="3" t="str">
        <x:v>SEC013</x:v>
      </x:c>
      <x:c r="C1329" s="3" t="n">
        <x:v>5</x:v>
      </x:c>
      <x:c r="D1329" s="3" t="str">
        <x:v>present</x:v>
      </x:c>
      <x:c r="E1329" s="5" t="str">
        <x:f>VLOOKUP(B1329,Sections!$A$5:$I$45,3,FALSE)</x:f>
        <x:v>2025-1</x:v>
      </x:c>
    </x:row>
    <x:row r="1330" ht="21" customHeight="1">
      <x:c r="A1330" s="3" t="str">
        <x:v>2202020</x:v>
      </x:c>
      <x:c r="B1330" s="3" t="str">
        <x:v>SEC013</x:v>
      </x:c>
      <x:c r="C1330" s="3" t="n">
        <x:v>6</x:v>
      </x:c>
      <x:c r="D1330" s="3" t="str">
        <x:v>absent</x:v>
      </x:c>
      <x:c r="E1330" s="5" t="str">
        <x:f>VLOOKUP(B1330,Sections!$A$5:$I$45,3,FALSE)</x:f>
        <x:v>2025-1</x:v>
      </x:c>
    </x:row>
    <x:row r="1331" ht="21" customHeight="1">
      <x:c r="A1331" s="3" t="str">
        <x:v>2202020</x:v>
      </x:c>
      <x:c r="B1331" s="3" t="str">
        <x:v>SEC013</x:v>
      </x:c>
      <x:c r="C1331" s="3" t="n">
        <x:v>7</x:v>
      </x:c>
      <x:c r="D1331" s="3" t="str">
        <x:v>present</x:v>
      </x:c>
      <x:c r="E1331" s="5" t="str">
        <x:f>VLOOKUP(B1331,Sections!$A$5:$I$45,3,FALSE)</x:f>
        <x:v>2025-1</x:v>
      </x:c>
    </x:row>
    <x:row r="1332" ht="21" customHeight="1">
      <x:c r="A1332" s="3" t="str">
        <x:v>2202020</x:v>
      </x:c>
      <x:c r="B1332" s="3" t="str">
        <x:v>SEC013</x:v>
      </x:c>
      <x:c r="C1332" s="3" t="n">
        <x:v>8</x:v>
      </x:c>
      <x:c r="D1332" s="3" t="str">
        <x:v>present</x:v>
      </x:c>
      <x:c r="E1332" s="5" t="str">
        <x:f>VLOOKUP(B1332,Sections!$A$5:$I$45,3,FALSE)</x:f>
        <x:v>2025-1</x:v>
      </x:c>
    </x:row>
    <x:row r="1333" ht="21" customHeight="1">
      <x:c r="A1333" s="3" t="str">
        <x:v>2202020</x:v>
      </x:c>
      <x:c r="B1333" s="3" t="str">
        <x:v>SEC013</x:v>
      </x:c>
      <x:c r="C1333" s="3" t="n">
        <x:v>9</x:v>
      </x:c>
      <x:c r="D1333" s="3" t="str">
        <x:v>present</x:v>
      </x:c>
      <x:c r="E1333" s="5" t="str">
        <x:f>VLOOKUP(B1333,Sections!$A$5:$I$45,3,FALSE)</x:f>
        <x:v>2025-1</x:v>
      </x:c>
    </x:row>
    <x:row r="1334" ht="21" customHeight="1">
      <x:c r="A1334" s="3" t="str">
        <x:v>2202020</x:v>
      </x:c>
      <x:c r="B1334" s="3" t="str">
        <x:v>SEC013</x:v>
      </x:c>
      <x:c r="C1334" s="3" t="n">
        <x:v>10</x:v>
      </x:c>
      <x:c r="D1334" s="3" t="str">
        <x:v>present</x:v>
      </x:c>
      <x:c r="E1334" s="5" t="str">
        <x:f>VLOOKUP(B1334,Sections!$A$5:$I$45,3,FALSE)</x:f>
        <x:v>2025-1</x:v>
      </x:c>
    </x:row>
    <x:row r="1335" ht="21" customHeight="1">
      <x:c r="A1335" s="3" t="str">
        <x:v>2202020</x:v>
      </x:c>
      <x:c r="B1335" s="3" t="str">
        <x:v>SEC013</x:v>
      </x:c>
      <x:c r="C1335" s="3" t="n">
        <x:v>11</x:v>
      </x:c>
      <x:c r="D1335" s="3" t="str">
        <x:v>late</x:v>
      </x:c>
      <x:c r="E1335" s="5" t="str">
        <x:f>VLOOKUP(B1335,Sections!$A$5:$I$45,3,FALSE)</x:f>
        <x:v>2025-1</x:v>
      </x:c>
    </x:row>
    <x:row r="1336" ht="21" customHeight="1">
      <x:c r="A1336" s="3" t="str">
        <x:v>2202020</x:v>
      </x:c>
      <x:c r="B1336" s="3" t="str">
        <x:v>SEC013</x:v>
      </x:c>
      <x:c r="C1336" s="3" t="n">
        <x:v>12</x:v>
      </x:c>
      <x:c r="D1336" s="3" t="str">
        <x:v>present</x:v>
      </x:c>
      <x:c r="E1336" s="5" t="str">
        <x:f>VLOOKUP(B1336,Sections!$A$5:$I$45,3,FALSE)</x:f>
        <x:v>2025-1</x:v>
      </x:c>
    </x:row>
    <x:row r="1337" ht="21" customHeight="1">
      <x:c r="A1337" s="3" t="str">
        <x:v>2202020</x:v>
      </x:c>
      <x:c r="B1337" s="3" t="str">
        <x:v>SEC013</x:v>
      </x:c>
      <x:c r="C1337" s="3" t="n">
        <x:v>13</x:v>
      </x:c>
      <x:c r="D1337" s="3" t="str">
        <x:v>absent</x:v>
      </x:c>
      <x:c r="E1337" s="5" t="str">
        <x:f>VLOOKUP(B1337,Sections!$A$5:$I$45,3,FALSE)</x:f>
        <x:v>2025-1</x:v>
      </x:c>
    </x:row>
    <x:row r="1338" ht="21" customHeight="1">
      <x:c r="A1338" s="3" t="str">
        <x:v>2202020</x:v>
      </x:c>
      <x:c r="B1338" s="3" t="str">
        <x:v>SEC013</x:v>
      </x:c>
      <x:c r="C1338" s="3" t="n">
        <x:v>14</x:v>
      </x:c>
      <x:c r="D1338" s="3" t="str">
        <x:v>absent</x:v>
      </x:c>
      <x:c r="E1338" s="5" t="str">
        <x:f>VLOOKUP(B1338,Sections!$A$5:$I$45,3,FALSE)</x:f>
        <x:v>2025-1</x:v>
      </x:c>
    </x:row>
    <x:row r="1339" ht="21" customHeight="1">
      <x:c r="A1339" s="3" t="str">
        <x:v>2202020</x:v>
      </x:c>
      <x:c r="B1339" s="3" t="str">
        <x:v>SEC013</x:v>
      </x:c>
      <x:c r="C1339" s="3" t="n">
        <x:v>15</x:v>
      </x:c>
      <x:c r="D1339" s="3" t="str">
        <x:v>absent</x:v>
      </x:c>
      <x:c r="E1339" s="5" t="str">
        <x:f>VLOOKUP(B1339,Sections!$A$5:$I$45,3,FALSE)</x:f>
        <x:v>2025-1</x:v>
      </x:c>
    </x:row>
    <x:row r="1340" ht="21" customHeight="1">
      <x:c r="A1340" s="3" t="str">
        <x:v>2201001</x:v>
      </x:c>
      <x:c r="B1340" s="3" t="str">
        <x:v>SEC014</x:v>
      </x:c>
      <x:c r="C1340" s="3" t="n">
        <x:v>1</x:v>
      </x:c>
      <x:c r="D1340" s="3" t="str">
        <x:v>present</x:v>
      </x:c>
      <x:c r="E1340" s="5" t="str">
        <x:f>VLOOKUP(B1340,Sections!$A$5:$I$45,3,FALSE)</x:f>
        <x:v>2024-1</x:v>
      </x:c>
    </x:row>
    <x:row r="1341" ht="21" customHeight="1">
      <x:c r="A1341" s="3" t="str">
        <x:v>2201001</x:v>
      </x:c>
      <x:c r="B1341" s="3" t="str">
        <x:v>SEC014</x:v>
      </x:c>
      <x:c r="C1341" s="3" t="n">
        <x:v>2</x:v>
      </x:c>
      <x:c r="D1341" s="3" t="str">
        <x:v>present</x:v>
      </x:c>
      <x:c r="E1341" s="5" t="str">
        <x:f>VLOOKUP(B1341,Sections!$A$5:$I$45,3,FALSE)</x:f>
        <x:v>2024-1</x:v>
      </x:c>
    </x:row>
    <x:row r="1342" ht="21" customHeight="1">
      <x:c r="A1342" s="3" t="str">
        <x:v>2201001</x:v>
      </x:c>
      <x:c r="B1342" s="3" t="str">
        <x:v>SEC014</x:v>
      </x:c>
      <x:c r="C1342" s="3" t="n">
        <x:v>3</x:v>
      </x:c>
      <x:c r="D1342" s="3" t="str">
        <x:v>present</x:v>
      </x:c>
      <x:c r="E1342" s="5" t="str">
        <x:f>VLOOKUP(B1342,Sections!$A$5:$I$45,3,FALSE)</x:f>
        <x:v>2024-1</x:v>
      </x:c>
    </x:row>
    <x:row r="1343" ht="21" customHeight="1">
      <x:c r="A1343" s="3" t="str">
        <x:v>2201001</x:v>
      </x:c>
      <x:c r="B1343" s="3" t="str">
        <x:v>SEC014</x:v>
      </x:c>
      <x:c r="C1343" s="3" t="n">
        <x:v>4</x:v>
      </x:c>
      <x:c r="D1343" s="3" t="str">
        <x:v>present</x:v>
      </x:c>
      <x:c r="E1343" s="5" t="str">
        <x:f>VLOOKUP(B1343,Sections!$A$5:$I$45,3,FALSE)</x:f>
        <x:v>2024-1</x:v>
      </x:c>
    </x:row>
    <x:row r="1344" ht="21" customHeight="1">
      <x:c r="A1344" s="3" t="str">
        <x:v>2201001</x:v>
      </x:c>
      <x:c r="B1344" s="3" t="str">
        <x:v>SEC014</x:v>
      </x:c>
      <x:c r="C1344" s="3" t="n">
        <x:v>5</x:v>
      </x:c>
      <x:c r="D1344" s="3" t="str">
        <x:v>present</x:v>
      </x:c>
      <x:c r="E1344" s="5" t="str">
        <x:f>VLOOKUP(B1344,Sections!$A$5:$I$45,3,FALSE)</x:f>
        <x:v>2024-1</x:v>
      </x:c>
    </x:row>
    <x:row r="1345" ht="21" customHeight="1">
      <x:c r="A1345" s="3" t="str">
        <x:v>2201001</x:v>
      </x:c>
      <x:c r="B1345" s="3" t="str">
        <x:v>SEC014</x:v>
      </x:c>
      <x:c r="C1345" s="3" t="n">
        <x:v>6</x:v>
      </x:c>
      <x:c r="D1345" s="3" t="str">
        <x:v>present</x:v>
      </x:c>
      <x:c r="E1345" s="5" t="str">
        <x:f>VLOOKUP(B1345,Sections!$A$5:$I$45,3,FALSE)</x:f>
        <x:v>2024-1</x:v>
      </x:c>
    </x:row>
    <x:row r="1346" ht="21" customHeight="1">
      <x:c r="A1346" s="3" t="str">
        <x:v>2201001</x:v>
      </x:c>
      <x:c r="B1346" s="3" t="str">
        <x:v>SEC014</x:v>
      </x:c>
      <x:c r="C1346" s="3" t="n">
        <x:v>7</x:v>
      </x:c>
      <x:c r="D1346" s="3" t="str">
        <x:v>present</x:v>
      </x:c>
      <x:c r="E1346" s="5" t="str">
        <x:f>VLOOKUP(B1346,Sections!$A$5:$I$45,3,FALSE)</x:f>
        <x:v>2024-1</x:v>
      </x:c>
    </x:row>
    <x:row r="1347" ht="21" customHeight="1">
      <x:c r="A1347" s="3" t="str">
        <x:v>2201001</x:v>
      </x:c>
      <x:c r="B1347" s="3" t="str">
        <x:v>SEC014</x:v>
      </x:c>
      <x:c r="C1347" s="3" t="n">
        <x:v>8</x:v>
      </x:c>
      <x:c r="D1347" s="3" t="str">
        <x:v>late</x:v>
      </x:c>
      <x:c r="E1347" s="5" t="str">
        <x:f>VLOOKUP(B1347,Sections!$A$5:$I$45,3,FALSE)</x:f>
        <x:v>2024-1</x:v>
      </x:c>
    </x:row>
    <x:row r="1348" ht="21" customHeight="1">
      <x:c r="A1348" s="3" t="str">
        <x:v>2201001</x:v>
      </x:c>
      <x:c r="B1348" s="3" t="str">
        <x:v>SEC014</x:v>
      </x:c>
      <x:c r="C1348" s="3" t="n">
        <x:v>9</x:v>
      </x:c>
      <x:c r="D1348" s="3" t="str">
        <x:v>present</x:v>
      </x:c>
      <x:c r="E1348" s="5" t="str">
        <x:f>VLOOKUP(B1348,Sections!$A$5:$I$45,3,FALSE)</x:f>
        <x:v>2024-1</x:v>
      </x:c>
    </x:row>
    <x:row r="1349" ht="21" customHeight="1">
      <x:c r="A1349" s="3" t="str">
        <x:v>2201001</x:v>
      </x:c>
      <x:c r="B1349" s="3" t="str">
        <x:v>SEC014</x:v>
      </x:c>
      <x:c r="C1349" s="3" t="n">
        <x:v>10</x:v>
      </x:c>
      <x:c r="D1349" s="3" t="str">
        <x:v>present</x:v>
      </x:c>
      <x:c r="E1349" s="5" t="str">
        <x:f>VLOOKUP(B1349,Sections!$A$5:$I$45,3,FALSE)</x:f>
        <x:v>2024-1</x:v>
      </x:c>
    </x:row>
    <x:row r="1350" ht="21" customHeight="1">
      <x:c r="A1350" s="3" t="str">
        <x:v>2201001</x:v>
      </x:c>
      <x:c r="B1350" s="3" t="str">
        <x:v>SEC014</x:v>
      </x:c>
      <x:c r="C1350" s="3" t="n">
        <x:v>11</x:v>
      </x:c>
      <x:c r="D1350" s="3" t="str">
        <x:v>present</x:v>
      </x:c>
      <x:c r="E1350" s="5" t="str">
        <x:f>VLOOKUP(B1350,Sections!$A$5:$I$45,3,FALSE)</x:f>
        <x:v>2024-1</x:v>
      </x:c>
    </x:row>
    <x:row r="1351" ht="21" customHeight="1">
      <x:c r="A1351" s="3" t="str">
        <x:v>2201001</x:v>
      </x:c>
      <x:c r="B1351" s="3" t="str">
        <x:v>SEC014</x:v>
      </x:c>
      <x:c r="C1351" s="3" t="n">
        <x:v>12</x:v>
      </x:c>
      <x:c r="D1351" s="3" t="str">
        <x:v>present</x:v>
      </x:c>
      <x:c r="E1351" s="5" t="str">
        <x:f>VLOOKUP(B1351,Sections!$A$5:$I$45,3,FALSE)</x:f>
        <x:v>2024-1</x:v>
      </x:c>
    </x:row>
    <x:row r="1352" ht="21" customHeight="1">
      <x:c r="A1352" s="3" t="str">
        <x:v>2201001</x:v>
      </x:c>
      <x:c r="B1352" s="3" t="str">
        <x:v>SEC014</x:v>
      </x:c>
      <x:c r="C1352" s="3" t="n">
        <x:v>13</x:v>
      </x:c>
      <x:c r="D1352" s="3" t="str">
        <x:v>present</x:v>
      </x:c>
      <x:c r="E1352" s="5" t="str">
        <x:f>VLOOKUP(B1352,Sections!$A$5:$I$45,3,FALSE)</x:f>
        <x:v>2024-1</x:v>
      </x:c>
    </x:row>
    <x:row r="1353" ht="21" customHeight="1">
      <x:c r="A1353" s="3" t="str">
        <x:v>2201001</x:v>
      </x:c>
      <x:c r="B1353" s="3" t="str">
        <x:v>SEC014</x:v>
      </x:c>
      <x:c r="C1353" s="3" t="n">
        <x:v>14</x:v>
      </x:c>
      <x:c r="D1353" s="3" t="str">
        <x:v>present</x:v>
      </x:c>
      <x:c r="E1353" s="5" t="str">
        <x:f>VLOOKUP(B1353,Sections!$A$5:$I$45,3,FALSE)</x:f>
        <x:v>2024-1</x:v>
      </x:c>
    </x:row>
    <x:row r="1354" ht="21" customHeight="1">
      <x:c r="A1354" s="3" t="str">
        <x:v>2201001</x:v>
      </x:c>
      <x:c r="B1354" s="3" t="str">
        <x:v>SEC014</x:v>
      </x:c>
      <x:c r="C1354" s="3" t="n">
        <x:v>15</x:v>
      </x:c>
      <x:c r="D1354" s="3" t="str">
        <x:v>present</x:v>
      </x:c>
      <x:c r="E1354" s="5" t="str">
        <x:f>VLOOKUP(B1354,Sections!$A$5:$I$45,3,FALSE)</x:f>
        <x:v>2024-1</x:v>
      </x:c>
    </x:row>
    <x:row r="1355" ht="21" customHeight="1">
      <x:c r="A1355" s="3" t="str">
        <x:v>2201002</x:v>
      </x:c>
      <x:c r="B1355" s="3" t="str">
        <x:v>SEC014</x:v>
      </x:c>
      <x:c r="C1355" s="3" t="n">
        <x:v>1</x:v>
      </x:c>
      <x:c r="D1355" s="3" t="str">
        <x:v>present</x:v>
      </x:c>
      <x:c r="E1355" s="5" t="str">
        <x:f>VLOOKUP(B1355,Sections!$A$5:$I$45,3,FALSE)</x:f>
        <x:v>2024-1</x:v>
      </x:c>
    </x:row>
    <x:row r="1356" ht="21" customHeight="1">
      <x:c r="A1356" s="3" t="str">
        <x:v>2201002</x:v>
      </x:c>
      <x:c r="B1356" s="3" t="str">
        <x:v>SEC014</x:v>
      </x:c>
      <x:c r="C1356" s="3" t="n">
        <x:v>2</x:v>
      </x:c>
      <x:c r="D1356" s="3" t="str">
        <x:v>present</x:v>
      </x:c>
      <x:c r="E1356" s="5" t="str">
        <x:f>VLOOKUP(B1356,Sections!$A$5:$I$45,3,FALSE)</x:f>
        <x:v>2024-1</x:v>
      </x:c>
    </x:row>
    <x:row r="1357" ht="21" customHeight="1">
      <x:c r="A1357" s="3" t="str">
        <x:v>2201002</x:v>
      </x:c>
      <x:c r="B1357" s="3" t="str">
        <x:v>SEC014</x:v>
      </x:c>
      <x:c r="C1357" s="3" t="n">
        <x:v>3</x:v>
      </x:c>
      <x:c r="D1357" s="3" t="str">
        <x:v>present</x:v>
      </x:c>
      <x:c r="E1357" s="5" t="str">
        <x:f>VLOOKUP(B1357,Sections!$A$5:$I$45,3,FALSE)</x:f>
        <x:v>2024-1</x:v>
      </x:c>
    </x:row>
    <x:row r="1358" ht="21" customHeight="1">
      <x:c r="A1358" s="3" t="str">
        <x:v>2201002</x:v>
      </x:c>
      <x:c r="B1358" s="3" t="str">
        <x:v>SEC014</x:v>
      </x:c>
      <x:c r="C1358" s="3" t="n">
        <x:v>4</x:v>
      </x:c>
      <x:c r="D1358" s="3" t="str">
        <x:v>present</x:v>
      </x:c>
      <x:c r="E1358" s="5" t="str">
        <x:f>VLOOKUP(B1358,Sections!$A$5:$I$45,3,FALSE)</x:f>
        <x:v>2024-1</x:v>
      </x:c>
    </x:row>
    <x:row r="1359" ht="21" customHeight="1">
      <x:c r="A1359" s="3" t="str">
        <x:v>2201002</x:v>
      </x:c>
      <x:c r="B1359" s="3" t="str">
        <x:v>SEC014</x:v>
      </x:c>
      <x:c r="C1359" s="3" t="n">
        <x:v>5</x:v>
      </x:c>
      <x:c r="D1359" s="3" t="str">
        <x:v>present</x:v>
      </x:c>
      <x:c r="E1359" s="5" t="str">
        <x:f>VLOOKUP(B1359,Sections!$A$5:$I$45,3,FALSE)</x:f>
        <x:v>2024-1</x:v>
      </x:c>
    </x:row>
    <x:row r="1360" ht="21" customHeight="1">
      <x:c r="A1360" s="3" t="str">
        <x:v>2201002</x:v>
      </x:c>
      <x:c r="B1360" s="3" t="str">
        <x:v>SEC014</x:v>
      </x:c>
      <x:c r="C1360" s="3" t="n">
        <x:v>6</x:v>
      </x:c>
      <x:c r="D1360" s="3" t="str">
        <x:v>present</x:v>
      </x:c>
      <x:c r="E1360" s="5" t="str">
        <x:f>VLOOKUP(B1360,Sections!$A$5:$I$45,3,FALSE)</x:f>
        <x:v>2024-1</x:v>
      </x:c>
    </x:row>
    <x:row r="1361" ht="21" customHeight="1">
      <x:c r="A1361" s="3" t="str">
        <x:v>2201002</x:v>
      </x:c>
      <x:c r="B1361" s="3" t="str">
        <x:v>SEC014</x:v>
      </x:c>
      <x:c r="C1361" s="3" t="n">
        <x:v>7</x:v>
      </x:c>
      <x:c r="D1361" s="3" t="str">
        <x:v>present</x:v>
      </x:c>
      <x:c r="E1361" s="5" t="str">
        <x:f>VLOOKUP(B1361,Sections!$A$5:$I$45,3,FALSE)</x:f>
        <x:v>2024-1</x:v>
      </x:c>
    </x:row>
    <x:row r="1362" ht="21" customHeight="1">
      <x:c r="A1362" s="3" t="str">
        <x:v>2201002</x:v>
      </x:c>
      <x:c r="B1362" s="3" t="str">
        <x:v>SEC014</x:v>
      </x:c>
      <x:c r="C1362" s="3" t="n">
        <x:v>8</x:v>
      </x:c>
      <x:c r="D1362" s="3" t="str">
        <x:v>present</x:v>
      </x:c>
      <x:c r="E1362" s="5" t="str">
        <x:f>VLOOKUP(B1362,Sections!$A$5:$I$45,3,FALSE)</x:f>
        <x:v>2024-1</x:v>
      </x:c>
    </x:row>
    <x:row r="1363" ht="21" customHeight="1">
      <x:c r="A1363" s="3" t="str">
        <x:v>2201002</x:v>
      </x:c>
      <x:c r="B1363" s="3" t="str">
        <x:v>SEC014</x:v>
      </x:c>
      <x:c r="C1363" s="3" t="n">
        <x:v>9</x:v>
      </x:c>
      <x:c r="D1363" s="3" t="str">
        <x:v>present</x:v>
      </x:c>
      <x:c r="E1363" s="5" t="str">
        <x:f>VLOOKUP(B1363,Sections!$A$5:$I$45,3,FALSE)</x:f>
        <x:v>2024-1</x:v>
      </x:c>
    </x:row>
    <x:row r="1364" ht="21" customHeight="1">
      <x:c r="A1364" s="3" t="str">
        <x:v>2201002</x:v>
      </x:c>
      <x:c r="B1364" s="3" t="str">
        <x:v>SEC014</x:v>
      </x:c>
      <x:c r="C1364" s="3" t="n">
        <x:v>10</x:v>
      </x:c>
      <x:c r="D1364" s="3" t="str">
        <x:v>present</x:v>
      </x:c>
      <x:c r="E1364" s="5" t="str">
        <x:f>VLOOKUP(B1364,Sections!$A$5:$I$45,3,FALSE)</x:f>
        <x:v>2024-1</x:v>
      </x:c>
    </x:row>
    <x:row r="1365" ht="21" customHeight="1">
      <x:c r="A1365" s="3" t="str">
        <x:v>2201002</x:v>
      </x:c>
      <x:c r="B1365" s="3" t="str">
        <x:v>SEC014</x:v>
      </x:c>
      <x:c r="C1365" s="3" t="n">
        <x:v>11</x:v>
      </x:c>
      <x:c r="D1365" s="3" t="str">
        <x:v>present</x:v>
      </x:c>
      <x:c r="E1365" s="5" t="str">
        <x:f>VLOOKUP(B1365,Sections!$A$5:$I$45,3,FALSE)</x:f>
        <x:v>2024-1</x:v>
      </x:c>
    </x:row>
    <x:row r="1366" ht="21" customHeight="1">
      <x:c r="A1366" s="3" t="str">
        <x:v>2201002</x:v>
      </x:c>
      <x:c r="B1366" s="3" t="str">
        <x:v>SEC014</x:v>
      </x:c>
      <x:c r="C1366" s="3" t="n">
        <x:v>12</x:v>
      </x:c>
      <x:c r="D1366" s="3" t="str">
        <x:v>present</x:v>
      </x:c>
      <x:c r="E1366" s="5" t="str">
        <x:f>VLOOKUP(B1366,Sections!$A$5:$I$45,3,FALSE)</x:f>
        <x:v>2024-1</x:v>
      </x:c>
    </x:row>
    <x:row r="1367" ht="21" customHeight="1">
      <x:c r="A1367" s="3" t="str">
        <x:v>2201002</x:v>
      </x:c>
      <x:c r="B1367" s="3" t="str">
        <x:v>SEC014</x:v>
      </x:c>
      <x:c r="C1367" s="3" t="n">
        <x:v>13</x:v>
      </x:c>
      <x:c r="D1367" s="3" t="str">
        <x:v>present</x:v>
      </x:c>
      <x:c r="E1367" s="5" t="str">
        <x:f>VLOOKUP(B1367,Sections!$A$5:$I$45,3,FALSE)</x:f>
        <x:v>2024-1</x:v>
      </x:c>
    </x:row>
    <x:row r="1368" ht="21" customHeight="1">
      <x:c r="A1368" s="3" t="str">
        <x:v>2201002</x:v>
      </x:c>
      <x:c r="B1368" s="3" t="str">
        <x:v>SEC014</x:v>
      </x:c>
      <x:c r="C1368" s="3" t="n">
        <x:v>14</x:v>
      </x:c>
      <x:c r="D1368" s="3" t="str">
        <x:v>present</x:v>
      </x:c>
      <x:c r="E1368" s="5" t="str">
        <x:f>VLOOKUP(B1368,Sections!$A$5:$I$45,3,FALSE)</x:f>
        <x:v>2024-1</x:v>
      </x:c>
    </x:row>
    <x:row r="1369" ht="21" customHeight="1">
      <x:c r="A1369" s="3" t="str">
        <x:v>2201002</x:v>
      </x:c>
      <x:c r="B1369" s="3" t="str">
        <x:v>SEC014</x:v>
      </x:c>
      <x:c r="C1369" s="3" t="n">
        <x:v>15</x:v>
      </x:c>
      <x:c r="D1369" s="3" t="str">
        <x:v>present</x:v>
      </x:c>
      <x:c r="E1369" s="5" t="str">
        <x:f>VLOOKUP(B1369,Sections!$A$5:$I$45,3,FALSE)</x:f>
        <x:v>2024-1</x:v>
      </x:c>
    </x:row>
    <x:row r="1370" ht="21" customHeight="1">
      <x:c r="A1370" s="3" t="str">
        <x:v>2201003</x:v>
      </x:c>
      <x:c r="B1370" s="3" t="str">
        <x:v>SEC014</x:v>
      </x:c>
      <x:c r="C1370" s="3" t="n">
        <x:v>1</x:v>
      </x:c>
      <x:c r="D1370" s="3" t="str">
        <x:v>present</x:v>
      </x:c>
      <x:c r="E1370" s="5" t="str">
        <x:f>VLOOKUP(B1370,Sections!$A$5:$I$45,3,FALSE)</x:f>
        <x:v>2024-1</x:v>
      </x:c>
    </x:row>
    <x:row r="1371" ht="21" customHeight="1">
      <x:c r="A1371" s="3" t="str">
        <x:v>2201003</x:v>
      </x:c>
      <x:c r="B1371" s="3" t="str">
        <x:v>SEC014</x:v>
      </x:c>
      <x:c r="C1371" s="3" t="n">
        <x:v>2</x:v>
      </x:c>
      <x:c r="D1371" s="3" t="str">
        <x:v>excused</x:v>
      </x:c>
      <x:c r="E1371" s="5" t="str">
        <x:f>VLOOKUP(B1371,Sections!$A$5:$I$45,3,FALSE)</x:f>
        <x:v>2024-1</x:v>
      </x:c>
    </x:row>
    <x:row r="1372" ht="21" customHeight="1">
      <x:c r="A1372" s="3" t="str">
        <x:v>2201003</x:v>
      </x:c>
      <x:c r="B1372" s="3" t="str">
        <x:v>SEC014</x:v>
      </x:c>
      <x:c r="C1372" s="3" t="n">
        <x:v>3</x:v>
      </x:c>
      <x:c r="D1372" s="3" t="str">
        <x:v>absent</x:v>
      </x:c>
      <x:c r="E1372" s="5" t="str">
        <x:f>VLOOKUP(B1372,Sections!$A$5:$I$45,3,FALSE)</x:f>
        <x:v>2024-1</x:v>
      </x:c>
    </x:row>
    <x:row r="1373" ht="21" customHeight="1">
      <x:c r="A1373" s="3" t="str">
        <x:v>2201003</x:v>
      </x:c>
      <x:c r="B1373" s="3" t="str">
        <x:v>SEC014</x:v>
      </x:c>
      <x:c r="C1373" s="3" t="n">
        <x:v>4</x:v>
      </x:c>
      <x:c r="D1373" s="3" t="str">
        <x:v>present</x:v>
      </x:c>
      <x:c r="E1373" s="5" t="str">
        <x:f>VLOOKUP(B1373,Sections!$A$5:$I$45,3,FALSE)</x:f>
        <x:v>2024-1</x:v>
      </x:c>
    </x:row>
    <x:row r="1374" ht="21" customHeight="1">
      <x:c r="A1374" s="3" t="str">
        <x:v>2201003</x:v>
      </x:c>
      <x:c r="B1374" s="3" t="str">
        <x:v>SEC014</x:v>
      </x:c>
      <x:c r="C1374" s="3" t="n">
        <x:v>5</x:v>
      </x:c>
      <x:c r="D1374" s="3" t="str">
        <x:v>late</x:v>
      </x:c>
      <x:c r="E1374" s="5" t="str">
        <x:f>VLOOKUP(B1374,Sections!$A$5:$I$45,3,FALSE)</x:f>
        <x:v>2024-1</x:v>
      </x:c>
    </x:row>
    <x:row r="1375" ht="21" customHeight="1">
      <x:c r="A1375" s="3" t="str">
        <x:v>2201003</x:v>
      </x:c>
      <x:c r="B1375" s="3" t="str">
        <x:v>SEC014</x:v>
      </x:c>
      <x:c r="C1375" s="3" t="n">
        <x:v>6</x:v>
      </x:c>
      <x:c r="D1375" s="3" t="str">
        <x:v>present</x:v>
      </x:c>
      <x:c r="E1375" s="5" t="str">
        <x:f>VLOOKUP(B1375,Sections!$A$5:$I$45,3,FALSE)</x:f>
        <x:v>2024-1</x:v>
      </x:c>
    </x:row>
    <x:row r="1376" ht="21" customHeight="1">
      <x:c r="A1376" s="3" t="str">
        <x:v>2201003</x:v>
      </x:c>
      <x:c r="B1376" s="3" t="str">
        <x:v>SEC014</x:v>
      </x:c>
      <x:c r="C1376" s="3" t="n">
        <x:v>7</x:v>
      </x:c>
      <x:c r="D1376" s="3" t="str">
        <x:v>present</x:v>
      </x:c>
      <x:c r="E1376" s="5" t="str">
        <x:f>VLOOKUP(B1376,Sections!$A$5:$I$45,3,FALSE)</x:f>
        <x:v>2024-1</x:v>
      </x:c>
    </x:row>
    <x:row r="1377" ht="21" customHeight="1">
      <x:c r="A1377" s="3" t="str">
        <x:v>2201003</x:v>
      </x:c>
      <x:c r="B1377" s="3" t="str">
        <x:v>SEC014</x:v>
      </x:c>
      <x:c r="C1377" s="3" t="n">
        <x:v>8</x:v>
      </x:c>
      <x:c r="D1377" s="3" t="str">
        <x:v>present</x:v>
      </x:c>
      <x:c r="E1377" s="5" t="str">
        <x:f>VLOOKUP(B1377,Sections!$A$5:$I$45,3,FALSE)</x:f>
        <x:v>2024-1</x:v>
      </x:c>
    </x:row>
    <x:row r="1378" ht="21" customHeight="1">
      <x:c r="A1378" s="3" t="str">
        <x:v>2201003</x:v>
      </x:c>
      <x:c r="B1378" s="3" t="str">
        <x:v>SEC014</x:v>
      </x:c>
      <x:c r="C1378" s="3" t="n">
        <x:v>9</x:v>
      </x:c>
      <x:c r="D1378" s="3" t="str">
        <x:v>present</x:v>
      </x:c>
      <x:c r="E1378" s="5" t="str">
        <x:f>VLOOKUP(B1378,Sections!$A$5:$I$45,3,FALSE)</x:f>
        <x:v>2024-1</x:v>
      </x:c>
    </x:row>
    <x:row r="1379" ht="21" customHeight="1">
      <x:c r="A1379" s="3" t="str">
        <x:v>2201003</x:v>
      </x:c>
      <x:c r="B1379" s="3" t="str">
        <x:v>SEC014</x:v>
      </x:c>
      <x:c r="C1379" s="3" t="n">
        <x:v>10</x:v>
      </x:c>
      <x:c r="D1379" s="3" t="str">
        <x:v>present</x:v>
      </x:c>
      <x:c r="E1379" s="5" t="str">
        <x:f>VLOOKUP(B1379,Sections!$A$5:$I$45,3,FALSE)</x:f>
        <x:v>2024-1</x:v>
      </x:c>
    </x:row>
    <x:row r="1380" ht="21" customHeight="1">
      <x:c r="A1380" s="3" t="str">
        <x:v>2201003</x:v>
      </x:c>
      <x:c r="B1380" s="3" t="str">
        <x:v>SEC014</x:v>
      </x:c>
      <x:c r="C1380" s="3" t="n">
        <x:v>11</x:v>
      </x:c>
      <x:c r="D1380" s="3" t="str">
        <x:v>present</x:v>
      </x:c>
      <x:c r="E1380" s="5" t="str">
        <x:f>VLOOKUP(B1380,Sections!$A$5:$I$45,3,FALSE)</x:f>
        <x:v>2024-1</x:v>
      </x:c>
    </x:row>
    <x:row r="1381" ht="21" customHeight="1">
      <x:c r="A1381" s="3" t="str">
        <x:v>2201003</x:v>
      </x:c>
      <x:c r="B1381" s="3" t="str">
        <x:v>SEC014</x:v>
      </x:c>
      <x:c r="C1381" s="3" t="n">
        <x:v>12</x:v>
      </x:c>
      <x:c r="D1381" s="3" t="str">
        <x:v>present</x:v>
      </x:c>
      <x:c r="E1381" s="5" t="str">
        <x:f>VLOOKUP(B1381,Sections!$A$5:$I$45,3,FALSE)</x:f>
        <x:v>2024-1</x:v>
      </x:c>
    </x:row>
    <x:row r="1382" ht="21" customHeight="1">
      <x:c r="A1382" s="3" t="str">
        <x:v>2201003</x:v>
      </x:c>
      <x:c r="B1382" s="3" t="str">
        <x:v>SEC014</x:v>
      </x:c>
      <x:c r="C1382" s="3" t="n">
        <x:v>13</x:v>
      </x:c>
      <x:c r="D1382" s="3" t="str">
        <x:v>present</x:v>
      </x:c>
      <x:c r="E1382" s="5" t="str">
        <x:f>VLOOKUP(B1382,Sections!$A$5:$I$45,3,FALSE)</x:f>
        <x:v>2024-1</x:v>
      </x:c>
    </x:row>
    <x:row r="1383" ht="21" customHeight="1">
      <x:c r="A1383" s="3" t="str">
        <x:v>2201003</x:v>
      </x:c>
      <x:c r="B1383" s="3" t="str">
        <x:v>SEC014</x:v>
      </x:c>
      <x:c r="C1383" s="3" t="n">
        <x:v>14</x:v>
      </x:c>
      <x:c r="D1383" s="3" t="str">
        <x:v>present</x:v>
      </x:c>
      <x:c r="E1383" s="5" t="str">
        <x:f>VLOOKUP(B1383,Sections!$A$5:$I$45,3,FALSE)</x:f>
        <x:v>2024-1</x:v>
      </x:c>
    </x:row>
    <x:row r="1384" ht="21" customHeight="1">
      <x:c r="A1384" s="3" t="str">
        <x:v>2201003</x:v>
      </x:c>
      <x:c r="B1384" s="3" t="str">
        <x:v>SEC014</x:v>
      </x:c>
      <x:c r="C1384" s="3" t="n">
        <x:v>15</x:v>
      </x:c>
      <x:c r="D1384" s="3" t="str">
        <x:v>present</x:v>
      </x:c>
      <x:c r="E1384" s="5" t="str">
        <x:f>VLOOKUP(B1384,Sections!$A$5:$I$45,3,FALSE)</x:f>
        <x:v>2024-1</x:v>
      </x:c>
    </x:row>
    <x:row r="1385" ht="21" customHeight="1">
      <x:c r="A1385" s="3" t="str">
        <x:v>2201004</x:v>
      </x:c>
      <x:c r="B1385" s="3" t="str">
        <x:v>SEC014</x:v>
      </x:c>
      <x:c r="C1385" s="3" t="n">
        <x:v>1</x:v>
      </x:c>
      <x:c r="D1385" s="3" t="str">
        <x:v>present</x:v>
      </x:c>
      <x:c r="E1385" s="5" t="str">
        <x:f>VLOOKUP(B1385,Sections!$A$5:$I$45,3,FALSE)</x:f>
        <x:v>2024-1</x:v>
      </x:c>
    </x:row>
    <x:row r="1386" ht="21" customHeight="1">
      <x:c r="A1386" s="3" t="str">
        <x:v>2201004</x:v>
      </x:c>
      <x:c r="B1386" s="3" t="str">
        <x:v>SEC014</x:v>
      </x:c>
      <x:c r="C1386" s="3" t="n">
        <x:v>2</x:v>
      </x:c>
      <x:c r="D1386" s="3" t="str">
        <x:v>present</x:v>
      </x:c>
      <x:c r="E1386" s="5" t="str">
        <x:f>VLOOKUP(B1386,Sections!$A$5:$I$45,3,FALSE)</x:f>
        <x:v>2024-1</x:v>
      </x:c>
    </x:row>
    <x:row r="1387" ht="21" customHeight="1">
      <x:c r="A1387" s="3" t="str">
        <x:v>2201004</x:v>
      </x:c>
      <x:c r="B1387" s="3" t="str">
        <x:v>SEC014</x:v>
      </x:c>
      <x:c r="C1387" s="3" t="n">
        <x:v>3</x:v>
      </x:c>
      <x:c r="D1387" s="3" t="str">
        <x:v>present</x:v>
      </x:c>
      <x:c r="E1387" s="5" t="str">
        <x:f>VLOOKUP(B1387,Sections!$A$5:$I$45,3,FALSE)</x:f>
        <x:v>2024-1</x:v>
      </x:c>
    </x:row>
    <x:row r="1388" ht="21" customHeight="1">
      <x:c r="A1388" s="3" t="str">
        <x:v>2201004</x:v>
      </x:c>
      <x:c r="B1388" s="3" t="str">
        <x:v>SEC014</x:v>
      </x:c>
      <x:c r="C1388" s="3" t="n">
        <x:v>4</x:v>
      </x:c>
      <x:c r="D1388" s="3" t="str">
        <x:v>present</x:v>
      </x:c>
      <x:c r="E1388" s="5" t="str">
        <x:f>VLOOKUP(B1388,Sections!$A$5:$I$45,3,FALSE)</x:f>
        <x:v>2024-1</x:v>
      </x:c>
    </x:row>
    <x:row r="1389" ht="21" customHeight="1">
      <x:c r="A1389" s="3" t="str">
        <x:v>2201004</x:v>
      </x:c>
      <x:c r="B1389" s="3" t="str">
        <x:v>SEC014</x:v>
      </x:c>
      <x:c r="C1389" s="3" t="n">
        <x:v>5</x:v>
      </x:c>
      <x:c r="D1389" s="3" t="str">
        <x:v>present</x:v>
      </x:c>
      <x:c r="E1389" s="5" t="str">
        <x:f>VLOOKUP(B1389,Sections!$A$5:$I$45,3,FALSE)</x:f>
        <x:v>2024-1</x:v>
      </x:c>
    </x:row>
    <x:row r="1390" ht="21" customHeight="1">
      <x:c r="A1390" s="3" t="str">
        <x:v>2201004</x:v>
      </x:c>
      <x:c r="B1390" s="3" t="str">
        <x:v>SEC014</x:v>
      </x:c>
      <x:c r="C1390" s="3" t="n">
        <x:v>6</x:v>
      </x:c>
      <x:c r="D1390" s="3" t="str">
        <x:v>present</x:v>
      </x:c>
      <x:c r="E1390" s="5" t="str">
        <x:f>VLOOKUP(B1390,Sections!$A$5:$I$45,3,FALSE)</x:f>
        <x:v>2024-1</x:v>
      </x:c>
    </x:row>
    <x:row r="1391" ht="21" customHeight="1">
      <x:c r="A1391" s="3" t="str">
        <x:v>2201004</x:v>
      </x:c>
      <x:c r="B1391" s="3" t="str">
        <x:v>SEC014</x:v>
      </x:c>
      <x:c r="C1391" s="3" t="n">
        <x:v>7</x:v>
      </x:c>
      <x:c r="D1391" s="3" t="str">
        <x:v>present</x:v>
      </x:c>
      <x:c r="E1391" s="5" t="str">
        <x:f>VLOOKUP(B1391,Sections!$A$5:$I$45,3,FALSE)</x:f>
        <x:v>2024-1</x:v>
      </x:c>
    </x:row>
    <x:row r="1392" ht="21" customHeight="1">
      <x:c r="A1392" s="3" t="str">
        <x:v>2201004</x:v>
      </x:c>
      <x:c r="B1392" s="3" t="str">
        <x:v>SEC014</x:v>
      </x:c>
      <x:c r="C1392" s="3" t="n">
        <x:v>8</x:v>
      </x:c>
      <x:c r="D1392" s="3" t="str">
        <x:v>present</x:v>
      </x:c>
      <x:c r="E1392" s="5" t="str">
        <x:f>VLOOKUP(B1392,Sections!$A$5:$I$45,3,FALSE)</x:f>
        <x:v>2024-1</x:v>
      </x:c>
    </x:row>
    <x:row r="1393" ht="21" customHeight="1">
      <x:c r="A1393" s="3" t="str">
        <x:v>2201004</x:v>
      </x:c>
      <x:c r="B1393" s="3" t="str">
        <x:v>SEC014</x:v>
      </x:c>
      <x:c r="C1393" s="3" t="n">
        <x:v>9</x:v>
      </x:c>
      <x:c r="D1393" s="3" t="str">
        <x:v>present</x:v>
      </x:c>
      <x:c r="E1393" s="5" t="str">
        <x:f>VLOOKUP(B1393,Sections!$A$5:$I$45,3,FALSE)</x:f>
        <x:v>2024-1</x:v>
      </x:c>
    </x:row>
    <x:row r="1394" ht="21" customHeight="1">
      <x:c r="A1394" s="3" t="str">
        <x:v>2201004</x:v>
      </x:c>
      <x:c r="B1394" s="3" t="str">
        <x:v>SEC014</x:v>
      </x:c>
      <x:c r="C1394" s="3" t="n">
        <x:v>10</x:v>
      </x:c>
      <x:c r="D1394" s="3" t="str">
        <x:v>present</x:v>
      </x:c>
      <x:c r="E1394" s="5" t="str">
        <x:f>VLOOKUP(B1394,Sections!$A$5:$I$45,3,FALSE)</x:f>
        <x:v>2024-1</x:v>
      </x:c>
    </x:row>
    <x:row r="1395" ht="21" customHeight="1">
      <x:c r="A1395" s="3" t="str">
        <x:v>2201004</x:v>
      </x:c>
      <x:c r="B1395" s="3" t="str">
        <x:v>SEC014</x:v>
      </x:c>
      <x:c r="C1395" s="3" t="n">
        <x:v>11</x:v>
      </x:c>
      <x:c r="D1395" s="3" t="str">
        <x:v>present</x:v>
      </x:c>
      <x:c r="E1395" s="5" t="str">
        <x:f>VLOOKUP(B1395,Sections!$A$5:$I$45,3,FALSE)</x:f>
        <x:v>2024-1</x:v>
      </x:c>
    </x:row>
    <x:row r="1396" ht="21" customHeight="1">
      <x:c r="A1396" s="3" t="str">
        <x:v>2201004</x:v>
      </x:c>
      <x:c r="B1396" s="3" t="str">
        <x:v>SEC014</x:v>
      </x:c>
      <x:c r="C1396" s="3" t="n">
        <x:v>12</x:v>
      </x:c>
      <x:c r="D1396" s="3" t="str">
        <x:v>present</x:v>
      </x:c>
      <x:c r="E1396" s="5" t="str">
        <x:f>VLOOKUP(B1396,Sections!$A$5:$I$45,3,FALSE)</x:f>
        <x:v>2024-1</x:v>
      </x:c>
    </x:row>
    <x:row r="1397" ht="21" customHeight="1">
      <x:c r="A1397" s="3" t="str">
        <x:v>2201004</x:v>
      </x:c>
      <x:c r="B1397" s="3" t="str">
        <x:v>SEC014</x:v>
      </x:c>
      <x:c r="C1397" s="3" t="n">
        <x:v>13</x:v>
      </x:c>
      <x:c r="D1397" s="3" t="str">
        <x:v>present</x:v>
      </x:c>
      <x:c r="E1397" s="5" t="str">
        <x:f>VLOOKUP(B1397,Sections!$A$5:$I$45,3,FALSE)</x:f>
        <x:v>2024-1</x:v>
      </x:c>
    </x:row>
    <x:row r="1398" ht="21" customHeight="1">
      <x:c r="A1398" s="3" t="str">
        <x:v>2201004</x:v>
      </x:c>
      <x:c r="B1398" s="3" t="str">
        <x:v>SEC014</x:v>
      </x:c>
      <x:c r="C1398" s="3" t="n">
        <x:v>14</x:v>
      </x:c>
      <x:c r="D1398" s="3" t="str">
        <x:v>present</x:v>
      </x:c>
      <x:c r="E1398" s="5" t="str">
        <x:f>VLOOKUP(B1398,Sections!$A$5:$I$45,3,FALSE)</x:f>
        <x:v>2024-1</x:v>
      </x:c>
    </x:row>
    <x:row r="1399" ht="21" customHeight="1">
      <x:c r="A1399" s="3" t="str">
        <x:v>2201004</x:v>
      </x:c>
      <x:c r="B1399" s="3" t="str">
        <x:v>SEC014</x:v>
      </x:c>
      <x:c r="C1399" s="3" t="n">
        <x:v>15</x:v>
      </x:c>
      <x:c r="D1399" s="3" t="str">
        <x:v>present</x:v>
      </x:c>
      <x:c r="E1399" s="5" t="str">
        <x:f>VLOOKUP(B1399,Sections!$A$5:$I$45,3,FALSE)</x:f>
        <x:v>2024-1</x:v>
      </x:c>
    </x:row>
    <x:row r="1400" ht="21" customHeight="1">
      <x:c r="A1400" s="3" t="str">
        <x:v>2201005</x:v>
      </x:c>
      <x:c r="B1400" s="3" t="str">
        <x:v>SEC014</x:v>
      </x:c>
      <x:c r="C1400" s="3" t="n">
        <x:v>1</x:v>
      </x:c>
      <x:c r="D1400" s="3" t="str">
        <x:v>absent</x:v>
      </x:c>
      <x:c r="E1400" s="5" t="str">
        <x:f>VLOOKUP(B1400,Sections!$A$5:$I$45,3,FALSE)</x:f>
        <x:v>2024-1</x:v>
      </x:c>
    </x:row>
    <x:row r="1401" ht="21" customHeight="1">
      <x:c r="A1401" s="3" t="str">
        <x:v>2201005</x:v>
      </x:c>
      <x:c r="B1401" s="3" t="str">
        <x:v>SEC014</x:v>
      </x:c>
      <x:c r="C1401" s="3" t="n">
        <x:v>2</x:v>
      </x:c>
      <x:c r="D1401" s="3" t="str">
        <x:v>present</x:v>
      </x:c>
      <x:c r="E1401" s="5" t="str">
        <x:f>VLOOKUP(B1401,Sections!$A$5:$I$45,3,FALSE)</x:f>
        <x:v>2024-1</x:v>
      </x:c>
    </x:row>
    <x:row r="1402" ht="21" customHeight="1">
      <x:c r="A1402" s="3" t="str">
        <x:v>2201005</x:v>
      </x:c>
      <x:c r="B1402" s="3" t="str">
        <x:v>SEC014</x:v>
      </x:c>
      <x:c r="C1402" s="3" t="n">
        <x:v>3</x:v>
      </x:c>
      <x:c r="D1402" s="3" t="str">
        <x:v>present</x:v>
      </x:c>
      <x:c r="E1402" s="5" t="str">
        <x:f>VLOOKUP(B1402,Sections!$A$5:$I$45,3,FALSE)</x:f>
        <x:v>2024-1</x:v>
      </x:c>
    </x:row>
    <x:row r="1403" ht="21" customHeight="1">
      <x:c r="A1403" s="3" t="str">
        <x:v>2201005</x:v>
      </x:c>
      <x:c r="B1403" s="3" t="str">
        <x:v>SEC014</x:v>
      </x:c>
      <x:c r="C1403" s="3" t="n">
        <x:v>4</x:v>
      </x:c>
      <x:c r="D1403" s="3" t="str">
        <x:v>absent</x:v>
      </x:c>
      <x:c r="E1403" s="5" t="str">
        <x:f>VLOOKUP(B1403,Sections!$A$5:$I$45,3,FALSE)</x:f>
        <x:v>2024-1</x:v>
      </x:c>
    </x:row>
    <x:row r="1404" ht="21" customHeight="1">
      <x:c r="A1404" s="3" t="str">
        <x:v>2201005</x:v>
      </x:c>
      <x:c r="B1404" s="3" t="str">
        <x:v>SEC014</x:v>
      </x:c>
      <x:c r="C1404" s="3" t="n">
        <x:v>5</x:v>
      </x:c>
      <x:c r="D1404" s="3" t="str">
        <x:v>absent</x:v>
      </x:c>
      <x:c r="E1404" s="5" t="str">
        <x:f>VLOOKUP(B1404,Sections!$A$5:$I$45,3,FALSE)</x:f>
        <x:v>2024-1</x:v>
      </x:c>
    </x:row>
    <x:row r="1405" ht="21" customHeight="1">
      <x:c r="A1405" s="3" t="str">
        <x:v>2201005</x:v>
      </x:c>
      <x:c r="B1405" s="3" t="str">
        <x:v>SEC014</x:v>
      </x:c>
      <x:c r="C1405" s="3" t="n">
        <x:v>6</x:v>
      </x:c>
      <x:c r="D1405" s="3" t="str">
        <x:v>present</x:v>
      </x:c>
      <x:c r="E1405" s="5" t="str">
        <x:f>VLOOKUP(B1405,Sections!$A$5:$I$45,3,FALSE)</x:f>
        <x:v>2024-1</x:v>
      </x:c>
    </x:row>
    <x:row r="1406" ht="21" customHeight="1">
      <x:c r="A1406" s="3" t="str">
        <x:v>2201005</x:v>
      </x:c>
      <x:c r="B1406" s="3" t="str">
        <x:v>SEC014</x:v>
      </x:c>
      <x:c r="C1406" s="3" t="n">
        <x:v>7</x:v>
      </x:c>
      <x:c r="D1406" s="3" t="str">
        <x:v>present</x:v>
      </x:c>
      <x:c r="E1406" s="5" t="str">
        <x:f>VLOOKUP(B1406,Sections!$A$5:$I$45,3,FALSE)</x:f>
        <x:v>2024-1</x:v>
      </x:c>
    </x:row>
    <x:row r="1407" ht="21" customHeight="1">
      <x:c r="A1407" s="3" t="str">
        <x:v>2201005</x:v>
      </x:c>
      <x:c r="B1407" s="3" t="str">
        <x:v>SEC014</x:v>
      </x:c>
      <x:c r="C1407" s="3" t="n">
        <x:v>8</x:v>
      </x:c>
      <x:c r="D1407" s="3" t="str">
        <x:v>late</x:v>
      </x:c>
      <x:c r="E1407" s="5" t="str">
        <x:f>VLOOKUP(B1407,Sections!$A$5:$I$45,3,FALSE)</x:f>
        <x:v>2024-1</x:v>
      </x:c>
    </x:row>
    <x:row r="1408" ht="21" customHeight="1">
      <x:c r="A1408" s="3" t="str">
        <x:v>2201005</x:v>
      </x:c>
      <x:c r="B1408" s="3" t="str">
        <x:v>SEC014</x:v>
      </x:c>
      <x:c r="C1408" s="3" t="n">
        <x:v>9</x:v>
      </x:c>
      <x:c r="D1408" s="3" t="str">
        <x:v>present</x:v>
      </x:c>
      <x:c r="E1408" s="5" t="str">
        <x:f>VLOOKUP(B1408,Sections!$A$5:$I$45,3,FALSE)</x:f>
        <x:v>2024-1</x:v>
      </x:c>
    </x:row>
    <x:row r="1409" ht="21" customHeight="1">
      <x:c r="A1409" s="3" t="str">
        <x:v>2201005</x:v>
      </x:c>
      <x:c r="B1409" s="3" t="str">
        <x:v>SEC014</x:v>
      </x:c>
      <x:c r="C1409" s="3" t="n">
        <x:v>10</x:v>
      </x:c>
      <x:c r="D1409" s="3" t="str">
        <x:v>present</x:v>
      </x:c>
      <x:c r="E1409" s="5" t="str">
        <x:f>VLOOKUP(B1409,Sections!$A$5:$I$45,3,FALSE)</x:f>
        <x:v>2024-1</x:v>
      </x:c>
    </x:row>
    <x:row r="1410" ht="21" customHeight="1">
      <x:c r="A1410" s="3" t="str">
        <x:v>2201005</x:v>
      </x:c>
      <x:c r="B1410" s="3" t="str">
        <x:v>SEC014</x:v>
      </x:c>
      <x:c r="C1410" s="3" t="n">
        <x:v>11</x:v>
      </x:c>
      <x:c r="D1410" s="3" t="str">
        <x:v>present</x:v>
      </x:c>
      <x:c r="E1410" s="5" t="str">
        <x:f>VLOOKUP(B1410,Sections!$A$5:$I$45,3,FALSE)</x:f>
        <x:v>2024-1</x:v>
      </x:c>
    </x:row>
    <x:row r="1411" ht="21" customHeight="1">
      <x:c r="A1411" s="3" t="str">
        <x:v>2201005</x:v>
      </x:c>
      <x:c r="B1411" s="3" t="str">
        <x:v>SEC014</x:v>
      </x:c>
      <x:c r="C1411" s="3" t="n">
        <x:v>12</x:v>
      </x:c>
      <x:c r="D1411" s="3" t="str">
        <x:v>absent</x:v>
      </x:c>
      <x:c r="E1411" s="5" t="str">
        <x:f>VLOOKUP(B1411,Sections!$A$5:$I$45,3,FALSE)</x:f>
        <x:v>2024-1</x:v>
      </x:c>
    </x:row>
    <x:row r="1412" ht="21" customHeight="1">
      <x:c r="A1412" s="3" t="str">
        <x:v>2201005</x:v>
      </x:c>
      <x:c r="B1412" s="3" t="str">
        <x:v>SEC014</x:v>
      </x:c>
      <x:c r="C1412" s="3" t="n">
        <x:v>13</x:v>
      </x:c>
      <x:c r="D1412" s="3" t="str">
        <x:v>present</x:v>
      </x:c>
      <x:c r="E1412" s="5" t="str">
        <x:f>VLOOKUP(B1412,Sections!$A$5:$I$45,3,FALSE)</x:f>
        <x:v>2024-1</x:v>
      </x:c>
    </x:row>
    <x:row r="1413" ht="21" customHeight="1">
      <x:c r="A1413" s="3" t="str">
        <x:v>2201005</x:v>
      </x:c>
      <x:c r="B1413" s="3" t="str">
        <x:v>SEC014</x:v>
      </x:c>
      <x:c r="C1413" s="3" t="n">
        <x:v>14</x:v>
      </x:c>
      <x:c r="D1413" s="3" t="str">
        <x:v>present</x:v>
      </x:c>
      <x:c r="E1413" s="5" t="str">
        <x:f>VLOOKUP(B1413,Sections!$A$5:$I$45,3,FALSE)</x:f>
        <x:v>2024-1</x:v>
      </x:c>
    </x:row>
    <x:row r="1414" ht="21" customHeight="1">
      <x:c r="A1414" s="3" t="str">
        <x:v>2201005</x:v>
      </x:c>
      <x:c r="B1414" s="3" t="str">
        <x:v>SEC014</x:v>
      </x:c>
      <x:c r="C1414" s="3" t="n">
        <x:v>15</x:v>
      </x:c>
      <x:c r="D1414" s="3" t="str">
        <x:v>present</x:v>
      </x:c>
      <x:c r="E1414" s="5" t="str">
        <x:f>VLOOKUP(B1414,Sections!$A$5:$I$45,3,FALSE)</x:f>
        <x:v>2024-1</x:v>
      </x:c>
    </x:row>
    <x:row r="1415" ht="21" customHeight="1">
      <x:c r="A1415" s="3" t="str">
        <x:v>2201006</x:v>
      </x:c>
      <x:c r="B1415" s="3" t="str">
        <x:v>SEC014</x:v>
      </x:c>
      <x:c r="C1415" s="3" t="n">
        <x:v>1</x:v>
      </x:c>
      <x:c r="D1415" s="3" t="str">
        <x:v>present</x:v>
      </x:c>
      <x:c r="E1415" s="5" t="str">
        <x:f>VLOOKUP(B1415,Sections!$A$5:$I$45,3,FALSE)</x:f>
        <x:v>2024-1</x:v>
      </x:c>
    </x:row>
    <x:row r="1416" ht="21" customHeight="1">
      <x:c r="A1416" s="3" t="str">
        <x:v>2201006</x:v>
      </x:c>
      <x:c r="B1416" s="3" t="str">
        <x:v>SEC014</x:v>
      </x:c>
      <x:c r="C1416" s="3" t="n">
        <x:v>2</x:v>
      </x:c>
      <x:c r="D1416" s="3" t="str">
        <x:v>present</x:v>
      </x:c>
      <x:c r="E1416" s="5" t="str">
        <x:f>VLOOKUP(B1416,Sections!$A$5:$I$45,3,FALSE)</x:f>
        <x:v>2024-1</x:v>
      </x:c>
    </x:row>
    <x:row r="1417" ht="21" customHeight="1">
      <x:c r="A1417" s="3" t="str">
        <x:v>2201006</x:v>
      </x:c>
      <x:c r="B1417" s="3" t="str">
        <x:v>SEC014</x:v>
      </x:c>
      <x:c r="C1417" s="3" t="n">
        <x:v>3</x:v>
      </x:c>
      <x:c r="D1417" s="3" t="str">
        <x:v>present</x:v>
      </x:c>
      <x:c r="E1417" s="5" t="str">
        <x:f>VLOOKUP(B1417,Sections!$A$5:$I$45,3,FALSE)</x:f>
        <x:v>2024-1</x:v>
      </x:c>
    </x:row>
    <x:row r="1418" ht="21" customHeight="1">
      <x:c r="A1418" s="3" t="str">
        <x:v>2201006</x:v>
      </x:c>
      <x:c r="B1418" s="3" t="str">
        <x:v>SEC014</x:v>
      </x:c>
      <x:c r="C1418" s="3" t="n">
        <x:v>4</x:v>
      </x:c>
      <x:c r="D1418" s="3" t="str">
        <x:v>present</x:v>
      </x:c>
      <x:c r="E1418" s="5" t="str">
        <x:f>VLOOKUP(B1418,Sections!$A$5:$I$45,3,FALSE)</x:f>
        <x:v>2024-1</x:v>
      </x:c>
    </x:row>
    <x:row r="1419" ht="21" customHeight="1">
      <x:c r="A1419" s="3" t="str">
        <x:v>2201006</x:v>
      </x:c>
      <x:c r="B1419" s="3" t="str">
        <x:v>SEC014</x:v>
      </x:c>
      <x:c r="C1419" s="3" t="n">
        <x:v>5</x:v>
      </x:c>
      <x:c r="D1419" s="3" t="str">
        <x:v>present</x:v>
      </x:c>
      <x:c r="E1419" s="5" t="str">
        <x:f>VLOOKUP(B1419,Sections!$A$5:$I$45,3,FALSE)</x:f>
        <x:v>2024-1</x:v>
      </x:c>
    </x:row>
    <x:row r="1420" ht="21" customHeight="1">
      <x:c r="A1420" s="3" t="str">
        <x:v>2201006</x:v>
      </x:c>
      <x:c r="B1420" s="3" t="str">
        <x:v>SEC014</x:v>
      </x:c>
      <x:c r="C1420" s="3" t="n">
        <x:v>6</x:v>
      </x:c>
      <x:c r="D1420" s="3" t="str">
        <x:v>present</x:v>
      </x:c>
      <x:c r="E1420" s="5" t="str">
        <x:f>VLOOKUP(B1420,Sections!$A$5:$I$45,3,FALSE)</x:f>
        <x:v>2024-1</x:v>
      </x:c>
    </x:row>
    <x:row r="1421" ht="21" customHeight="1">
      <x:c r="A1421" s="3" t="str">
        <x:v>2201006</x:v>
      </x:c>
      <x:c r="B1421" s="3" t="str">
        <x:v>SEC014</x:v>
      </x:c>
      <x:c r="C1421" s="3" t="n">
        <x:v>7</x:v>
      </x:c>
      <x:c r="D1421" s="3" t="str">
        <x:v>present</x:v>
      </x:c>
      <x:c r="E1421" s="5" t="str">
        <x:f>VLOOKUP(B1421,Sections!$A$5:$I$45,3,FALSE)</x:f>
        <x:v>2024-1</x:v>
      </x:c>
    </x:row>
    <x:row r="1422" ht="21" customHeight="1">
      <x:c r="A1422" s="3" t="str">
        <x:v>2201006</x:v>
      </x:c>
      <x:c r="B1422" s="3" t="str">
        <x:v>SEC014</x:v>
      </x:c>
      <x:c r="C1422" s="3" t="n">
        <x:v>8</x:v>
      </x:c>
      <x:c r="D1422" s="3" t="str">
        <x:v>present</x:v>
      </x:c>
      <x:c r="E1422" s="5" t="str">
        <x:f>VLOOKUP(B1422,Sections!$A$5:$I$45,3,FALSE)</x:f>
        <x:v>2024-1</x:v>
      </x:c>
    </x:row>
    <x:row r="1423" ht="21" customHeight="1">
      <x:c r="A1423" s="3" t="str">
        <x:v>2201006</x:v>
      </x:c>
      <x:c r="B1423" s="3" t="str">
        <x:v>SEC014</x:v>
      </x:c>
      <x:c r="C1423" s="3" t="n">
        <x:v>9</x:v>
      </x:c>
      <x:c r="D1423" s="3" t="str">
        <x:v>present</x:v>
      </x:c>
      <x:c r="E1423" s="5" t="str">
        <x:f>VLOOKUP(B1423,Sections!$A$5:$I$45,3,FALSE)</x:f>
        <x:v>2024-1</x:v>
      </x:c>
    </x:row>
    <x:row r="1424" ht="21" customHeight="1">
      <x:c r="A1424" s="3" t="str">
        <x:v>2201006</x:v>
      </x:c>
      <x:c r="B1424" s="3" t="str">
        <x:v>SEC014</x:v>
      </x:c>
      <x:c r="C1424" s="3" t="n">
        <x:v>10</x:v>
      </x:c>
      <x:c r="D1424" s="3" t="str">
        <x:v>present</x:v>
      </x:c>
      <x:c r="E1424" s="5" t="str">
        <x:f>VLOOKUP(B1424,Sections!$A$5:$I$45,3,FALSE)</x:f>
        <x:v>2024-1</x:v>
      </x:c>
    </x:row>
    <x:row r="1425" ht="21" customHeight="1">
      <x:c r="A1425" s="3" t="str">
        <x:v>2201006</x:v>
      </x:c>
      <x:c r="B1425" s="3" t="str">
        <x:v>SEC014</x:v>
      </x:c>
      <x:c r="C1425" s="3" t="n">
        <x:v>11</x:v>
      </x:c>
      <x:c r="D1425" s="3" t="str">
        <x:v>present</x:v>
      </x:c>
      <x:c r="E1425" s="5" t="str">
        <x:f>VLOOKUP(B1425,Sections!$A$5:$I$45,3,FALSE)</x:f>
        <x:v>2024-1</x:v>
      </x:c>
    </x:row>
    <x:row r="1426" ht="21" customHeight="1">
      <x:c r="A1426" s="3" t="str">
        <x:v>2201006</x:v>
      </x:c>
      <x:c r="B1426" s="3" t="str">
        <x:v>SEC014</x:v>
      </x:c>
      <x:c r="C1426" s="3" t="n">
        <x:v>12</x:v>
      </x:c>
      <x:c r="D1426" s="3" t="str">
        <x:v>present</x:v>
      </x:c>
      <x:c r="E1426" s="5" t="str">
        <x:f>VLOOKUP(B1426,Sections!$A$5:$I$45,3,FALSE)</x:f>
        <x:v>2024-1</x:v>
      </x:c>
    </x:row>
    <x:row r="1427" ht="21" customHeight="1">
      <x:c r="A1427" s="3" t="str">
        <x:v>2201006</x:v>
      </x:c>
      <x:c r="B1427" s="3" t="str">
        <x:v>SEC014</x:v>
      </x:c>
      <x:c r="C1427" s="3" t="n">
        <x:v>13</x:v>
      </x:c>
      <x:c r="D1427" s="3" t="str">
        <x:v>present</x:v>
      </x:c>
      <x:c r="E1427" s="5" t="str">
        <x:f>VLOOKUP(B1427,Sections!$A$5:$I$45,3,FALSE)</x:f>
        <x:v>2024-1</x:v>
      </x:c>
    </x:row>
    <x:row r="1428" ht="21" customHeight="1">
      <x:c r="A1428" s="3" t="str">
        <x:v>2201006</x:v>
      </x:c>
      <x:c r="B1428" s="3" t="str">
        <x:v>SEC014</x:v>
      </x:c>
      <x:c r="C1428" s="3" t="n">
        <x:v>14</x:v>
      </x:c>
      <x:c r="D1428" s="3" t="str">
        <x:v>present</x:v>
      </x:c>
      <x:c r="E1428" s="5" t="str">
        <x:f>VLOOKUP(B1428,Sections!$A$5:$I$45,3,FALSE)</x:f>
        <x:v>2024-1</x:v>
      </x:c>
    </x:row>
    <x:row r="1429" ht="21" customHeight="1">
      <x:c r="A1429" s="3" t="str">
        <x:v>2201006</x:v>
      </x:c>
      <x:c r="B1429" s="3" t="str">
        <x:v>SEC014</x:v>
      </x:c>
      <x:c r="C1429" s="3" t="n">
        <x:v>15</x:v>
      </x:c>
      <x:c r="D1429" s="3" t="str">
        <x:v>present</x:v>
      </x:c>
      <x:c r="E1429" s="5" t="str">
        <x:f>VLOOKUP(B1429,Sections!$A$5:$I$45,3,FALSE)</x:f>
        <x:v>2024-1</x:v>
      </x:c>
    </x:row>
    <x:row r="1430" ht="21" customHeight="1">
      <x:c r="A1430" s="3" t="str">
        <x:v>2201007</x:v>
      </x:c>
      <x:c r="B1430" s="3" t="str">
        <x:v>SEC014</x:v>
      </x:c>
      <x:c r="C1430" s="3" t="n">
        <x:v>1</x:v>
      </x:c>
      <x:c r="D1430" s="3" t="str">
        <x:v>present</x:v>
      </x:c>
      <x:c r="E1430" s="5" t="str">
        <x:f>VLOOKUP(B1430,Sections!$A$5:$I$45,3,FALSE)</x:f>
        <x:v>2024-1</x:v>
      </x:c>
    </x:row>
    <x:row r="1431" ht="21" customHeight="1">
      <x:c r="A1431" s="3" t="str">
        <x:v>2201007</x:v>
      </x:c>
      <x:c r="B1431" s="3" t="str">
        <x:v>SEC014</x:v>
      </x:c>
      <x:c r="C1431" s="3" t="n">
        <x:v>2</x:v>
      </x:c>
      <x:c r="D1431" s="3" t="str">
        <x:v>present</x:v>
      </x:c>
      <x:c r="E1431" s="5" t="str">
        <x:f>VLOOKUP(B1431,Sections!$A$5:$I$45,3,FALSE)</x:f>
        <x:v>2024-1</x:v>
      </x:c>
    </x:row>
    <x:row r="1432" ht="21" customHeight="1">
      <x:c r="A1432" s="3" t="str">
        <x:v>2201007</x:v>
      </x:c>
      <x:c r="B1432" s="3" t="str">
        <x:v>SEC014</x:v>
      </x:c>
      <x:c r="C1432" s="3" t="n">
        <x:v>3</x:v>
      </x:c>
      <x:c r="D1432" s="3" t="str">
        <x:v>present</x:v>
      </x:c>
      <x:c r="E1432" s="5" t="str">
        <x:f>VLOOKUP(B1432,Sections!$A$5:$I$45,3,FALSE)</x:f>
        <x:v>2024-1</x:v>
      </x:c>
    </x:row>
    <x:row r="1433" ht="21" customHeight="1">
      <x:c r="A1433" s="3" t="str">
        <x:v>2201007</x:v>
      </x:c>
      <x:c r="B1433" s="3" t="str">
        <x:v>SEC014</x:v>
      </x:c>
      <x:c r="C1433" s="3" t="n">
        <x:v>4</x:v>
      </x:c>
      <x:c r="D1433" s="3" t="str">
        <x:v>present</x:v>
      </x:c>
      <x:c r="E1433" s="5" t="str">
        <x:f>VLOOKUP(B1433,Sections!$A$5:$I$45,3,FALSE)</x:f>
        <x:v>2024-1</x:v>
      </x:c>
    </x:row>
    <x:row r="1434" ht="21" customHeight="1">
      <x:c r="A1434" s="3" t="str">
        <x:v>2201007</x:v>
      </x:c>
      <x:c r="B1434" s="3" t="str">
        <x:v>SEC014</x:v>
      </x:c>
      <x:c r="C1434" s="3" t="n">
        <x:v>5</x:v>
      </x:c>
      <x:c r="D1434" s="3" t="str">
        <x:v>present</x:v>
      </x:c>
      <x:c r="E1434" s="5" t="str">
        <x:f>VLOOKUP(B1434,Sections!$A$5:$I$45,3,FALSE)</x:f>
        <x:v>2024-1</x:v>
      </x:c>
    </x:row>
    <x:row r="1435" ht="21" customHeight="1">
      <x:c r="A1435" s="3" t="str">
        <x:v>2201007</x:v>
      </x:c>
      <x:c r="B1435" s="3" t="str">
        <x:v>SEC014</x:v>
      </x:c>
      <x:c r="C1435" s="3" t="n">
        <x:v>6</x:v>
      </x:c>
      <x:c r="D1435" s="3" t="str">
        <x:v>present</x:v>
      </x:c>
      <x:c r="E1435" s="5" t="str">
        <x:f>VLOOKUP(B1435,Sections!$A$5:$I$45,3,FALSE)</x:f>
        <x:v>2024-1</x:v>
      </x:c>
    </x:row>
    <x:row r="1436" ht="21" customHeight="1">
      <x:c r="A1436" s="3" t="str">
        <x:v>2201007</x:v>
      </x:c>
      <x:c r="B1436" s="3" t="str">
        <x:v>SEC014</x:v>
      </x:c>
      <x:c r="C1436" s="3" t="n">
        <x:v>7</x:v>
      </x:c>
      <x:c r="D1436" s="3" t="str">
        <x:v>present</x:v>
      </x:c>
      <x:c r="E1436" s="5" t="str">
        <x:f>VLOOKUP(B1436,Sections!$A$5:$I$45,3,FALSE)</x:f>
        <x:v>2024-1</x:v>
      </x:c>
    </x:row>
    <x:row r="1437" ht="21" customHeight="1">
      <x:c r="A1437" s="3" t="str">
        <x:v>2201007</x:v>
      </x:c>
      <x:c r="B1437" s="3" t="str">
        <x:v>SEC014</x:v>
      </x:c>
      <x:c r="C1437" s="3" t="n">
        <x:v>8</x:v>
      </x:c>
      <x:c r="D1437" s="3" t="str">
        <x:v>present</x:v>
      </x:c>
      <x:c r="E1437" s="5" t="str">
        <x:f>VLOOKUP(B1437,Sections!$A$5:$I$45,3,FALSE)</x:f>
        <x:v>2024-1</x:v>
      </x:c>
    </x:row>
    <x:row r="1438" ht="21" customHeight="1">
      <x:c r="A1438" s="3" t="str">
        <x:v>2201007</x:v>
      </x:c>
      <x:c r="B1438" s="3" t="str">
        <x:v>SEC014</x:v>
      </x:c>
      <x:c r="C1438" s="3" t="n">
        <x:v>9</x:v>
      </x:c>
      <x:c r="D1438" s="3" t="str">
        <x:v>present</x:v>
      </x:c>
      <x:c r="E1438" s="5" t="str">
        <x:f>VLOOKUP(B1438,Sections!$A$5:$I$45,3,FALSE)</x:f>
        <x:v>2024-1</x:v>
      </x:c>
    </x:row>
    <x:row r="1439" ht="21" customHeight="1">
      <x:c r="A1439" s="3" t="str">
        <x:v>2201007</x:v>
      </x:c>
      <x:c r="B1439" s="3" t="str">
        <x:v>SEC014</x:v>
      </x:c>
      <x:c r="C1439" s="3" t="n">
        <x:v>10</x:v>
      </x:c>
      <x:c r="D1439" s="3" t="str">
        <x:v>present</x:v>
      </x:c>
      <x:c r="E1439" s="5" t="str">
        <x:f>VLOOKUP(B1439,Sections!$A$5:$I$45,3,FALSE)</x:f>
        <x:v>2024-1</x:v>
      </x:c>
    </x:row>
    <x:row r="1440" ht="21" customHeight="1">
      <x:c r="A1440" s="3" t="str">
        <x:v>2201007</x:v>
      </x:c>
      <x:c r="B1440" s="3" t="str">
        <x:v>SEC014</x:v>
      </x:c>
      <x:c r="C1440" s="3" t="n">
        <x:v>11</x:v>
      </x:c>
      <x:c r="D1440" s="3" t="str">
        <x:v>present</x:v>
      </x:c>
      <x:c r="E1440" s="5" t="str">
        <x:f>VLOOKUP(B1440,Sections!$A$5:$I$45,3,FALSE)</x:f>
        <x:v>2024-1</x:v>
      </x:c>
    </x:row>
    <x:row r="1441" ht="21" customHeight="1">
      <x:c r="A1441" s="3" t="str">
        <x:v>2201007</x:v>
      </x:c>
      <x:c r="B1441" s="3" t="str">
        <x:v>SEC014</x:v>
      </x:c>
      <x:c r="C1441" s="3" t="n">
        <x:v>12</x:v>
      </x:c>
      <x:c r="D1441" s="3" t="str">
        <x:v>excused</x:v>
      </x:c>
      <x:c r="E1441" s="5" t="str">
        <x:f>VLOOKUP(B1441,Sections!$A$5:$I$45,3,FALSE)</x:f>
        <x:v>2024-1</x:v>
      </x:c>
    </x:row>
    <x:row r="1442" ht="21" customHeight="1">
      <x:c r="A1442" s="3" t="str">
        <x:v>2201007</x:v>
      </x:c>
      <x:c r="B1442" s="3" t="str">
        <x:v>SEC014</x:v>
      </x:c>
      <x:c r="C1442" s="3" t="n">
        <x:v>13</x:v>
      </x:c>
      <x:c r="D1442" s="3" t="str">
        <x:v>present</x:v>
      </x:c>
      <x:c r="E1442" s="5" t="str">
        <x:f>VLOOKUP(B1442,Sections!$A$5:$I$45,3,FALSE)</x:f>
        <x:v>2024-1</x:v>
      </x:c>
    </x:row>
    <x:row r="1443" ht="21" customHeight="1">
      <x:c r="A1443" s="3" t="str">
        <x:v>2201007</x:v>
      </x:c>
      <x:c r="B1443" s="3" t="str">
        <x:v>SEC014</x:v>
      </x:c>
      <x:c r="C1443" s="3" t="n">
        <x:v>14</x:v>
      </x:c>
      <x:c r="D1443" s="3" t="str">
        <x:v>present</x:v>
      </x:c>
      <x:c r="E1443" s="5" t="str">
        <x:f>VLOOKUP(B1443,Sections!$A$5:$I$45,3,FALSE)</x:f>
        <x:v>2024-1</x:v>
      </x:c>
    </x:row>
    <x:row r="1444" ht="21" customHeight="1">
      <x:c r="A1444" s="3" t="str">
        <x:v>2201007</x:v>
      </x:c>
      <x:c r="B1444" s="3" t="str">
        <x:v>SEC014</x:v>
      </x:c>
      <x:c r="C1444" s="3" t="n">
        <x:v>15</x:v>
      </x:c>
      <x:c r="D1444" s="3" t="str">
        <x:v>present</x:v>
      </x:c>
      <x:c r="E1444" s="5" t="str">
        <x:f>VLOOKUP(B1444,Sections!$A$5:$I$45,3,FALSE)</x:f>
        <x:v>2024-1</x:v>
      </x:c>
    </x:row>
    <x:row r="1445" ht="21" customHeight="1">
      <x:c r="A1445" s="3" t="str">
        <x:v>2201008</x:v>
      </x:c>
      <x:c r="B1445" s="3" t="str">
        <x:v>SEC014</x:v>
      </x:c>
      <x:c r="C1445" s="3" t="n">
        <x:v>1</x:v>
      </x:c>
      <x:c r="D1445" s="3" t="str">
        <x:v>late</x:v>
      </x:c>
      <x:c r="E1445" s="5" t="str">
        <x:f>VLOOKUP(B1445,Sections!$A$5:$I$45,3,FALSE)</x:f>
        <x:v>2024-1</x:v>
      </x:c>
    </x:row>
    <x:row r="1446" ht="21" customHeight="1">
      <x:c r="A1446" s="3" t="str">
        <x:v>2201008</x:v>
      </x:c>
      <x:c r="B1446" s="3" t="str">
        <x:v>SEC014</x:v>
      </x:c>
      <x:c r="C1446" s="3" t="n">
        <x:v>2</x:v>
      </x:c>
      <x:c r="D1446" s="3" t="str">
        <x:v>present</x:v>
      </x:c>
      <x:c r="E1446" s="5" t="str">
        <x:f>VLOOKUP(B1446,Sections!$A$5:$I$45,3,FALSE)</x:f>
        <x:v>2024-1</x:v>
      </x:c>
    </x:row>
    <x:row r="1447" ht="21" customHeight="1">
      <x:c r="A1447" s="3" t="str">
        <x:v>2201008</x:v>
      </x:c>
      <x:c r="B1447" s="3" t="str">
        <x:v>SEC014</x:v>
      </x:c>
      <x:c r="C1447" s="3" t="n">
        <x:v>3</x:v>
      </x:c>
      <x:c r="D1447" s="3" t="str">
        <x:v>absent</x:v>
      </x:c>
      <x:c r="E1447" s="5" t="str">
        <x:f>VLOOKUP(B1447,Sections!$A$5:$I$45,3,FALSE)</x:f>
        <x:v>2024-1</x:v>
      </x:c>
    </x:row>
    <x:row r="1448" ht="21" customHeight="1">
      <x:c r="A1448" s="3" t="str">
        <x:v>2201008</x:v>
      </x:c>
      <x:c r="B1448" s="3" t="str">
        <x:v>SEC014</x:v>
      </x:c>
      <x:c r="C1448" s="3" t="n">
        <x:v>4</x:v>
      </x:c>
      <x:c r="D1448" s="3" t="str">
        <x:v>present</x:v>
      </x:c>
      <x:c r="E1448" s="5" t="str">
        <x:f>VLOOKUP(B1448,Sections!$A$5:$I$45,3,FALSE)</x:f>
        <x:v>2024-1</x:v>
      </x:c>
    </x:row>
    <x:row r="1449" ht="21" customHeight="1">
      <x:c r="A1449" s="3" t="str">
        <x:v>2201008</x:v>
      </x:c>
      <x:c r="B1449" s="3" t="str">
        <x:v>SEC014</x:v>
      </x:c>
      <x:c r="C1449" s="3" t="n">
        <x:v>5</x:v>
      </x:c>
      <x:c r="D1449" s="3" t="str">
        <x:v>excused</x:v>
      </x:c>
      <x:c r="E1449" s="5" t="str">
        <x:f>VLOOKUP(B1449,Sections!$A$5:$I$45,3,FALSE)</x:f>
        <x:v>2024-1</x:v>
      </x:c>
    </x:row>
    <x:row r="1450" ht="21" customHeight="1">
      <x:c r="A1450" s="3" t="str">
        <x:v>2201008</x:v>
      </x:c>
      <x:c r="B1450" s="3" t="str">
        <x:v>SEC014</x:v>
      </x:c>
      <x:c r="C1450" s="3" t="n">
        <x:v>6</x:v>
      </x:c>
      <x:c r="D1450" s="3" t="str">
        <x:v>present</x:v>
      </x:c>
      <x:c r="E1450" s="5" t="str">
        <x:f>VLOOKUP(B1450,Sections!$A$5:$I$45,3,FALSE)</x:f>
        <x:v>2024-1</x:v>
      </x:c>
    </x:row>
    <x:row r="1451" ht="21" customHeight="1">
      <x:c r="A1451" s="3" t="str">
        <x:v>2201008</x:v>
      </x:c>
      <x:c r="B1451" s="3" t="str">
        <x:v>SEC014</x:v>
      </x:c>
      <x:c r="C1451" s="3" t="n">
        <x:v>7</x:v>
      </x:c>
      <x:c r="D1451" s="3" t="str">
        <x:v>absent</x:v>
      </x:c>
      <x:c r="E1451" s="5" t="str">
        <x:f>VLOOKUP(B1451,Sections!$A$5:$I$45,3,FALSE)</x:f>
        <x:v>2024-1</x:v>
      </x:c>
    </x:row>
    <x:row r="1452" ht="21" customHeight="1">
      <x:c r="A1452" s="3" t="str">
        <x:v>2201008</x:v>
      </x:c>
      <x:c r="B1452" s="3" t="str">
        <x:v>SEC014</x:v>
      </x:c>
      <x:c r="C1452" s="3" t="n">
        <x:v>8</x:v>
      </x:c>
      <x:c r="D1452" s="3" t="str">
        <x:v>present</x:v>
      </x:c>
      <x:c r="E1452" s="5" t="str">
        <x:f>VLOOKUP(B1452,Sections!$A$5:$I$45,3,FALSE)</x:f>
        <x:v>2024-1</x:v>
      </x:c>
    </x:row>
    <x:row r="1453" ht="21" customHeight="1">
      <x:c r="A1453" s="3" t="str">
        <x:v>2201008</x:v>
      </x:c>
      <x:c r="B1453" s="3" t="str">
        <x:v>SEC014</x:v>
      </x:c>
      <x:c r="C1453" s="3" t="n">
        <x:v>9</x:v>
      </x:c>
      <x:c r="D1453" s="3" t="str">
        <x:v>present</x:v>
      </x:c>
      <x:c r="E1453" s="5" t="str">
        <x:f>VLOOKUP(B1453,Sections!$A$5:$I$45,3,FALSE)</x:f>
        <x:v>2024-1</x:v>
      </x:c>
    </x:row>
    <x:row r="1454" ht="21" customHeight="1">
      <x:c r="A1454" s="3" t="str">
        <x:v>2201008</x:v>
      </x:c>
      <x:c r="B1454" s="3" t="str">
        <x:v>SEC014</x:v>
      </x:c>
      <x:c r="C1454" s="3" t="n">
        <x:v>10</x:v>
      </x:c>
      <x:c r="D1454" s="3" t="str">
        <x:v>present</x:v>
      </x:c>
      <x:c r="E1454" s="5" t="str">
        <x:f>VLOOKUP(B1454,Sections!$A$5:$I$45,3,FALSE)</x:f>
        <x:v>2024-1</x:v>
      </x:c>
    </x:row>
    <x:row r="1455" ht="21" customHeight="1">
      <x:c r="A1455" s="3" t="str">
        <x:v>2201008</x:v>
      </x:c>
      <x:c r="B1455" s="3" t="str">
        <x:v>SEC014</x:v>
      </x:c>
      <x:c r="C1455" s="3" t="n">
        <x:v>11</x:v>
      </x:c>
      <x:c r="D1455" s="3" t="str">
        <x:v>present</x:v>
      </x:c>
      <x:c r="E1455" s="5" t="str">
        <x:f>VLOOKUP(B1455,Sections!$A$5:$I$45,3,FALSE)</x:f>
        <x:v>2024-1</x:v>
      </x:c>
    </x:row>
    <x:row r="1456" ht="21" customHeight="1">
      <x:c r="A1456" s="3" t="str">
        <x:v>2201008</x:v>
      </x:c>
      <x:c r="B1456" s="3" t="str">
        <x:v>SEC014</x:v>
      </x:c>
      <x:c r="C1456" s="3" t="n">
        <x:v>12</x:v>
      </x:c>
      <x:c r="D1456" s="3" t="str">
        <x:v>present</x:v>
      </x:c>
      <x:c r="E1456" s="5" t="str">
        <x:f>VLOOKUP(B1456,Sections!$A$5:$I$45,3,FALSE)</x:f>
        <x:v>2024-1</x:v>
      </x:c>
    </x:row>
    <x:row r="1457" ht="21" customHeight="1">
      <x:c r="A1457" s="3" t="str">
        <x:v>2201008</x:v>
      </x:c>
      <x:c r="B1457" s="3" t="str">
        <x:v>SEC014</x:v>
      </x:c>
      <x:c r="C1457" s="3" t="n">
        <x:v>13</x:v>
      </x:c>
      <x:c r="D1457" s="3" t="str">
        <x:v>present</x:v>
      </x:c>
      <x:c r="E1457" s="5" t="str">
        <x:f>VLOOKUP(B1457,Sections!$A$5:$I$45,3,FALSE)</x:f>
        <x:v>2024-1</x:v>
      </x:c>
    </x:row>
    <x:row r="1458" ht="21" customHeight="1">
      <x:c r="A1458" s="3" t="str">
        <x:v>2201008</x:v>
      </x:c>
      <x:c r="B1458" s="3" t="str">
        <x:v>SEC014</x:v>
      </x:c>
      <x:c r="C1458" s="3" t="n">
        <x:v>14</x:v>
      </x:c>
      <x:c r="D1458" s="3" t="str">
        <x:v>present</x:v>
      </x:c>
      <x:c r="E1458" s="5" t="str">
        <x:f>VLOOKUP(B1458,Sections!$A$5:$I$45,3,FALSE)</x:f>
        <x:v>2024-1</x:v>
      </x:c>
    </x:row>
    <x:row r="1459" ht="21" customHeight="1">
      <x:c r="A1459" s="3" t="str">
        <x:v>2201008</x:v>
      </x:c>
      <x:c r="B1459" s="3" t="str">
        <x:v>SEC014</x:v>
      </x:c>
      <x:c r="C1459" s="3" t="n">
        <x:v>15</x:v>
      </x:c>
      <x:c r="D1459" s="3" t="str">
        <x:v>present</x:v>
      </x:c>
      <x:c r="E1459" s="5" t="str">
        <x:f>VLOOKUP(B1459,Sections!$A$5:$I$45,3,FALSE)</x:f>
        <x:v>2024-1</x:v>
      </x:c>
    </x:row>
    <x:row r="1460" ht="21" customHeight="1">
      <x:c r="A1460" s="3" t="str">
        <x:v>2201009</x:v>
      </x:c>
      <x:c r="B1460" s="3" t="str">
        <x:v>SEC014</x:v>
      </x:c>
      <x:c r="C1460" s="3" t="n">
        <x:v>1</x:v>
      </x:c>
      <x:c r="D1460" s="3" t="str">
        <x:v>present</x:v>
      </x:c>
      <x:c r="E1460" s="5" t="str">
        <x:f>VLOOKUP(B1460,Sections!$A$5:$I$45,3,FALSE)</x:f>
        <x:v>2024-1</x:v>
      </x:c>
    </x:row>
    <x:row r="1461" ht="21" customHeight="1">
      <x:c r="A1461" s="3" t="str">
        <x:v>2201009</x:v>
      </x:c>
      <x:c r="B1461" s="3" t="str">
        <x:v>SEC014</x:v>
      </x:c>
      <x:c r="C1461" s="3" t="n">
        <x:v>2</x:v>
      </x:c>
      <x:c r="D1461" s="3" t="str">
        <x:v>present</x:v>
      </x:c>
      <x:c r="E1461" s="5" t="str">
        <x:f>VLOOKUP(B1461,Sections!$A$5:$I$45,3,FALSE)</x:f>
        <x:v>2024-1</x:v>
      </x:c>
    </x:row>
    <x:row r="1462" ht="21" customHeight="1">
      <x:c r="A1462" s="3" t="str">
        <x:v>2201009</x:v>
      </x:c>
      <x:c r="B1462" s="3" t="str">
        <x:v>SEC014</x:v>
      </x:c>
      <x:c r="C1462" s="3" t="n">
        <x:v>3</x:v>
      </x:c>
      <x:c r="D1462" s="3" t="str">
        <x:v>present</x:v>
      </x:c>
      <x:c r="E1462" s="5" t="str">
        <x:f>VLOOKUP(B1462,Sections!$A$5:$I$45,3,FALSE)</x:f>
        <x:v>2024-1</x:v>
      </x:c>
    </x:row>
    <x:row r="1463" ht="21" customHeight="1">
      <x:c r="A1463" s="3" t="str">
        <x:v>2201009</x:v>
      </x:c>
      <x:c r="B1463" s="3" t="str">
        <x:v>SEC014</x:v>
      </x:c>
      <x:c r="C1463" s="3" t="n">
        <x:v>4</x:v>
      </x:c>
      <x:c r="D1463" s="3" t="str">
        <x:v>absent</x:v>
      </x:c>
      <x:c r="E1463" s="5" t="str">
        <x:f>VLOOKUP(B1463,Sections!$A$5:$I$45,3,FALSE)</x:f>
        <x:v>2024-1</x:v>
      </x:c>
    </x:row>
    <x:row r="1464" ht="21" customHeight="1">
      <x:c r="A1464" s="3" t="str">
        <x:v>2201009</x:v>
      </x:c>
      <x:c r="B1464" s="3" t="str">
        <x:v>SEC014</x:v>
      </x:c>
      <x:c r="C1464" s="3" t="n">
        <x:v>5</x:v>
      </x:c>
      <x:c r="D1464" s="3" t="str">
        <x:v>present</x:v>
      </x:c>
      <x:c r="E1464" s="5" t="str">
        <x:f>VLOOKUP(B1464,Sections!$A$5:$I$45,3,FALSE)</x:f>
        <x:v>2024-1</x:v>
      </x:c>
    </x:row>
    <x:row r="1465" ht="21" customHeight="1">
      <x:c r="A1465" s="3" t="str">
        <x:v>2201009</x:v>
      </x:c>
      <x:c r="B1465" s="3" t="str">
        <x:v>SEC014</x:v>
      </x:c>
      <x:c r="C1465" s="3" t="n">
        <x:v>6</x:v>
      </x:c>
      <x:c r="D1465" s="3" t="str">
        <x:v>present</x:v>
      </x:c>
      <x:c r="E1465" s="5" t="str">
        <x:f>VLOOKUP(B1465,Sections!$A$5:$I$45,3,FALSE)</x:f>
        <x:v>2024-1</x:v>
      </x:c>
    </x:row>
    <x:row r="1466" ht="21" customHeight="1">
      <x:c r="A1466" s="3" t="str">
        <x:v>2201009</x:v>
      </x:c>
      <x:c r="B1466" s="3" t="str">
        <x:v>SEC014</x:v>
      </x:c>
      <x:c r="C1466" s="3" t="n">
        <x:v>7</x:v>
      </x:c>
      <x:c r="D1466" s="3" t="str">
        <x:v>present</x:v>
      </x:c>
      <x:c r="E1466" s="5" t="str">
        <x:f>VLOOKUP(B1466,Sections!$A$5:$I$45,3,FALSE)</x:f>
        <x:v>2024-1</x:v>
      </x:c>
    </x:row>
    <x:row r="1467" ht="21" customHeight="1">
      <x:c r="A1467" s="3" t="str">
        <x:v>2201009</x:v>
      </x:c>
      <x:c r="B1467" s="3" t="str">
        <x:v>SEC014</x:v>
      </x:c>
      <x:c r="C1467" s="3" t="n">
        <x:v>8</x:v>
      </x:c>
      <x:c r="D1467" s="3" t="str">
        <x:v>absent</x:v>
      </x:c>
      <x:c r="E1467" s="5" t="str">
        <x:f>VLOOKUP(B1467,Sections!$A$5:$I$45,3,FALSE)</x:f>
        <x:v>2024-1</x:v>
      </x:c>
    </x:row>
    <x:row r="1468" ht="21" customHeight="1">
      <x:c r="A1468" s="3" t="str">
        <x:v>2201009</x:v>
      </x:c>
      <x:c r="B1468" s="3" t="str">
        <x:v>SEC014</x:v>
      </x:c>
      <x:c r="C1468" s="3" t="n">
        <x:v>9</x:v>
      </x:c>
      <x:c r="D1468" s="3" t="str">
        <x:v>present</x:v>
      </x:c>
      <x:c r="E1468" s="5" t="str">
        <x:f>VLOOKUP(B1468,Sections!$A$5:$I$45,3,FALSE)</x:f>
        <x:v>2024-1</x:v>
      </x:c>
    </x:row>
    <x:row r="1469" ht="21" customHeight="1">
      <x:c r="A1469" s="3" t="str">
        <x:v>2201009</x:v>
      </x:c>
      <x:c r="B1469" s="3" t="str">
        <x:v>SEC014</x:v>
      </x:c>
      <x:c r="C1469" s="3" t="n">
        <x:v>10</x:v>
      </x:c>
      <x:c r="D1469" s="3" t="str">
        <x:v>present</x:v>
      </x:c>
      <x:c r="E1469" s="5" t="str">
        <x:f>VLOOKUP(B1469,Sections!$A$5:$I$45,3,FALSE)</x:f>
        <x:v>2024-1</x:v>
      </x:c>
    </x:row>
    <x:row r="1470" ht="21" customHeight="1">
      <x:c r="A1470" s="3" t="str">
        <x:v>2201009</x:v>
      </x:c>
      <x:c r="B1470" s="3" t="str">
        <x:v>SEC014</x:v>
      </x:c>
      <x:c r="C1470" s="3" t="n">
        <x:v>11</x:v>
      </x:c>
      <x:c r="D1470" s="3" t="str">
        <x:v>present</x:v>
      </x:c>
      <x:c r="E1470" s="5" t="str">
        <x:f>VLOOKUP(B1470,Sections!$A$5:$I$45,3,FALSE)</x:f>
        <x:v>2024-1</x:v>
      </x:c>
    </x:row>
    <x:row r="1471" ht="21" customHeight="1">
      <x:c r="A1471" s="3" t="str">
        <x:v>2201009</x:v>
      </x:c>
      <x:c r="B1471" s="3" t="str">
        <x:v>SEC014</x:v>
      </x:c>
      <x:c r="C1471" s="3" t="n">
        <x:v>12</x:v>
      </x:c>
      <x:c r="D1471" s="3" t="str">
        <x:v>present</x:v>
      </x:c>
      <x:c r="E1471" s="5" t="str">
        <x:f>VLOOKUP(B1471,Sections!$A$5:$I$45,3,FALSE)</x:f>
        <x:v>2024-1</x:v>
      </x:c>
    </x:row>
    <x:row r="1472" ht="21" customHeight="1">
      <x:c r="A1472" s="3" t="str">
        <x:v>2201009</x:v>
      </x:c>
      <x:c r="B1472" s="3" t="str">
        <x:v>SEC014</x:v>
      </x:c>
      <x:c r="C1472" s="3" t="n">
        <x:v>13</x:v>
      </x:c>
      <x:c r="D1472" s="3" t="str">
        <x:v>present</x:v>
      </x:c>
      <x:c r="E1472" s="5" t="str">
        <x:f>VLOOKUP(B1472,Sections!$A$5:$I$45,3,FALSE)</x:f>
        <x:v>2024-1</x:v>
      </x:c>
    </x:row>
    <x:row r="1473" ht="21" customHeight="1">
      <x:c r="A1473" s="3" t="str">
        <x:v>2201009</x:v>
      </x:c>
      <x:c r="B1473" s="3" t="str">
        <x:v>SEC014</x:v>
      </x:c>
      <x:c r="C1473" s="3" t="n">
        <x:v>14</x:v>
      </x:c>
      <x:c r="D1473" s="3" t="str">
        <x:v>present</x:v>
      </x:c>
      <x:c r="E1473" s="5" t="str">
        <x:f>VLOOKUP(B1473,Sections!$A$5:$I$45,3,FALSE)</x:f>
        <x:v>2024-1</x:v>
      </x:c>
    </x:row>
    <x:row r="1474" ht="21" customHeight="1">
      <x:c r="A1474" s="3" t="str">
        <x:v>2201009</x:v>
      </x:c>
      <x:c r="B1474" s="3" t="str">
        <x:v>SEC014</x:v>
      </x:c>
      <x:c r="C1474" s="3" t="n">
        <x:v>15</x:v>
      </x:c>
      <x:c r="D1474" s="3" t="str">
        <x:v>present</x:v>
      </x:c>
      <x:c r="E1474" s="5" t="str">
        <x:f>VLOOKUP(B1474,Sections!$A$5:$I$45,3,FALSE)</x:f>
        <x:v>2024-1</x:v>
      </x:c>
    </x:row>
    <x:row r="1475" ht="21" customHeight="1">
      <x:c r="A1475" s="3" t="str">
        <x:v>2201010</x:v>
      </x:c>
      <x:c r="B1475" s="3" t="str">
        <x:v>SEC014</x:v>
      </x:c>
      <x:c r="C1475" s="3" t="n">
        <x:v>1</x:v>
      </x:c>
      <x:c r="D1475" s="3" t="str">
        <x:v>present</x:v>
      </x:c>
      <x:c r="E1475" s="5" t="str">
        <x:f>VLOOKUP(B1475,Sections!$A$5:$I$45,3,FALSE)</x:f>
        <x:v>2024-1</x:v>
      </x:c>
    </x:row>
    <x:row r="1476" ht="21" customHeight="1">
      <x:c r="A1476" s="3" t="str">
        <x:v>2201010</x:v>
      </x:c>
      <x:c r="B1476" s="3" t="str">
        <x:v>SEC014</x:v>
      </x:c>
      <x:c r="C1476" s="3" t="n">
        <x:v>2</x:v>
      </x:c>
      <x:c r="D1476" s="3" t="str">
        <x:v>present</x:v>
      </x:c>
      <x:c r="E1476" s="5" t="str">
        <x:f>VLOOKUP(B1476,Sections!$A$5:$I$45,3,FALSE)</x:f>
        <x:v>2024-1</x:v>
      </x:c>
    </x:row>
    <x:row r="1477" ht="21" customHeight="1">
      <x:c r="A1477" s="3" t="str">
        <x:v>2201010</x:v>
      </x:c>
      <x:c r="B1477" s="3" t="str">
        <x:v>SEC014</x:v>
      </x:c>
      <x:c r="C1477" s="3" t="n">
        <x:v>3</x:v>
      </x:c>
      <x:c r="D1477" s="3" t="str">
        <x:v>present</x:v>
      </x:c>
      <x:c r="E1477" s="5" t="str">
        <x:f>VLOOKUP(B1477,Sections!$A$5:$I$45,3,FALSE)</x:f>
        <x:v>2024-1</x:v>
      </x:c>
    </x:row>
    <x:row r="1478" ht="21" customHeight="1">
      <x:c r="A1478" s="3" t="str">
        <x:v>2201010</x:v>
      </x:c>
      <x:c r="B1478" s="3" t="str">
        <x:v>SEC014</x:v>
      </x:c>
      <x:c r="C1478" s="3" t="n">
        <x:v>4</x:v>
      </x:c>
      <x:c r="D1478" s="3" t="str">
        <x:v>present</x:v>
      </x:c>
      <x:c r="E1478" s="5" t="str">
        <x:f>VLOOKUP(B1478,Sections!$A$5:$I$45,3,FALSE)</x:f>
        <x:v>2024-1</x:v>
      </x:c>
    </x:row>
    <x:row r="1479" ht="21" customHeight="1">
      <x:c r="A1479" s="3" t="str">
        <x:v>2201010</x:v>
      </x:c>
      <x:c r="B1479" s="3" t="str">
        <x:v>SEC014</x:v>
      </x:c>
      <x:c r="C1479" s="3" t="n">
        <x:v>5</x:v>
      </x:c>
      <x:c r="D1479" s="3" t="str">
        <x:v>late</x:v>
      </x:c>
      <x:c r="E1479" s="5" t="str">
        <x:f>VLOOKUP(B1479,Sections!$A$5:$I$45,3,FALSE)</x:f>
        <x:v>2024-1</x:v>
      </x:c>
    </x:row>
    <x:row r="1480" ht="21" customHeight="1">
      <x:c r="A1480" s="3" t="str">
        <x:v>2201010</x:v>
      </x:c>
      <x:c r="B1480" s="3" t="str">
        <x:v>SEC014</x:v>
      </x:c>
      <x:c r="C1480" s="3" t="n">
        <x:v>6</x:v>
      </x:c>
      <x:c r="D1480" s="3" t="str">
        <x:v>present</x:v>
      </x:c>
      <x:c r="E1480" s="5" t="str">
        <x:f>VLOOKUP(B1480,Sections!$A$5:$I$45,3,FALSE)</x:f>
        <x:v>2024-1</x:v>
      </x:c>
    </x:row>
    <x:row r="1481" ht="21" customHeight="1">
      <x:c r="A1481" s="3" t="str">
        <x:v>2201010</x:v>
      </x:c>
      <x:c r="B1481" s="3" t="str">
        <x:v>SEC014</x:v>
      </x:c>
      <x:c r="C1481" s="3" t="n">
        <x:v>7</x:v>
      </x:c>
      <x:c r="D1481" s="3" t="str">
        <x:v>excused</x:v>
      </x:c>
      <x:c r="E1481" s="5" t="str">
        <x:f>VLOOKUP(B1481,Sections!$A$5:$I$45,3,FALSE)</x:f>
        <x:v>2024-1</x:v>
      </x:c>
    </x:row>
    <x:row r="1482" ht="21" customHeight="1">
      <x:c r="A1482" s="3" t="str">
        <x:v>2201010</x:v>
      </x:c>
      <x:c r="B1482" s="3" t="str">
        <x:v>SEC014</x:v>
      </x:c>
      <x:c r="C1482" s="3" t="n">
        <x:v>8</x:v>
      </x:c>
      <x:c r="D1482" s="3" t="str">
        <x:v>late</x:v>
      </x:c>
      <x:c r="E1482" s="5" t="str">
        <x:f>VLOOKUP(B1482,Sections!$A$5:$I$45,3,FALSE)</x:f>
        <x:v>2024-1</x:v>
      </x:c>
    </x:row>
    <x:row r="1483" ht="21" customHeight="1">
      <x:c r="A1483" s="3" t="str">
        <x:v>2201010</x:v>
      </x:c>
      <x:c r="B1483" s="3" t="str">
        <x:v>SEC014</x:v>
      </x:c>
      <x:c r="C1483" s="3" t="n">
        <x:v>9</x:v>
      </x:c>
      <x:c r="D1483" s="3" t="str">
        <x:v>present</x:v>
      </x:c>
      <x:c r="E1483" s="5" t="str">
        <x:f>VLOOKUP(B1483,Sections!$A$5:$I$45,3,FALSE)</x:f>
        <x:v>2024-1</x:v>
      </x:c>
    </x:row>
    <x:row r="1484" ht="21" customHeight="1">
      <x:c r="A1484" s="3" t="str">
        <x:v>2201010</x:v>
      </x:c>
      <x:c r="B1484" s="3" t="str">
        <x:v>SEC014</x:v>
      </x:c>
      <x:c r="C1484" s="3" t="n">
        <x:v>10</x:v>
      </x:c>
      <x:c r="D1484" s="3" t="str">
        <x:v>present</x:v>
      </x:c>
      <x:c r="E1484" s="5" t="str">
        <x:f>VLOOKUP(B1484,Sections!$A$5:$I$45,3,FALSE)</x:f>
        <x:v>2024-1</x:v>
      </x:c>
    </x:row>
    <x:row r="1485" ht="21" customHeight="1">
      <x:c r="A1485" s="3" t="str">
        <x:v>2201010</x:v>
      </x:c>
      <x:c r="B1485" s="3" t="str">
        <x:v>SEC014</x:v>
      </x:c>
      <x:c r="C1485" s="3" t="n">
        <x:v>11</x:v>
      </x:c>
      <x:c r="D1485" s="3" t="str">
        <x:v>present</x:v>
      </x:c>
      <x:c r="E1485" s="5" t="str">
        <x:f>VLOOKUP(B1485,Sections!$A$5:$I$45,3,FALSE)</x:f>
        <x:v>2024-1</x:v>
      </x:c>
    </x:row>
    <x:row r="1486" ht="21" customHeight="1">
      <x:c r="A1486" s="3" t="str">
        <x:v>2201010</x:v>
      </x:c>
      <x:c r="B1486" s="3" t="str">
        <x:v>SEC014</x:v>
      </x:c>
      <x:c r="C1486" s="3" t="n">
        <x:v>12</x:v>
      </x:c>
      <x:c r="D1486" s="3" t="str">
        <x:v>absent</x:v>
      </x:c>
      <x:c r="E1486" s="5" t="str">
        <x:f>VLOOKUP(B1486,Sections!$A$5:$I$45,3,FALSE)</x:f>
        <x:v>2024-1</x:v>
      </x:c>
    </x:row>
    <x:row r="1487" ht="21" customHeight="1">
      <x:c r="A1487" s="3" t="str">
        <x:v>2201010</x:v>
      </x:c>
      <x:c r="B1487" s="3" t="str">
        <x:v>SEC014</x:v>
      </x:c>
      <x:c r="C1487" s="3" t="n">
        <x:v>13</x:v>
      </x:c>
      <x:c r="D1487" s="3" t="str">
        <x:v>present</x:v>
      </x:c>
      <x:c r="E1487" s="5" t="str">
        <x:f>VLOOKUP(B1487,Sections!$A$5:$I$45,3,FALSE)</x:f>
        <x:v>2024-1</x:v>
      </x:c>
    </x:row>
    <x:row r="1488" ht="21" customHeight="1">
      <x:c r="A1488" s="3" t="str">
        <x:v>2201010</x:v>
      </x:c>
      <x:c r="B1488" s="3" t="str">
        <x:v>SEC014</x:v>
      </x:c>
      <x:c r="C1488" s="3" t="n">
        <x:v>14</x:v>
      </x:c>
      <x:c r="D1488" s="3" t="str">
        <x:v>present</x:v>
      </x:c>
      <x:c r="E1488" s="5" t="str">
        <x:f>VLOOKUP(B1488,Sections!$A$5:$I$45,3,FALSE)</x:f>
        <x:v>2024-1</x:v>
      </x:c>
    </x:row>
    <x:row r="1489" ht="21" customHeight="1">
      <x:c r="A1489" s="3" t="str">
        <x:v>2201010</x:v>
      </x:c>
      <x:c r="B1489" s="3" t="str">
        <x:v>SEC014</x:v>
      </x:c>
      <x:c r="C1489" s="3" t="n">
        <x:v>15</x:v>
      </x:c>
      <x:c r="D1489" s="3" t="str">
        <x:v>present</x:v>
      </x:c>
      <x:c r="E1489" s="5" t="str">
        <x:f>VLOOKUP(B1489,Sections!$A$5:$I$45,3,FALSE)</x:f>
        <x:v>2024-1</x:v>
      </x:c>
    </x:row>
    <x:row r="1490" ht="21" customHeight="1">
      <x:c r="A1490" s="3" t="str">
        <x:v>2201011</x:v>
      </x:c>
      <x:c r="B1490" s="3" t="str">
        <x:v>SEC015</x:v>
      </x:c>
      <x:c r="C1490" s="3" t="n">
        <x:v>1</x:v>
      </x:c>
      <x:c r="D1490" s="3" t="str">
        <x:v>present</x:v>
      </x:c>
      <x:c r="E1490" s="5" t="str">
        <x:f>VLOOKUP(B1490,Sections!$A$5:$I$45,3,FALSE)</x:f>
        <x:v>2024-1</x:v>
      </x:c>
    </x:row>
    <x:row r="1491" ht="21" customHeight="1">
      <x:c r="A1491" s="3" t="str">
        <x:v>2201011</x:v>
      </x:c>
      <x:c r="B1491" s="3" t="str">
        <x:v>SEC015</x:v>
      </x:c>
      <x:c r="C1491" s="3" t="n">
        <x:v>2</x:v>
      </x:c>
      <x:c r="D1491" s="3" t="str">
        <x:v>present</x:v>
      </x:c>
      <x:c r="E1491" s="5" t="str">
        <x:f>VLOOKUP(B1491,Sections!$A$5:$I$45,3,FALSE)</x:f>
        <x:v>2024-1</x:v>
      </x:c>
    </x:row>
    <x:row r="1492" ht="21" customHeight="1">
      <x:c r="A1492" s="3" t="str">
        <x:v>2201011</x:v>
      </x:c>
      <x:c r="B1492" s="3" t="str">
        <x:v>SEC015</x:v>
      </x:c>
      <x:c r="C1492" s="3" t="n">
        <x:v>3</x:v>
      </x:c>
      <x:c r="D1492" s="3" t="str">
        <x:v>present</x:v>
      </x:c>
      <x:c r="E1492" s="5" t="str">
        <x:f>VLOOKUP(B1492,Sections!$A$5:$I$45,3,FALSE)</x:f>
        <x:v>2024-1</x:v>
      </x:c>
    </x:row>
    <x:row r="1493" ht="21" customHeight="1">
      <x:c r="A1493" s="3" t="str">
        <x:v>2201011</x:v>
      </x:c>
      <x:c r="B1493" s="3" t="str">
        <x:v>SEC015</x:v>
      </x:c>
      <x:c r="C1493" s="3" t="n">
        <x:v>4</x:v>
      </x:c>
      <x:c r="D1493" s="3" t="str">
        <x:v>present</x:v>
      </x:c>
      <x:c r="E1493" s="5" t="str">
        <x:f>VLOOKUP(B1493,Sections!$A$5:$I$45,3,FALSE)</x:f>
        <x:v>2024-1</x:v>
      </x:c>
    </x:row>
    <x:row r="1494" ht="21" customHeight="1">
      <x:c r="A1494" s="3" t="str">
        <x:v>2201011</x:v>
      </x:c>
      <x:c r="B1494" s="3" t="str">
        <x:v>SEC015</x:v>
      </x:c>
      <x:c r="C1494" s="3" t="n">
        <x:v>5</x:v>
      </x:c>
      <x:c r="D1494" s="3" t="str">
        <x:v>late</x:v>
      </x:c>
      <x:c r="E1494" s="5" t="str">
        <x:f>VLOOKUP(B1494,Sections!$A$5:$I$45,3,FALSE)</x:f>
        <x:v>2024-1</x:v>
      </x:c>
    </x:row>
    <x:row r="1495" ht="21" customHeight="1">
      <x:c r="A1495" s="3" t="str">
        <x:v>2201011</x:v>
      </x:c>
      <x:c r="B1495" s="3" t="str">
        <x:v>SEC015</x:v>
      </x:c>
      <x:c r="C1495" s="3" t="n">
        <x:v>6</x:v>
      </x:c>
      <x:c r="D1495" s="3" t="str">
        <x:v>present</x:v>
      </x:c>
      <x:c r="E1495" s="5" t="str">
        <x:f>VLOOKUP(B1495,Sections!$A$5:$I$45,3,FALSE)</x:f>
        <x:v>2024-1</x:v>
      </x:c>
    </x:row>
    <x:row r="1496" ht="21" customHeight="1">
      <x:c r="A1496" s="3" t="str">
        <x:v>2201011</x:v>
      </x:c>
      <x:c r="B1496" s="3" t="str">
        <x:v>SEC015</x:v>
      </x:c>
      <x:c r="C1496" s="3" t="n">
        <x:v>7</x:v>
      </x:c>
      <x:c r="D1496" s="3" t="str">
        <x:v>present</x:v>
      </x:c>
      <x:c r="E1496" s="5" t="str">
        <x:f>VLOOKUP(B1496,Sections!$A$5:$I$45,3,FALSE)</x:f>
        <x:v>2024-1</x:v>
      </x:c>
    </x:row>
    <x:row r="1497" ht="21" customHeight="1">
      <x:c r="A1497" s="3" t="str">
        <x:v>2201011</x:v>
      </x:c>
      <x:c r="B1497" s="3" t="str">
        <x:v>SEC015</x:v>
      </x:c>
      <x:c r="C1497" s="3" t="n">
        <x:v>8</x:v>
      </x:c>
      <x:c r="D1497" s="3" t="str">
        <x:v>present</x:v>
      </x:c>
      <x:c r="E1497" s="5" t="str">
        <x:f>VLOOKUP(B1497,Sections!$A$5:$I$45,3,FALSE)</x:f>
        <x:v>2024-1</x:v>
      </x:c>
    </x:row>
    <x:row r="1498" ht="21" customHeight="1">
      <x:c r="A1498" s="3" t="str">
        <x:v>2201011</x:v>
      </x:c>
      <x:c r="B1498" s="3" t="str">
        <x:v>SEC015</x:v>
      </x:c>
      <x:c r="C1498" s="3" t="n">
        <x:v>9</x:v>
      </x:c>
      <x:c r="D1498" s="3" t="str">
        <x:v>absent</x:v>
      </x:c>
      <x:c r="E1498" s="5" t="str">
        <x:f>VLOOKUP(B1498,Sections!$A$5:$I$45,3,FALSE)</x:f>
        <x:v>2024-1</x:v>
      </x:c>
    </x:row>
    <x:row r="1499" ht="21" customHeight="1">
      <x:c r="A1499" s="3" t="str">
        <x:v>2201011</x:v>
      </x:c>
      <x:c r="B1499" s="3" t="str">
        <x:v>SEC015</x:v>
      </x:c>
      <x:c r="C1499" s="3" t="n">
        <x:v>10</x:v>
      </x:c>
      <x:c r="D1499" s="3" t="str">
        <x:v>present</x:v>
      </x:c>
      <x:c r="E1499" s="5" t="str">
        <x:f>VLOOKUP(B1499,Sections!$A$5:$I$45,3,FALSE)</x:f>
        <x:v>2024-1</x:v>
      </x:c>
    </x:row>
    <x:row r="1500" ht="21" customHeight="1">
      <x:c r="A1500" s="3" t="str">
        <x:v>2201011</x:v>
      </x:c>
      <x:c r="B1500" s="3" t="str">
        <x:v>SEC015</x:v>
      </x:c>
      <x:c r="C1500" s="3" t="n">
        <x:v>11</x:v>
      </x:c>
      <x:c r="D1500" s="3" t="str">
        <x:v>present</x:v>
      </x:c>
      <x:c r="E1500" s="5" t="str">
        <x:f>VLOOKUP(B1500,Sections!$A$5:$I$45,3,FALSE)</x:f>
        <x:v>2024-1</x:v>
      </x:c>
    </x:row>
    <x:row r="1501" ht="21" customHeight="1">
      <x:c r="A1501" s="3" t="str">
        <x:v>2201011</x:v>
      </x:c>
      <x:c r="B1501" s="3" t="str">
        <x:v>SEC015</x:v>
      </x:c>
      <x:c r="C1501" s="3" t="n">
        <x:v>12</x:v>
      </x:c>
      <x:c r="D1501" s="3" t="str">
        <x:v>present</x:v>
      </x:c>
      <x:c r="E1501" s="5" t="str">
        <x:f>VLOOKUP(B1501,Sections!$A$5:$I$45,3,FALSE)</x:f>
        <x:v>2024-1</x:v>
      </x:c>
    </x:row>
    <x:row r="1502" ht="21" customHeight="1">
      <x:c r="A1502" s="3" t="str">
        <x:v>2201011</x:v>
      </x:c>
      <x:c r="B1502" s="3" t="str">
        <x:v>SEC015</x:v>
      </x:c>
      <x:c r="C1502" s="3" t="n">
        <x:v>13</x:v>
      </x:c>
      <x:c r="D1502" s="3" t="str">
        <x:v>present</x:v>
      </x:c>
      <x:c r="E1502" s="5" t="str">
        <x:f>VLOOKUP(B1502,Sections!$A$5:$I$45,3,FALSE)</x:f>
        <x:v>2024-1</x:v>
      </x:c>
    </x:row>
    <x:row r="1503" ht="21" customHeight="1">
      <x:c r="A1503" s="3" t="str">
        <x:v>2201011</x:v>
      </x:c>
      <x:c r="B1503" s="3" t="str">
        <x:v>SEC015</x:v>
      </x:c>
      <x:c r="C1503" s="3" t="n">
        <x:v>14</x:v>
      </x:c>
      <x:c r="D1503" s="3" t="str">
        <x:v>present</x:v>
      </x:c>
      <x:c r="E1503" s="5" t="str">
        <x:f>VLOOKUP(B1503,Sections!$A$5:$I$45,3,FALSE)</x:f>
        <x:v>2024-1</x:v>
      </x:c>
    </x:row>
    <x:row r="1504" ht="21" customHeight="1">
      <x:c r="A1504" s="3" t="str">
        <x:v>2201011</x:v>
      </x:c>
      <x:c r="B1504" s="3" t="str">
        <x:v>SEC015</x:v>
      </x:c>
      <x:c r="C1504" s="3" t="n">
        <x:v>15</x:v>
      </x:c>
      <x:c r="D1504" s="3" t="str">
        <x:v>present</x:v>
      </x:c>
      <x:c r="E1504" s="5" t="str">
        <x:f>VLOOKUP(B1504,Sections!$A$5:$I$45,3,FALSE)</x:f>
        <x:v>2024-1</x:v>
      </x:c>
    </x:row>
    <x:row r="1505" ht="21" customHeight="1">
      <x:c r="A1505" s="3" t="str">
        <x:v>2201012</x:v>
      </x:c>
      <x:c r="B1505" s="3" t="str">
        <x:v>SEC015</x:v>
      </x:c>
      <x:c r="C1505" s="3" t="n">
        <x:v>1</x:v>
      </x:c>
      <x:c r="D1505" s="3" t="str">
        <x:v>present</x:v>
      </x:c>
      <x:c r="E1505" s="5" t="str">
        <x:f>VLOOKUP(B1505,Sections!$A$5:$I$45,3,FALSE)</x:f>
        <x:v>2024-1</x:v>
      </x:c>
    </x:row>
    <x:row r="1506" ht="21" customHeight="1">
      <x:c r="A1506" s="3" t="str">
        <x:v>2201012</x:v>
      </x:c>
      <x:c r="B1506" s="3" t="str">
        <x:v>SEC015</x:v>
      </x:c>
      <x:c r="C1506" s="3" t="n">
        <x:v>2</x:v>
      </x:c>
      <x:c r="D1506" s="3" t="str">
        <x:v>absent</x:v>
      </x:c>
      <x:c r="E1506" s="5" t="str">
        <x:f>VLOOKUP(B1506,Sections!$A$5:$I$45,3,FALSE)</x:f>
        <x:v>2024-1</x:v>
      </x:c>
    </x:row>
    <x:row r="1507" ht="21" customHeight="1">
      <x:c r="A1507" s="3" t="str">
        <x:v>2201012</x:v>
      </x:c>
      <x:c r="B1507" s="3" t="str">
        <x:v>SEC015</x:v>
      </x:c>
      <x:c r="C1507" s="3" t="n">
        <x:v>3</x:v>
      </x:c>
      <x:c r="D1507" s="3" t="str">
        <x:v>present</x:v>
      </x:c>
      <x:c r="E1507" s="5" t="str">
        <x:f>VLOOKUP(B1507,Sections!$A$5:$I$45,3,FALSE)</x:f>
        <x:v>2024-1</x:v>
      </x:c>
    </x:row>
    <x:row r="1508" ht="21" customHeight="1">
      <x:c r="A1508" s="3" t="str">
        <x:v>2201012</x:v>
      </x:c>
      <x:c r="B1508" s="3" t="str">
        <x:v>SEC015</x:v>
      </x:c>
      <x:c r="C1508" s="3" t="n">
        <x:v>4</x:v>
      </x:c>
      <x:c r="D1508" s="3" t="str">
        <x:v>present</x:v>
      </x:c>
      <x:c r="E1508" s="5" t="str">
        <x:f>VLOOKUP(B1508,Sections!$A$5:$I$45,3,FALSE)</x:f>
        <x:v>2024-1</x:v>
      </x:c>
    </x:row>
    <x:row r="1509" ht="21" customHeight="1">
      <x:c r="A1509" s="3" t="str">
        <x:v>2201012</x:v>
      </x:c>
      <x:c r="B1509" s="3" t="str">
        <x:v>SEC015</x:v>
      </x:c>
      <x:c r="C1509" s="3" t="n">
        <x:v>5</x:v>
      </x:c>
      <x:c r="D1509" s="3" t="str">
        <x:v>present</x:v>
      </x:c>
      <x:c r="E1509" s="5" t="str">
        <x:f>VLOOKUP(B1509,Sections!$A$5:$I$45,3,FALSE)</x:f>
        <x:v>2024-1</x:v>
      </x:c>
    </x:row>
    <x:row r="1510" ht="21" customHeight="1">
      <x:c r="A1510" s="3" t="str">
        <x:v>2201012</x:v>
      </x:c>
      <x:c r="B1510" s="3" t="str">
        <x:v>SEC015</x:v>
      </x:c>
      <x:c r="C1510" s="3" t="n">
        <x:v>6</x:v>
      </x:c>
      <x:c r="D1510" s="3" t="str">
        <x:v>present</x:v>
      </x:c>
      <x:c r="E1510" s="5" t="str">
        <x:f>VLOOKUP(B1510,Sections!$A$5:$I$45,3,FALSE)</x:f>
        <x:v>2024-1</x:v>
      </x:c>
    </x:row>
    <x:row r="1511" ht="21" customHeight="1">
      <x:c r="A1511" s="3" t="str">
        <x:v>2201012</x:v>
      </x:c>
      <x:c r="B1511" s="3" t="str">
        <x:v>SEC015</x:v>
      </x:c>
      <x:c r="C1511" s="3" t="n">
        <x:v>7</x:v>
      </x:c>
      <x:c r="D1511" s="3" t="str">
        <x:v>absent</x:v>
      </x:c>
      <x:c r="E1511" s="5" t="str">
        <x:f>VLOOKUP(B1511,Sections!$A$5:$I$45,3,FALSE)</x:f>
        <x:v>2024-1</x:v>
      </x:c>
    </x:row>
    <x:row r="1512" ht="21" customHeight="1">
      <x:c r="A1512" s="3" t="str">
        <x:v>2201012</x:v>
      </x:c>
      <x:c r="B1512" s="3" t="str">
        <x:v>SEC015</x:v>
      </x:c>
      <x:c r="C1512" s="3" t="n">
        <x:v>8</x:v>
      </x:c>
      <x:c r="D1512" s="3" t="str">
        <x:v>present</x:v>
      </x:c>
      <x:c r="E1512" s="5" t="str">
        <x:f>VLOOKUP(B1512,Sections!$A$5:$I$45,3,FALSE)</x:f>
        <x:v>2024-1</x:v>
      </x:c>
    </x:row>
    <x:row r="1513" ht="21" customHeight="1">
      <x:c r="A1513" s="3" t="str">
        <x:v>2201012</x:v>
      </x:c>
      <x:c r="B1513" s="3" t="str">
        <x:v>SEC015</x:v>
      </x:c>
      <x:c r="C1513" s="3" t="n">
        <x:v>9</x:v>
      </x:c>
      <x:c r="D1513" s="3" t="str">
        <x:v>present</x:v>
      </x:c>
      <x:c r="E1513" s="5" t="str">
        <x:f>VLOOKUP(B1513,Sections!$A$5:$I$45,3,FALSE)</x:f>
        <x:v>2024-1</x:v>
      </x:c>
    </x:row>
    <x:row r="1514" ht="21" customHeight="1">
      <x:c r="A1514" s="3" t="str">
        <x:v>2201012</x:v>
      </x:c>
      <x:c r="B1514" s="3" t="str">
        <x:v>SEC015</x:v>
      </x:c>
      <x:c r="C1514" s="3" t="n">
        <x:v>10</x:v>
      </x:c>
      <x:c r="D1514" s="3" t="str">
        <x:v>present</x:v>
      </x:c>
      <x:c r="E1514" s="5" t="str">
        <x:f>VLOOKUP(B1514,Sections!$A$5:$I$45,3,FALSE)</x:f>
        <x:v>2024-1</x:v>
      </x:c>
    </x:row>
    <x:row r="1515" ht="21" customHeight="1">
      <x:c r="A1515" s="3" t="str">
        <x:v>2201012</x:v>
      </x:c>
      <x:c r="B1515" s="3" t="str">
        <x:v>SEC015</x:v>
      </x:c>
      <x:c r="C1515" s="3" t="n">
        <x:v>11</x:v>
      </x:c>
      <x:c r="D1515" s="3" t="str">
        <x:v>present</x:v>
      </x:c>
      <x:c r="E1515" s="5" t="str">
        <x:f>VLOOKUP(B1515,Sections!$A$5:$I$45,3,FALSE)</x:f>
        <x:v>2024-1</x:v>
      </x:c>
    </x:row>
    <x:row r="1516" ht="21" customHeight="1">
      <x:c r="A1516" s="3" t="str">
        <x:v>2201012</x:v>
      </x:c>
      <x:c r="B1516" s="3" t="str">
        <x:v>SEC015</x:v>
      </x:c>
      <x:c r="C1516" s="3" t="n">
        <x:v>12</x:v>
      </x:c>
      <x:c r="D1516" s="3" t="str">
        <x:v>absent</x:v>
      </x:c>
      <x:c r="E1516" s="5" t="str">
        <x:f>VLOOKUP(B1516,Sections!$A$5:$I$45,3,FALSE)</x:f>
        <x:v>2024-1</x:v>
      </x:c>
    </x:row>
    <x:row r="1517" ht="21" customHeight="1">
      <x:c r="A1517" s="3" t="str">
        <x:v>2201012</x:v>
      </x:c>
      <x:c r="B1517" s="3" t="str">
        <x:v>SEC015</x:v>
      </x:c>
      <x:c r="C1517" s="3" t="n">
        <x:v>13</x:v>
      </x:c>
      <x:c r="D1517" s="3" t="str">
        <x:v>present</x:v>
      </x:c>
      <x:c r="E1517" s="5" t="str">
        <x:f>VLOOKUP(B1517,Sections!$A$5:$I$45,3,FALSE)</x:f>
        <x:v>2024-1</x:v>
      </x:c>
    </x:row>
    <x:row r="1518" ht="21" customHeight="1">
      <x:c r="A1518" s="3" t="str">
        <x:v>2201012</x:v>
      </x:c>
      <x:c r="B1518" s="3" t="str">
        <x:v>SEC015</x:v>
      </x:c>
      <x:c r="C1518" s="3" t="n">
        <x:v>14</x:v>
      </x:c>
      <x:c r="D1518" s="3" t="str">
        <x:v>present</x:v>
      </x:c>
      <x:c r="E1518" s="5" t="str">
        <x:f>VLOOKUP(B1518,Sections!$A$5:$I$45,3,FALSE)</x:f>
        <x:v>2024-1</x:v>
      </x:c>
    </x:row>
    <x:row r="1519" ht="21" customHeight="1">
      <x:c r="A1519" s="3" t="str">
        <x:v>2201012</x:v>
      </x:c>
      <x:c r="B1519" s="3" t="str">
        <x:v>SEC015</x:v>
      </x:c>
      <x:c r="C1519" s="3" t="n">
        <x:v>15</x:v>
      </x:c>
      <x:c r="D1519" s="3" t="str">
        <x:v>present</x:v>
      </x:c>
      <x:c r="E1519" s="5" t="str">
        <x:f>VLOOKUP(B1519,Sections!$A$5:$I$45,3,FALSE)</x:f>
        <x:v>2024-1</x:v>
      </x:c>
    </x:row>
    <x:row r="1520" ht="21" customHeight="1">
      <x:c r="A1520" s="3" t="str">
        <x:v>2201013</x:v>
      </x:c>
      <x:c r="B1520" s="3" t="str">
        <x:v>SEC015</x:v>
      </x:c>
      <x:c r="C1520" s="3" t="n">
        <x:v>1</x:v>
      </x:c>
      <x:c r="D1520" s="3" t="str">
        <x:v>present</x:v>
      </x:c>
      <x:c r="E1520" s="5" t="str">
        <x:f>VLOOKUP(B1520,Sections!$A$5:$I$45,3,FALSE)</x:f>
        <x:v>2024-1</x:v>
      </x:c>
    </x:row>
    <x:row r="1521" ht="21" customHeight="1">
      <x:c r="A1521" s="3" t="str">
        <x:v>2201013</x:v>
      </x:c>
      <x:c r="B1521" s="3" t="str">
        <x:v>SEC015</x:v>
      </x:c>
      <x:c r="C1521" s="3" t="n">
        <x:v>2</x:v>
      </x:c>
      <x:c r="D1521" s="3" t="str">
        <x:v>present</x:v>
      </x:c>
      <x:c r="E1521" s="5" t="str">
        <x:f>VLOOKUP(B1521,Sections!$A$5:$I$45,3,FALSE)</x:f>
        <x:v>2024-1</x:v>
      </x:c>
    </x:row>
    <x:row r="1522" ht="21" customHeight="1">
      <x:c r="A1522" s="3" t="str">
        <x:v>2201013</x:v>
      </x:c>
      <x:c r="B1522" s="3" t="str">
        <x:v>SEC015</x:v>
      </x:c>
      <x:c r="C1522" s="3" t="n">
        <x:v>3</x:v>
      </x:c>
      <x:c r="D1522" s="3" t="str">
        <x:v>present</x:v>
      </x:c>
      <x:c r="E1522" s="5" t="str">
        <x:f>VLOOKUP(B1522,Sections!$A$5:$I$45,3,FALSE)</x:f>
        <x:v>2024-1</x:v>
      </x:c>
    </x:row>
    <x:row r="1523" ht="21" customHeight="1">
      <x:c r="A1523" s="3" t="str">
        <x:v>2201013</x:v>
      </x:c>
      <x:c r="B1523" s="3" t="str">
        <x:v>SEC015</x:v>
      </x:c>
      <x:c r="C1523" s="3" t="n">
        <x:v>4</x:v>
      </x:c>
      <x:c r="D1523" s="3" t="str">
        <x:v>present</x:v>
      </x:c>
      <x:c r="E1523" s="5" t="str">
        <x:f>VLOOKUP(B1523,Sections!$A$5:$I$45,3,FALSE)</x:f>
        <x:v>2024-1</x:v>
      </x:c>
    </x:row>
    <x:row r="1524" ht="21" customHeight="1">
      <x:c r="A1524" s="3" t="str">
        <x:v>2201013</x:v>
      </x:c>
      <x:c r="B1524" s="3" t="str">
        <x:v>SEC015</x:v>
      </x:c>
      <x:c r="C1524" s="3" t="n">
        <x:v>5</x:v>
      </x:c>
      <x:c r="D1524" s="3" t="str">
        <x:v>present</x:v>
      </x:c>
      <x:c r="E1524" s="5" t="str">
        <x:f>VLOOKUP(B1524,Sections!$A$5:$I$45,3,FALSE)</x:f>
        <x:v>2024-1</x:v>
      </x:c>
    </x:row>
    <x:row r="1525" ht="21" customHeight="1">
      <x:c r="A1525" s="3" t="str">
        <x:v>2201013</x:v>
      </x:c>
      <x:c r="B1525" s="3" t="str">
        <x:v>SEC015</x:v>
      </x:c>
      <x:c r="C1525" s="3" t="n">
        <x:v>6</x:v>
      </x:c>
      <x:c r="D1525" s="3" t="str">
        <x:v>present</x:v>
      </x:c>
      <x:c r="E1525" s="5" t="str">
        <x:f>VLOOKUP(B1525,Sections!$A$5:$I$45,3,FALSE)</x:f>
        <x:v>2024-1</x:v>
      </x:c>
    </x:row>
    <x:row r="1526" ht="21" customHeight="1">
      <x:c r="A1526" s="3" t="str">
        <x:v>2201013</x:v>
      </x:c>
      <x:c r="B1526" s="3" t="str">
        <x:v>SEC015</x:v>
      </x:c>
      <x:c r="C1526" s="3" t="n">
        <x:v>7</x:v>
      </x:c>
      <x:c r="D1526" s="3" t="str">
        <x:v>late</x:v>
      </x:c>
      <x:c r="E1526" s="5" t="str">
        <x:f>VLOOKUP(B1526,Sections!$A$5:$I$45,3,FALSE)</x:f>
        <x:v>2024-1</x:v>
      </x:c>
    </x:row>
    <x:row r="1527" ht="21" customHeight="1">
      <x:c r="A1527" s="3" t="str">
        <x:v>2201013</x:v>
      </x:c>
      <x:c r="B1527" s="3" t="str">
        <x:v>SEC015</x:v>
      </x:c>
      <x:c r="C1527" s="3" t="n">
        <x:v>8</x:v>
      </x:c>
      <x:c r="D1527" s="3" t="str">
        <x:v>present</x:v>
      </x:c>
      <x:c r="E1527" s="5" t="str">
        <x:f>VLOOKUP(B1527,Sections!$A$5:$I$45,3,FALSE)</x:f>
        <x:v>2024-1</x:v>
      </x:c>
    </x:row>
    <x:row r="1528" ht="21" customHeight="1">
      <x:c r="A1528" s="3" t="str">
        <x:v>2201013</x:v>
      </x:c>
      <x:c r="B1528" s="3" t="str">
        <x:v>SEC015</x:v>
      </x:c>
      <x:c r="C1528" s="3" t="n">
        <x:v>9</x:v>
      </x:c>
      <x:c r="D1528" s="3" t="str">
        <x:v>present</x:v>
      </x:c>
      <x:c r="E1528" s="5" t="str">
        <x:f>VLOOKUP(B1528,Sections!$A$5:$I$45,3,FALSE)</x:f>
        <x:v>2024-1</x:v>
      </x:c>
    </x:row>
    <x:row r="1529" ht="21" customHeight="1">
      <x:c r="A1529" s="3" t="str">
        <x:v>2201013</x:v>
      </x:c>
      <x:c r="B1529" s="3" t="str">
        <x:v>SEC015</x:v>
      </x:c>
      <x:c r="C1529" s="3" t="n">
        <x:v>10</x:v>
      </x:c>
      <x:c r="D1529" s="3" t="str">
        <x:v>present</x:v>
      </x:c>
      <x:c r="E1529" s="5" t="str">
        <x:f>VLOOKUP(B1529,Sections!$A$5:$I$45,3,FALSE)</x:f>
        <x:v>2024-1</x:v>
      </x:c>
    </x:row>
    <x:row r="1530" ht="21" customHeight="1">
      <x:c r="A1530" s="3" t="str">
        <x:v>2201013</x:v>
      </x:c>
      <x:c r="B1530" s="3" t="str">
        <x:v>SEC015</x:v>
      </x:c>
      <x:c r="C1530" s="3" t="n">
        <x:v>11</x:v>
      </x:c>
      <x:c r="D1530" s="3" t="str">
        <x:v>present</x:v>
      </x:c>
      <x:c r="E1530" s="5" t="str">
        <x:f>VLOOKUP(B1530,Sections!$A$5:$I$45,3,FALSE)</x:f>
        <x:v>2024-1</x:v>
      </x:c>
    </x:row>
    <x:row r="1531" ht="21" customHeight="1">
      <x:c r="A1531" s="3" t="str">
        <x:v>2201013</x:v>
      </x:c>
      <x:c r="B1531" s="3" t="str">
        <x:v>SEC015</x:v>
      </x:c>
      <x:c r="C1531" s="3" t="n">
        <x:v>12</x:v>
      </x:c>
      <x:c r="D1531" s="3" t="str">
        <x:v>present</x:v>
      </x:c>
      <x:c r="E1531" s="5" t="str">
        <x:f>VLOOKUP(B1531,Sections!$A$5:$I$45,3,FALSE)</x:f>
        <x:v>2024-1</x:v>
      </x:c>
    </x:row>
    <x:row r="1532" ht="21" customHeight="1">
      <x:c r="A1532" s="3" t="str">
        <x:v>2201013</x:v>
      </x:c>
      <x:c r="B1532" s="3" t="str">
        <x:v>SEC015</x:v>
      </x:c>
      <x:c r="C1532" s="3" t="n">
        <x:v>13</x:v>
      </x:c>
      <x:c r="D1532" s="3" t="str">
        <x:v>present</x:v>
      </x:c>
      <x:c r="E1532" s="5" t="str">
        <x:f>VLOOKUP(B1532,Sections!$A$5:$I$45,3,FALSE)</x:f>
        <x:v>2024-1</x:v>
      </x:c>
    </x:row>
    <x:row r="1533" ht="21" customHeight="1">
      <x:c r="A1533" s="3" t="str">
        <x:v>2201013</x:v>
      </x:c>
      <x:c r="B1533" s="3" t="str">
        <x:v>SEC015</x:v>
      </x:c>
      <x:c r="C1533" s="3" t="n">
        <x:v>14</x:v>
      </x:c>
      <x:c r="D1533" s="3" t="str">
        <x:v>present</x:v>
      </x:c>
      <x:c r="E1533" s="5" t="str">
        <x:f>VLOOKUP(B1533,Sections!$A$5:$I$45,3,FALSE)</x:f>
        <x:v>2024-1</x:v>
      </x:c>
    </x:row>
    <x:row r="1534" ht="21" customHeight="1">
      <x:c r="A1534" s="3" t="str">
        <x:v>2201013</x:v>
      </x:c>
      <x:c r="B1534" s="3" t="str">
        <x:v>SEC015</x:v>
      </x:c>
      <x:c r="C1534" s="3" t="n">
        <x:v>15</x:v>
      </x:c>
      <x:c r="D1534" s="3" t="str">
        <x:v>present</x:v>
      </x:c>
      <x:c r="E1534" s="5" t="str">
        <x:f>VLOOKUP(B1534,Sections!$A$5:$I$45,3,FALSE)</x:f>
        <x:v>2024-1</x:v>
      </x:c>
    </x:row>
    <x:row r="1535" ht="21" customHeight="1">
      <x:c r="A1535" s="3" t="str">
        <x:v>2201014</x:v>
      </x:c>
      <x:c r="B1535" s="3" t="str">
        <x:v>SEC015</x:v>
      </x:c>
      <x:c r="C1535" s="3" t="n">
        <x:v>1</x:v>
      </x:c>
      <x:c r="D1535" s="3" t="str">
        <x:v>present</x:v>
      </x:c>
      <x:c r="E1535" s="5" t="str">
        <x:f>VLOOKUP(B1535,Sections!$A$5:$I$45,3,FALSE)</x:f>
        <x:v>2024-1</x:v>
      </x:c>
    </x:row>
    <x:row r="1536" ht="21" customHeight="1">
      <x:c r="A1536" s="3" t="str">
        <x:v>2201014</x:v>
      </x:c>
      <x:c r="B1536" s="3" t="str">
        <x:v>SEC015</x:v>
      </x:c>
      <x:c r="C1536" s="3" t="n">
        <x:v>2</x:v>
      </x:c>
      <x:c r="D1536" s="3" t="str">
        <x:v>late</x:v>
      </x:c>
      <x:c r="E1536" s="5" t="str">
        <x:f>VLOOKUP(B1536,Sections!$A$5:$I$45,3,FALSE)</x:f>
        <x:v>2024-1</x:v>
      </x:c>
    </x:row>
    <x:row r="1537" ht="21" customHeight="1">
      <x:c r="A1537" s="3" t="str">
        <x:v>2201014</x:v>
      </x:c>
      <x:c r="B1537" s="3" t="str">
        <x:v>SEC015</x:v>
      </x:c>
      <x:c r="C1537" s="3" t="n">
        <x:v>3</x:v>
      </x:c>
      <x:c r="D1537" s="3" t="str">
        <x:v>present</x:v>
      </x:c>
      <x:c r="E1537" s="5" t="str">
        <x:f>VLOOKUP(B1537,Sections!$A$5:$I$45,3,FALSE)</x:f>
        <x:v>2024-1</x:v>
      </x:c>
    </x:row>
    <x:row r="1538" ht="21" customHeight="1">
      <x:c r="A1538" s="3" t="str">
        <x:v>2201014</x:v>
      </x:c>
      <x:c r="B1538" s="3" t="str">
        <x:v>SEC015</x:v>
      </x:c>
      <x:c r="C1538" s="3" t="n">
        <x:v>4</x:v>
      </x:c>
      <x:c r="D1538" s="3" t="str">
        <x:v>present</x:v>
      </x:c>
      <x:c r="E1538" s="5" t="str">
        <x:f>VLOOKUP(B1538,Sections!$A$5:$I$45,3,FALSE)</x:f>
        <x:v>2024-1</x:v>
      </x:c>
    </x:row>
    <x:row r="1539" ht="21" customHeight="1">
      <x:c r="A1539" s="3" t="str">
        <x:v>2201014</x:v>
      </x:c>
      <x:c r="B1539" s="3" t="str">
        <x:v>SEC015</x:v>
      </x:c>
      <x:c r="C1539" s="3" t="n">
        <x:v>5</x:v>
      </x:c>
      <x:c r="D1539" s="3" t="str">
        <x:v>present</x:v>
      </x:c>
      <x:c r="E1539" s="5" t="str">
        <x:f>VLOOKUP(B1539,Sections!$A$5:$I$45,3,FALSE)</x:f>
        <x:v>2024-1</x:v>
      </x:c>
    </x:row>
    <x:row r="1540" ht="21" customHeight="1">
      <x:c r="A1540" s="3" t="str">
        <x:v>2201014</x:v>
      </x:c>
      <x:c r="B1540" s="3" t="str">
        <x:v>SEC015</x:v>
      </x:c>
      <x:c r="C1540" s="3" t="n">
        <x:v>6</x:v>
      </x:c>
      <x:c r="D1540" s="3" t="str">
        <x:v>present</x:v>
      </x:c>
      <x:c r="E1540" s="5" t="str">
        <x:f>VLOOKUP(B1540,Sections!$A$5:$I$45,3,FALSE)</x:f>
        <x:v>2024-1</x:v>
      </x:c>
    </x:row>
    <x:row r="1541" ht="21" customHeight="1">
      <x:c r="A1541" s="3" t="str">
        <x:v>2201014</x:v>
      </x:c>
      <x:c r="B1541" s="3" t="str">
        <x:v>SEC015</x:v>
      </x:c>
      <x:c r="C1541" s="3" t="n">
        <x:v>7</x:v>
      </x:c>
      <x:c r="D1541" s="3" t="str">
        <x:v>present</x:v>
      </x:c>
      <x:c r="E1541" s="5" t="str">
        <x:f>VLOOKUP(B1541,Sections!$A$5:$I$45,3,FALSE)</x:f>
        <x:v>2024-1</x:v>
      </x:c>
    </x:row>
    <x:row r="1542" ht="21" customHeight="1">
      <x:c r="A1542" s="3" t="str">
        <x:v>2201014</x:v>
      </x:c>
      <x:c r="B1542" s="3" t="str">
        <x:v>SEC015</x:v>
      </x:c>
      <x:c r="C1542" s="3" t="n">
        <x:v>8</x:v>
      </x:c>
      <x:c r="D1542" s="3" t="str">
        <x:v>present</x:v>
      </x:c>
      <x:c r="E1542" s="5" t="str">
        <x:f>VLOOKUP(B1542,Sections!$A$5:$I$45,3,FALSE)</x:f>
        <x:v>2024-1</x:v>
      </x:c>
    </x:row>
    <x:row r="1543" ht="21" customHeight="1">
      <x:c r="A1543" s="3" t="str">
        <x:v>2201014</x:v>
      </x:c>
      <x:c r="B1543" s="3" t="str">
        <x:v>SEC015</x:v>
      </x:c>
      <x:c r="C1543" s="3" t="n">
        <x:v>9</x:v>
      </x:c>
      <x:c r="D1543" s="3" t="str">
        <x:v>present</x:v>
      </x:c>
      <x:c r="E1543" s="5" t="str">
        <x:f>VLOOKUP(B1543,Sections!$A$5:$I$45,3,FALSE)</x:f>
        <x:v>2024-1</x:v>
      </x:c>
    </x:row>
    <x:row r="1544" ht="21" customHeight="1">
      <x:c r="A1544" s="3" t="str">
        <x:v>2201014</x:v>
      </x:c>
      <x:c r="B1544" s="3" t="str">
        <x:v>SEC015</x:v>
      </x:c>
      <x:c r="C1544" s="3" t="n">
        <x:v>10</x:v>
      </x:c>
      <x:c r="D1544" s="3" t="str">
        <x:v>absent</x:v>
      </x:c>
      <x:c r="E1544" s="5" t="str">
        <x:f>VLOOKUP(B1544,Sections!$A$5:$I$45,3,FALSE)</x:f>
        <x:v>2024-1</x:v>
      </x:c>
    </x:row>
    <x:row r="1545" ht="21" customHeight="1">
      <x:c r="A1545" s="3" t="str">
        <x:v>2201014</x:v>
      </x:c>
      <x:c r="B1545" s="3" t="str">
        <x:v>SEC015</x:v>
      </x:c>
      <x:c r="C1545" s="3" t="n">
        <x:v>11</x:v>
      </x:c>
      <x:c r="D1545" s="3" t="str">
        <x:v>present</x:v>
      </x:c>
      <x:c r="E1545" s="5" t="str">
        <x:f>VLOOKUP(B1545,Sections!$A$5:$I$45,3,FALSE)</x:f>
        <x:v>2024-1</x:v>
      </x:c>
    </x:row>
    <x:row r="1546" ht="21" customHeight="1">
      <x:c r="A1546" s="3" t="str">
        <x:v>2201014</x:v>
      </x:c>
      <x:c r="B1546" s="3" t="str">
        <x:v>SEC015</x:v>
      </x:c>
      <x:c r="C1546" s="3" t="n">
        <x:v>12</x:v>
      </x:c>
      <x:c r="D1546" s="3" t="str">
        <x:v>present</x:v>
      </x:c>
      <x:c r="E1546" s="5" t="str">
        <x:f>VLOOKUP(B1546,Sections!$A$5:$I$45,3,FALSE)</x:f>
        <x:v>2024-1</x:v>
      </x:c>
    </x:row>
    <x:row r="1547" ht="21" customHeight="1">
      <x:c r="A1547" s="3" t="str">
        <x:v>2201014</x:v>
      </x:c>
      <x:c r="B1547" s="3" t="str">
        <x:v>SEC015</x:v>
      </x:c>
      <x:c r="C1547" s="3" t="n">
        <x:v>13</x:v>
      </x:c>
      <x:c r="D1547" s="3" t="str">
        <x:v>present</x:v>
      </x:c>
      <x:c r="E1547" s="5" t="str">
        <x:f>VLOOKUP(B1547,Sections!$A$5:$I$45,3,FALSE)</x:f>
        <x:v>2024-1</x:v>
      </x:c>
    </x:row>
    <x:row r="1548" ht="21" customHeight="1">
      <x:c r="A1548" s="3" t="str">
        <x:v>2201014</x:v>
      </x:c>
      <x:c r="B1548" s="3" t="str">
        <x:v>SEC015</x:v>
      </x:c>
      <x:c r="C1548" s="3" t="n">
        <x:v>14</x:v>
      </x:c>
      <x:c r="D1548" s="3" t="str">
        <x:v>present</x:v>
      </x:c>
      <x:c r="E1548" s="5" t="str">
        <x:f>VLOOKUP(B1548,Sections!$A$5:$I$45,3,FALSE)</x:f>
        <x:v>2024-1</x:v>
      </x:c>
    </x:row>
    <x:row r="1549" ht="21" customHeight="1">
      <x:c r="A1549" s="3" t="str">
        <x:v>2201014</x:v>
      </x:c>
      <x:c r="B1549" s="3" t="str">
        <x:v>SEC015</x:v>
      </x:c>
      <x:c r="C1549" s="3" t="n">
        <x:v>15</x:v>
      </x:c>
      <x:c r="D1549" s="3" t="str">
        <x:v>present</x:v>
      </x:c>
      <x:c r="E1549" s="5" t="str">
        <x:f>VLOOKUP(B1549,Sections!$A$5:$I$45,3,FALSE)</x:f>
        <x:v>2024-1</x:v>
      </x:c>
    </x:row>
    <x:row r="1550" ht="21" customHeight="1">
      <x:c r="A1550" s="3" t="str">
        <x:v>2201015</x:v>
      </x:c>
      <x:c r="B1550" s="3" t="str">
        <x:v>SEC015</x:v>
      </x:c>
      <x:c r="C1550" s="3" t="n">
        <x:v>1</x:v>
      </x:c>
      <x:c r="D1550" s="3" t="str">
        <x:v>absent</x:v>
      </x:c>
      <x:c r="E1550" s="5" t="str">
        <x:f>VLOOKUP(B1550,Sections!$A$5:$I$45,3,FALSE)</x:f>
        <x:v>2024-1</x:v>
      </x:c>
    </x:row>
    <x:row r="1551" ht="21" customHeight="1">
      <x:c r="A1551" s="3" t="str">
        <x:v>2201015</x:v>
      </x:c>
      <x:c r="B1551" s="3" t="str">
        <x:v>SEC015</x:v>
      </x:c>
      <x:c r="C1551" s="3" t="n">
        <x:v>2</x:v>
      </x:c>
      <x:c r="D1551" s="3" t="str">
        <x:v>absent</x:v>
      </x:c>
      <x:c r="E1551" s="5" t="str">
        <x:f>VLOOKUP(B1551,Sections!$A$5:$I$45,3,FALSE)</x:f>
        <x:v>2024-1</x:v>
      </x:c>
    </x:row>
    <x:row r="1552" ht="21" customHeight="1">
      <x:c r="A1552" s="3" t="str">
        <x:v>2201015</x:v>
      </x:c>
      <x:c r="B1552" s="3" t="str">
        <x:v>SEC015</x:v>
      </x:c>
      <x:c r="C1552" s="3" t="n">
        <x:v>3</x:v>
      </x:c>
      <x:c r="D1552" s="3" t="str">
        <x:v>late</x:v>
      </x:c>
      <x:c r="E1552" s="5" t="str">
        <x:f>VLOOKUP(B1552,Sections!$A$5:$I$45,3,FALSE)</x:f>
        <x:v>2024-1</x:v>
      </x:c>
    </x:row>
    <x:row r="1553" ht="21" customHeight="1">
      <x:c r="A1553" s="3" t="str">
        <x:v>2201015</x:v>
      </x:c>
      <x:c r="B1553" s="3" t="str">
        <x:v>SEC015</x:v>
      </x:c>
      <x:c r="C1553" s="3" t="n">
        <x:v>4</x:v>
      </x:c>
      <x:c r="D1553" s="3" t="str">
        <x:v>present</x:v>
      </x:c>
      <x:c r="E1553" s="5" t="str">
        <x:f>VLOOKUP(B1553,Sections!$A$5:$I$45,3,FALSE)</x:f>
        <x:v>2024-1</x:v>
      </x:c>
    </x:row>
    <x:row r="1554" ht="21" customHeight="1">
      <x:c r="A1554" s="3" t="str">
        <x:v>2201015</x:v>
      </x:c>
      <x:c r="B1554" s="3" t="str">
        <x:v>SEC015</x:v>
      </x:c>
      <x:c r="C1554" s="3" t="n">
        <x:v>5</x:v>
      </x:c>
      <x:c r="D1554" s="3" t="str">
        <x:v>present</x:v>
      </x:c>
      <x:c r="E1554" s="5" t="str">
        <x:f>VLOOKUP(B1554,Sections!$A$5:$I$45,3,FALSE)</x:f>
        <x:v>2024-1</x:v>
      </x:c>
    </x:row>
    <x:row r="1555" ht="21" customHeight="1">
      <x:c r="A1555" s="3" t="str">
        <x:v>2201015</x:v>
      </x:c>
      <x:c r="B1555" s="3" t="str">
        <x:v>SEC015</x:v>
      </x:c>
      <x:c r="C1555" s="3" t="n">
        <x:v>6</x:v>
      </x:c>
      <x:c r="D1555" s="3" t="str">
        <x:v>excused</x:v>
      </x:c>
      <x:c r="E1555" s="5" t="str">
        <x:f>VLOOKUP(B1555,Sections!$A$5:$I$45,3,FALSE)</x:f>
        <x:v>2024-1</x:v>
      </x:c>
    </x:row>
    <x:row r="1556" ht="21" customHeight="1">
      <x:c r="A1556" s="3" t="str">
        <x:v>2201015</x:v>
      </x:c>
      <x:c r="B1556" s="3" t="str">
        <x:v>SEC015</x:v>
      </x:c>
      <x:c r="C1556" s="3" t="n">
        <x:v>7</x:v>
      </x:c>
      <x:c r="D1556" s="3" t="str">
        <x:v>absent</x:v>
      </x:c>
      <x:c r="E1556" s="5" t="str">
        <x:f>VLOOKUP(B1556,Sections!$A$5:$I$45,3,FALSE)</x:f>
        <x:v>2024-1</x:v>
      </x:c>
    </x:row>
    <x:row r="1557" ht="21" customHeight="1">
      <x:c r="A1557" s="3" t="str">
        <x:v>2201015</x:v>
      </x:c>
      <x:c r="B1557" s="3" t="str">
        <x:v>SEC015</x:v>
      </x:c>
      <x:c r="C1557" s="3" t="n">
        <x:v>8</x:v>
      </x:c>
      <x:c r="D1557" s="3" t="str">
        <x:v>present</x:v>
      </x:c>
      <x:c r="E1557" s="5" t="str">
        <x:f>VLOOKUP(B1557,Sections!$A$5:$I$45,3,FALSE)</x:f>
        <x:v>2024-1</x:v>
      </x:c>
    </x:row>
    <x:row r="1558" ht="21" customHeight="1">
      <x:c r="A1558" s="3" t="str">
        <x:v>2201015</x:v>
      </x:c>
      <x:c r="B1558" s="3" t="str">
        <x:v>SEC015</x:v>
      </x:c>
      <x:c r="C1558" s="3" t="n">
        <x:v>9</x:v>
      </x:c>
      <x:c r="D1558" s="3" t="str">
        <x:v>present</x:v>
      </x:c>
      <x:c r="E1558" s="5" t="str">
        <x:f>VLOOKUP(B1558,Sections!$A$5:$I$45,3,FALSE)</x:f>
        <x:v>2024-1</x:v>
      </x:c>
    </x:row>
    <x:row r="1559" ht="21" customHeight="1">
      <x:c r="A1559" s="3" t="str">
        <x:v>2201015</x:v>
      </x:c>
      <x:c r="B1559" s="3" t="str">
        <x:v>SEC015</x:v>
      </x:c>
      <x:c r="C1559" s="3" t="n">
        <x:v>10</x:v>
      </x:c>
      <x:c r="D1559" s="3" t="str">
        <x:v>present</x:v>
      </x:c>
      <x:c r="E1559" s="5" t="str">
        <x:f>VLOOKUP(B1559,Sections!$A$5:$I$45,3,FALSE)</x:f>
        <x:v>2024-1</x:v>
      </x:c>
    </x:row>
    <x:row r="1560" ht="21" customHeight="1">
      <x:c r="A1560" s="3" t="str">
        <x:v>2201015</x:v>
      </x:c>
      <x:c r="B1560" s="3" t="str">
        <x:v>SEC015</x:v>
      </x:c>
      <x:c r="C1560" s="3" t="n">
        <x:v>11</x:v>
      </x:c>
      <x:c r="D1560" s="3" t="str">
        <x:v>present</x:v>
      </x:c>
      <x:c r="E1560" s="5" t="str">
        <x:f>VLOOKUP(B1560,Sections!$A$5:$I$45,3,FALSE)</x:f>
        <x:v>2024-1</x:v>
      </x:c>
    </x:row>
    <x:row r="1561" ht="21" customHeight="1">
      <x:c r="A1561" s="3" t="str">
        <x:v>2201015</x:v>
      </x:c>
      <x:c r="B1561" s="3" t="str">
        <x:v>SEC015</x:v>
      </x:c>
      <x:c r="C1561" s="3" t="n">
        <x:v>12</x:v>
      </x:c>
      <x:c r="D1561" s="3" t="str">
        <x:v>present</x:v>
      </x:c>
      <x:c r="E1561" s="5" t="str">
        <x:f>VLOOKUP(B1561,Sections!$A$5:$I$45,3,FALSE)</x:f>
        <x:v>2024-1</x:v>
      </x:c>
    </x:row>
    <x:row r="1562" ht="21" customHeight="1">
      <x:c r="A1562" s="3" t="str">
        <x:v>2201015</x:v>
      </x:c>
      <x:c r="B1562" s="3" t="str">
        <x:v>SEC015</x:v>
      </x:c>
      <x:c r="C1562" s="3" t="n">
        <x:v>13</x:v>
      </x:c>
      <x:c r="D1562" s="3" t="str">
        <x:v>present</x:v>
      </x:c>
      <x:c r="E1562" s="5" t="str">
        <x:f>VLOOKUP(B1562,Sections!$A$5:$I$45,3,FALSE)</x:f>
        <x:v>2024-1</x:v>
      </x:c>
    </x:row>
    <x:row r="1563" ht="21" customHeight="1">
      <x:c r="A1563" s="3" t="str">
        <x:v>2201015</x:v>
      </x:c>
      <x:c r="B1563" s="3" t="str">
        <x:v>SEC015</x:v>
      </x:c>
      <x:c r="C1563" s="3" t="n">
        <x:v>14</x:v>
      </x:c>
      <x:c r="D1563" s="3" t="str">
        <x:v>present</x:v>
      </x:c>
      <x:c r="E1563" s="5" t="str">
        <x:f>VLOOKUP(B1563,Sections!$A$5:$I$45,3,FALSE)</x:f>
        <x:v>2024-1</x:v>
      </x:c>
    </x:row>
    <x:row r="1564" ht="21" customHeight="1">
      <x:c r="A1564" s="3" t="str">
        <x:v>2201015</x:v>
      </x:c>
      <x:c r="B1564" s="3" t="str">
        <x:v>SEC015</x:v>
      </x:c>
      <x:c r="C1564" s="3" t="n">
        <x:v>15</x:v>
      </x:c>
      <x:c r="D1564" s="3" t="str">
        <x:v>present</x:v>
      </x:c>
      <x:c r="E1564" s="5" t="str">
        <x:f>VLOOKUP(B1564,Sections!$A$5:$I$45,3,FALSE)</x:f>
        <x:v>2024-1</x:v>
      </x:c>
    </x:row>
    <x:row r="1565" ht="21" customHeight="1">
      <x:c r="A1565" s="3" t="str">
        <x:v>2201016</x:v>
      </x:c>
      <x:c r="B1565" s="3" t="str">
        <x:v>SEC015</x:v>
      </x:c>
      <x:c r="C1565" s="3" t="n">
        <x:v>1</x:v>
      </x:c>
      <x:c r="D1565" s="3" t="str">
        <x:v>late</x:v>
      </x:c>
      <x:c r="E1565" s="5" t="str">
        <x:f>VLOOKUP(B1565,Sections!$A$5:$I$45,3,FALSE)</x:f>
        <x:v>2024-1</x:v>
      </x:c>
    </x:row>
    <x:row r="1566" ht="21" customHeight="1">
      <x:c r="A1566" s="3" t="str">
        <x:v>2201016</x:v>
      </x:c>
      <x:c r="B1566" s="3" t="str">
        <x:v>SEC015</x:v>
      </x:c>
      <x:c r="C1566" s="3" t="n">
        <x:v>2</x:v>
      </x:c>
      <x:c r="D1566" s="3" t="str">
        <x:v>present</x:v>
      </x:c>
      <x:c r="E1566" s="5" t="str">
        <x:f>VLOOKUP(B1566,Sections!$A$5:$I$45,3,FALSE)</x:f>
        <x:v>2024-1</x:v>
      </x:c>
    </x:row>
    <x:row r="1567" ht="21" customHeight="1">
      <x:c r="A1567" s="3" t="str">
        <x:v>2201016</x:v>
      </x:c>
      <x:c r="B1567" s="3" t="str">
        <x:v>SEC015</x:v>
      </x:c>
      <x:c r="C1567" s="3" t="n">
        <x:v>3</x:v>
      </x:c>
      <x:c r="D1567" s="3" t="str">
        <x:v>present</x:v>
      </x:c>
      <x:c r="E1567" s="5" t="str">
        <x:f>VLOOKUP(B1567,Sections!$A$5:$I$45,3,FALSE)</x:f>
        <x:v>2024-1</x:v>
      </x:c>
    </x:row>
    <x:row r="1568" ht="21" customHeight="1">
      <x:c r="A1568" s="3" t="str">
        <x:v>2201016</x:v>
      </x:c>
      <x:c r="B1568" s="3" t="str">
        <x:v>SEC015</x:v>
      </x:c>
      <x:c r="C1568" s="3" t="n">
        <x:v>4</x:v>
      </x:c>
      <x:c r="D1568" s="3" t="str">
        <x:v>present</x:v>
      </x:c>
      <x:c r="E1568" s="5" t="str">
        <x:f>VLOOKUP(B1568,Sections!$A$5:$I$45,3,FALSE)</x:f>
        <x:v>2024-1</x:v>
      </x:c>
    </x:row>
    <x:row r="1569" ht="21" customHeight="1">
      <x:c r="A1569" s="3" t="str">
        <x:v>2201016</x:v>
      </x:c>
      <x:c r="B1569" s="3" t="str">
        <x:v>SEC015</x:v>
      </x:c>
      <x:c r="C1569" s="3" t="n">
        <x:v>5</x:v>
      </x:c>
      <x:c r="D1569" s="3" t="str">
        <x:v>present</x:v>
      </x:c>
      <x:c r="E1569" s="5" t="str">
        <x:f>VLOOKUP(B1569,Sections!$A$5:$I$45,3,FALSE)</x:f>
        <x:v>2024-1</x:v>
      </x:c>
    </x:row>
    <x:row r="1570" ht="21" customHeight="1">
      <x:c r="A1570" s="3" t="str">
        <x:v>2201016</x:v>
      </x:c>
      <x:c r="B1570" s="3" t="str">
        <x:v>SEC015</x:v>
      </x:c>
      <x:c r="C1570" s="3" t="n">
        <x:v>6</x:v>
      </x:c>
      <x:c r="D1570" s="3" t="str">
        <x:v>present</x:v>
      </x:c>
      <x:c r="E1570" s="5" t="str">
        <x:f>VLOOKUP(B1570,Sections!$A$5:$I$45,3,FALSE)</x:f>
        <x:v>2024-1</x:v>
      </x:c>
    </x:row>
    <x:row r="1571" ht="21" customHeight="1">
      <x:c r="A1571" s="3" t="str">
        <x:v>2201016</x:v>
      </x:c>
      <x:c r="B1571" s="3" t="str">
        <x:v>SEC015</x:v>
      </x:c>
      <x:c r="C1571" s="3" t="n">
        <x:v>7</x:v>
      </x:c>
      <x:c r="D1571" s="3" t="str">
        <x:v>present</x:v>
      </x:c>
      <x:c r="E1571" s="5" t="str">
        <x:f>VLOOKUP(B1571,Sections!$A$5:$I$45,3,FALSE)</x:f>
        <x:v>2024-1</x:v>
      </x:c>
    </x:row>
    <x:row r="1572" ht="21" customHeight="1">
      <x:c r="A1572" s="3" t="str">
        <x:v>2201016</x:v>
      </x:c>
      <x:c r="B1572" s="3" t="str">
        <x:v>SEC015</x:v>
      </x:c>
      <x:c r="C1572" s="3" t="n">
        <x:v>8</x:v>
      </x:c>
      <x:c r="D1572" s="3" t="str">
        <x:v>present</x:v>
      </x:c>
      <x:c r="E1572" s="5" t="str">
        <x:f>VLOOKUP(B1572,Sections!$A$5:$I$45,3,FALSE)</x:f>
        <x:v>2024-1</x:v>
      </x:c>
    </x:row>
    <x:row r="1573" ht="21" customHeight="1">
      <x:c r="A1573" s="3" t="str">
        <x:v>2201016</x:v>
      </x:c>
      <x:c r="B1573" s="3" t="str">
        <x:v>SEC015</x:v>
      </x:c>
      <x:c r="C1573" s="3" t="n">
        <x:v>9</x:v>
      </x:c>
      <x:c r="D1573" s="3" t="str">
        <x:v>present</x:v>
      </x:c>
      <x:c r="E1573" s="5" t="str">
        <x:f>VLOOKUP(B1573,Sections!$A$5:$I$45,3,FALSE)</x:f>
        <x:v>2024-1</x:v>
      </x:c>
    </x:row>
    <x:row r="1574" ht="21" customHeight="1">
      <x:c r="A1574" s="3" t="str">
        <x:v>2201016</x:v>
      </x:c>
      <x:c r="B1574" s="3" t="str">
        <x:v>SEC015</x:v>
      </x:c>
      <x:c r="C1574" s="3" t="n">
        <x:v>10</x:v>
      </x:c>
      <x:c r="D1574" s="3" t="str">
        <x:v>present</x:v>
      </x:c>
      <x:c r="E1574" s="5" t="str">
        <x:f>VLOOKUP(B1574,Sections!$A$5:$I$45,3,FALSE)</x:f>
        <x:v>2024-1</x:v>
      </x:c>
    </x:row>
    <x:row r="1575" ht="21" customHeight="1">
      <x:c r="A1575" s="3" t="str">
        <x:v>2201016</x:v>
      </x:c>
      <x:c r="B1575" s="3" t="str">
        <x:v>SEC015</x:v>
      </x:c>
      <x:c r="C1575" s="3" t="n">
        <x:v>11</x:v>
      </x:c>
      <x:c r="D1575" s="3" t="str">
        <x:v>present</x:v>
      </x:c>
      <x:c r="E1575" s="5" t="str">
        <x:f>VLOOKUP(B1575,Sections!$A$5:$I$45,3,FALSE)</x:f>
        <x:v>2024-1</x:v>
      </x:c>
    </x:row>
    <x:row r="1576" ht="21" customHeight="1">
      <x:c r="A1576" s="3" t="str">
        <x:v>2201016</x:v>
      </x:c>
      <x:c r="B1576" s="3" t="str">
        <x:v>SEC015</x:v>
      </x:c>
      <x:c r="C1576" s="3" t="n">
        <x:v>12</x:v>
      </x:c>
      <x:c r="D1576" s="3" t="str">
        <x:v>present</x:v>
      </x:c>
      <x:c r="E1576" s="5" t="str">
        <x:f>VLOOKUP(B1576,Sections!$A$5:$I$45,3,FALSE)</x:f>
        <x:v>2024-1</x:v>
      </x:c>
    </x:row>
    <x:row r="1577" ht="21" customHeight="1">
      <x:c r="A1577" s="3" t="str">
        <x:v>2201016</x:v>
      </x:c>
      <x:c r="B1577" s="3" t="str">
        <x:v>SEC015</x:v>
      </x:c>
      <x:c r="C1577" s="3" t="n">
        <x:v>13</x:v>
      </x:c>
      <x:c r="D1577" s="3" t="str">
        <x:v>present</x:v>
      </x:c>
      <x:c r="E1577" s="5" t="str">
        <x:f>VLOOKUP(B1577,Sections!$A$5:$I$45,3,FALSE)</x:f>
        <x:v>2024-1</x:v>
      </x:c>
    </x:row>
    <x:row r="1578" ht="21" customHeight="1">
      <x:c r="A1578" s="3" t="str">
        <x:v>2201016</x:v>
      </x:c>
      <x:c r="B1578" s="3" t="str">
        <x:v>SEC015</x:v>
      </x:c>
      <x:c r="C1578" s="3" t="n">
        <x:v>14</x:v>
      </x:c>
      <x:c r="D1578" s="3" t="str">
        <x:v>excused</x:v>
      </x:c>
      <x:c r="E1578" s="5" t="str">
        <x:f>VLOOKUP(B1578,Sections!$A$5:$I$45,3,FALSE)</x:f>
        <x:v>2024-1</x:v>
      </x:c>
    </x:row>
    <x:row r="1579" ht="21" customHeight="1">
      <x:c r="A1579" s="3" t="str">
        <x:v>2201016</x:v>
      </x:c>
      <x:c r="B1579" s="3" t="str">
        <x:v>SEC015</x:v>
      </x:c>
      <x:c r="C1579" s="3" t="n">
        <x:v>15</x:v>
      </x:c>
      <x:c r="D1579" s="3" t="str">
        <x:v>present</x:v>
      </x:c>
      <x:c r="E1579" s="5" t="str">
        <x:f>VLOOKUP(B1579,Sections!$A$5:$I$45,3,FALSE)</x:f>
        <x:v>2024-1</x:v>
      </x:c>
    </x:row>
    <x:row r="1580" ht="21" customHeight="1">
      <x:c r="A1580" s="3" t="str">
        <x:v>2201017</x:v>
      </x:c>
      <x:c r="B1580" s="3" t="str">
        <x:v>SEC015</x:v>
      </x:c>
      <x:c r="C1580" s="3" t="n">
        <x:v>1</x:v>
      </x:c>
      <x:c r="D1580" s="3" t="str">
        <x:v>present</x:v>
      </x:c>
      <x:c r="E1580" s="5" t="str">
        <x:f>VLOOKUP(B1580,Sections!$A$5:$I$45,3,FALSE)</x:f>
        <x:v>2024-1</x:v>
      </x:c>
    </x:row>
    <x:row r="1581" ht="21" customHeight="1">
      <x:c r="A1581" s="3" t="str">
        <x:v>2201017</x:v>
      </x:c>
      <x:c r="B1581" s="3" t="str">
        <x:v>SEC015</x:v>
      </x:c>
      <x:c r="C1581" s="3" t="n">
        <x:v>2</x:v>
      </x:c>
      <x:c r="D1581" s="3" t="str">
        <x:v>present</x:v>
      </x:c>
      <x:c r="E1581" s="5" t="str">
        <x:f>VLOOKUP(B1581,Sections!$A$5:$I$45,3,FALSE)</x:f>
        <x:v>2024-1</x:v>
      </x:c>
    </x:row>
    <x:row r="1582" ht="21" customHeight="1">
      <x:c r="A1582" s="3" t="str">
        <x:v>2201017</x:v>
      </x:c>
      <x:c r="B1582" s="3" t="str">
        <x:v>SEC015</x:v>
      </x:c>
      <x:c r="C1582" s="3" t="n">
        <x:v>3</x:v>
      </x:c>
      <x:c r="D1582" s="3" t="str">
        <x:v>present</x:v>
      </x:c>
      <x:c r="E1582" s="5" t="str">
        <x:f>VLOOKUP(B1582,Sections!$A$5:$I$45,3,FALSE)</x:f>
        <x:v>2024-1</x:v>
      </x:c>
    </x:row>
    <x:row r="1583" ht="21" customHeight="1">
      <x:c r="A1583" s="3" t="str">
        <x:v>2201017</x:v>
      </x:c>
      <x:c r="B1583" s="3" t="str">
        <x:v>SEC015</x:v>
      </x:c>
      <x:c r="C1583" s="3" t="n">
        <x:v>4</x:v>
      </x:c>
      <x:c r="D1583" s="3" t="str">
        <x:v>present</x:v>
      </x:c>
      <x:c r="E1583" s="5" t="str">
        <x:f>VLOOKUP(B1583,Sections!$A$5:$I$45,3,FALSE)</x:f>
        <x:v>2024-1</x:v>
      </x:c>
    </x:row>
    <x:row r="1584" ht="21" customHeight="1">
      <x:c r="A1584" s="3" t="str">
        <x:v>2201017</x:v>
      </x:c>
      <x:c r="B1584" s="3" t="str">
        <x:v>SEC015</x:v>
      </x:c>
      <x:c r="C1584" s="3" t="n">
        <x:v>5</x:v>
      </x:c>
      <x:c r="D1584" s="3" t="str">
        <x:v>present</x:v>
      </x:c>
      <x:c r="E1584" s="5" t="str">
        <x:f>VLOOKUP(B1584,Sections!$A$5:$I$45,3,FALSE)</x:f>
        <x:v>2024-1</x:v>
      </x:c>
    </x:row>
    <x:row r="1585" ht="21" customHeight="1">
      <x:c r="A1585" s="3" t="str">
        <x:v>2201017</x:v>
      </x:c>
      <x:c r="B1585" s="3" t="str">
        <x:v>SEC015</x:v>
      </x:c>
      <x:c r="C1585" s="3" t="n">
        <x:v>6</x:v>
      </x:c>
      <x:c r="D1585" s="3" t="str">
        <x:v>present</x:v>
      </x:c>
      <x:c r="E1585" s="5" t="str">
        <x:f>VLOOKUP(B1585,Sections!$A$5:$I$45,3,FALSE)</x:f>
        <x:v>2024-1</x:v>
      </x:c>
    </x:row>
    <x:row r="1586" ht="21" customHeight="1">
      <x:c r="A1586" s="3" t="str">
        <x:v>2201017</x:v>
      </x:c>
      <x:c r="B1586" s="3" t="str">
        <x:v>SEC015</x:v>
      </x:c>
      <x:c r="C1586" s="3" t="n">
        <x:v>7</x:v>
      </x:c>
      <x:c r="D1586" s="3" t="str">
        <x:v>absent</x:v>
      </x:c>
      <x:c r="E1586" s="5" t="str">
        <x:f>VLOOKUP(B1586,Sections!$A$5:$I$45,3,FALSE)</x:f>
        <x:v>2024-1</x:v>
      </x:c>
    </x:row>
    <x:row r="1587" ht="21" customHeight="1">
      <x:c r="A1587" s="3" t="str">
        <x:v>2201017</x:v>
      </x:c>
      <x:c r="B1587" s="3" t="str">
        <x:v>SEC015</x:v>
      </x:c>
      <x:c r="C1587" s="3" t="n">
        <x:v>8</x:v>
      </x:c>
      <x:c r="D1587" s="3" t="str">
        <x:v>present</x:v>
      </x:c>
      <x:c r="E1587" s="5" t="str">
        <x:f>VLOOKUP(B1587,Sections!$A$5:$I$45,3,FALSE)</x:f>
        <x:v>2024-1</x:v>
      </x:c>
    </x:row>
    <x:row r="1588" ht="21" customHeight="1">
      <x:c r="A1588" s="3" t="str">
        <x:v>2201017</x:v>
      </x:c>
      <x:c r="B1588" s="3" t="str">
        <x:v>SEC015</x:v>
      </x:c>
      <x:c r="C1588" s="3" t="n">
        <x:v>9</x:v>
      </x:c>
      <x:c r="D1588" s="3" t="str">
        <x:v>present</x:v>
      </x:c>
      <x:c r="E1588" s="5" t="str">
        <x:f>VLOOKUP(B1588,Sections!$A$5:$I$45,3,FALSE)</x:f>
        <x:v>2024-1</x:v>
      </x:c>
    </x:row>
    <x:row r="1589" ht="21" customHeight="1">
      <x:c r="A1589" s="3" t="str">
        <x:v>2201017</x:v>
      </x:c>
      <x:c r="B1589" s="3" t="str">
        <x:v>SEC015</x:v>
      </x:c>
      <x:c r="C1589" s="3" t="n">
        <x:v>10</x:v>
      </x:c>
      <x:c r="D1589" s="3" t="str">
        <x:v>late</x:v>
      </x:c>
      <x:c r="E1589" s="5" t="str">
        <x:f>VLOOKUP(B1589,Sections!$A$5:$I$45,3,FALSE)</x:f>
        <x:v>2024-1</x:v>
      </x:c>
    </x:row>
    <x:row r="1590" ht="21" customHeight="1">
      <x:c r="A1590" s="3" t="str">
        <x:v>2201017</x:v>
      </x:c>
      <x:c r="B1590" s="3" t="str">
        <x:v>SEC015</x:v>
      </x:c>
      <x:c r="C1590" s="3" t="n">
        <x:v>11</x:v>
      </x:c>
      <x:c r="D1590" s="3" t="str">
        <x:v>present</x:v>
      </x:c>
      <x:c r="E1590" s="5" t="str">
        <x:f>VLOOKUP(B1590,Sections!$A$5:$I$45,3,FALSE)</x:f>
        <x:v>2024-1</x:v>
      </x:c>
    </x:row>
    <x:row r="1591" ht="21" customHeight="1">
      <x:c r="A1591" s="3" t="str">
        <x:v>2201017</x:v>
      </x:c>
      <x:c r="B1591" s="3" t="str">
        <x:v>SEC015</x:v>
      </x:c>
      <x:c r="C1591" s="3" t="n">
        <x:v>12</x:v>
      </x:c>
      <x:c r="D1591" s="3" t="str">
        <x:v>present</x:v>
      </x:c>
      <x:c r="E1591" s="5" t="str">
        <x:f>VLOOKUP(B1591,Sections!$A$5:$I$45,3,FALSE)</x:f>
        <x:v>2024-1</x:v>
      </x:c>
    </x:row>
    <x:row r="1592" ht="21" customHeight="1">
      <x:c r="A1592" s="3" t="str">
        <x:v>2201017</x:v>
      </x:c>
      <x:c r="B1592" s="3" t="str">
        <x:v>SEC015</x:v>
      </x:c>
      <x:c r="C1592" s="3" t="n">
        <x:v>13</x:v>
      </x:c>
      <x:c r="D1592" s="3" t="str">
        <x:v>present</x:v>
      </x:c>
      <x:c r="E1592" s="5" t="str">
        <x:f>VLOOKUP(B1592,Sections!$A$5:$I$45,3,FALSE)</x:f>
        <x:v>2024-1</x:v>
      </x:c>
    </x:row>
    <x:row r="1593" ht="21" customHeight="1">
      <x:c r="A1593" s="3" t="str">
        <x:v>2201017</x:v>
      </x:c>
      <x:c r="B1593" s="3" t="str">
        <x:v>SEC015</x:v>
      </x:c>
      <x:c r="C1593" s="3" t="n">
        <x:v>14</x:v>
      </x:c>
      <x:c r="D1593" s="3" t="str">
        <x:v>present</x:v>
      </x:c>
      <x:c r="E1593" s="5" t="str">
        <x:f>VLOOKUP(B1593,Sections!$A$5:$I$45,3,FALSE)</x:f>
        <x:v>2024-1</x:v>
      </x:c>
    </x:row>
    <x:row r="1594" ht="21" customHeight="1">
      <x:c r="A1594" s="3" t="str">
        <x:v>2201017</x:v>
      </x:c>
      <x:c r="B1594" s="3" t="str">
        <x:v>SEC015</x:v>
      </x:c>
      <x:c r="C1594" s="3" t="n">
        <x:v>15</x:v>
      </x:c>
      <x:c r="D1594" s="3" t="str">
        <x:v>present</x:v>
      </x:c>
      <x:c r="E1594" s="5" t="str">
        <x:f>VLOOKUP(B1594,Sections!$A$5:$I$45,3,FALSE)</x:f>
        <x:v>2024-1</x:v>
      </x:c>
    </x:row>
    <x:row r="1595" ht="21" customHeight="1">
      <x:c r="A1595" s="3" t="str">
        <x:v>2201018</x:v>
      </x:c>
      <x:c r="B1595" s="3" t="str">
        <x:v>SEC015</x:v>
      </x:c>
      <x:c r="C1595" s="3" t="n">
        <x:v>1</x:v>
      </x:c>
      <x:c r="D1595" s="3" t="str">
        <x:v>present</x:v>
      </x:c>
      <x:c r="E1595" s="5" t="str">
        <x:f>VLOOKUP(B1595,Sections!$A$5:$I$45,3,FALSE)</x:f>
        <x:v>2024-1</x:v>
      </x:c>
    </x:row>
    <x:row r="1596" ht="21" customHeight="1">
      <x:c r="A1596" s="3" t="str">
        <x:v>2201018</x:v>
      </x:c>
      <x:c r="B1596" s="3" t="str">
        <x:v>SEC015</x:v>
      </x:c>
      <x:c r="C1596" s="3" t="n">
        <x:v>2</x:v>
      </x:c>
      <x:c r="D1596" s="3" t="str">
        <x:v>present</x:v>
      </x:c>
      <x:c r="E1596" s="5" t="str">
        <x:f>VLOOKUP(B1596,Sections!$A$5:$I$45,3,FALSE)</x:f>
        <x:v>2024-1</x:v>
      </x:c>
    </x:row>
    <x:row r="1597" ht="21" customHeight="1">
      <x:c r="A1597" s="3" t="str">
        <x:v>2201018</x:v>
      </x:c>
      <x:c r="B1597" s="3" t="str">
        <x:v>SEC015</x:v>
      </x:c>
      <x:c r="C1597" s="3" t="n">
        <x:v>3</x:v>
      </x:c>
      <x:c r="D1597" s="3" t="str">
        <x:v>present</x:v>
      </x:c>
      <x:c r="E1597" s="5" t="str">
        <x:f>VLOOKUP(B1597,Sections!$A$5:$I$45,3,FALSE)</x:f>
        <x:v>2024-1</x:v>
      </x:c>
    </x:row>
    <x:row r="1598" ht="21" customHeight="1">
      <x:c r="A1598" s="3" t="str">
        <x:v>2201018</x:v>
      </x:c>
      <x:c r="B1598" s="3" t="str">
        <x:v>SEC015</x:v>
      </x:c>
      <x:c r="C1598" s="3" t="n">
        <x:v>4</x:v>
      </x:c>
      <x:c r="D1598" s="3" t="str">
        <x:v>present</x:v>
      </x:c>
      <x:c r="E1598" s="5" t="str">
        <x:f>VLOOKUP(B1598,Sections!$A$5:$I$45,3,FALSE)</x:f>
        <x:v>2024-1</x:v>
      </x:c>
    </x:row>
    <x:row r="1599" ht="21" customHeight="1">
      <x:c r="A1599" s="3" t="str">
        <x:v>2201018</x:v>
      </x:c>
      <x:c r="B1599" s="3" t="str">
        <x:v>SEC015</x:v>
      </x:c>
      <x:c r="C1599" s="3" t="n">
        <x:v>5</x:v>
      </x:c>
      <x:c r="D1599" s="3" t="str">
        <x:v>present</x:v>
      </x:c>
      <x:c r="E1599" s="5" t="str">
        <x:f>VLOOKUP(B1599,Sections!$A$5:$I$45,3,FALSE)</x:f>
        <x:v>2024-1</x:v>
      </x:c>
    </x:row>
    <x:row r="1600" ht="21" customHeight="1">
      <x:c r="A1600" s="3" t="str">
        <x:v>2201018</x:v>
      </x:c>
      <x:c r="B1600" s="3" t="str">
        <x:v>SEC015</x:v>
      </x:c>
      <x:c r="C1600" s="3" t="n">
        <x:v>6</x:v>
      </x:c>
      <x:c r="D1600" s="3" t="str">
        <x:v>present</x:v>
      </x:c>
      <x:c r="E1600" s="5" t="str">
        <x:f>VLOOKUP(B1600,Sections!$A$5:$I$45,3,FALSE)</x:f>
        <x:v>2024-1</x:v>
      </x:c>
    </x:row>
    <x:row r="1601" ht="21" customHeight="1">
      <x:c r="A1601" s="3" t="str">
        <x:v>2201018</x:v>
      </x:c>
      <x:c r="B1601" s="3" t="str">
        <x:v>SEC015</x:v>
      </x:c>
      <x:c r="C1601" s="3" t="n">
        <x:v>7</x:v>
      </x:c>
      <x:c r="D1601" s="3" t="str">
        <x:v>present</x:v>
      </x:c>
      <x:c r="E1601" s="5" t="str">
        <x:f>VLOOKUP(B1601,Sections!$A$5:$I$45,3,FALSE)</x:f>
        <x:v>2024-1</x:v>
      </x:c>
    </x:row>
    <x:row r="1602" ht="21" customHeight="1">
      <x:c r="A1602" s="3" t="str">
        <x:v>2201018</x:v>
      </x:c>
      <x:c r="B1602" s="3" t="str">
        <x:v>SEC015</x:v>
      </x:c>
      <x:c r="C1602" s="3" t="n">
        <x:v>8</x:v>
      </x:c>
      <x:c r="D1602" s="3" t="str">
        <x:v>present</x:v>
      </x:c>
      <x:c r="E1602" s="5" t="str">
        <x:f>VLOOKUP(B1602,Sections!$A$5:$I$45,3,FALSE)</x:f>
        <x:v>2024-1</x:v>
      </x:c>
    </x:row>
    <x:row r="1603" ht="21" customHeight="1">
      <x:c r="A1603" s="3" t="str">
        <x:v>2201018</x:v>
      </x:c>
      <x:c r="B1603" s="3" t="str">
        <x:v>SEC015</x:v>
      </x:c>
      <x:c r="C1603" s="3" t="n">
        <x:v>9</x:v>
      </x:c>
      <x:c r="D1603" s="3" t="str">
        <x:v>present</x:v>
      </x:c>
      <x:c r="E1603" s="5" t="str">
        <x:f>VLOOKUP(B1603,Sections!$A$5:$I$45,3,FALSE)</x:f>
        <x:v>2024-1</x:v>
      </x:c>
    </x:row>
    <x:row r="1604" ht="21" customHeight="1">
      <x:c r="A1604" s="3" t="str">
        <x:v>2201018</x:v>
      </x:c>
      <x:c r="B1604" s="3" t="str">
        <x:v>SEC015</x:v>
      </x:c>
      <x:c r="C1604" s="3" t="n">
        <x:v>10</x:v>
      </x:c>
      <x:c r="D1604" s="3" t="str">
        <x:v>present</x:v>
      </x:c>
      <x:c r="E1604" s="5" t="str">
        <x:f>VLOOKUP(B1604,Sections!$A$5:$I$45,3,FALSE)</x:f>
        <x:v>2024-1</x:v>
      </x:c>
    </x:row>
    <x:row r="1605" ht="21" customHeight="1">
      <x:c r="A1605" s="3" t="str">
        <x:v>2201018</x:v>
      </x:c>
      <x:c r="B1605" s="3" t="str">
        <x:v>SEC015</x:v>
      </x:c>
      <x:c r="C1605" s="3" t="n">
        <x:v>11</x:v>
      </x:c>
      <x:c r="D1605" s="3" t="str">
        <x:v>present</x:v>
      </x:c>
      <x:c r="E1605" s="5" t="str">
        <x:f>VLOOKUP(B1605,Sections!$A$5:$I$45,3,FALSE)</x:f>
        <x:v>2024-1</x:v>
      </x:c>
    </x:row>
    <x:row r="1606" ht="21" customHeight="1">
      <x:c r="A1606" s="3" t="str">
        <x:v>2201018</x:v>
      </x:c>
      <x:c r="B1606" s="3" t="str">
        <x:v>SEC015</x:v>
      </x:c>
      <x:c r="C1606" s="3" t="n">
        <x:v>12</x:v>
      </x:c>
      <x:c r="D1606" s="3" t="str">
        <x:v>present</x:v>
      </x:c>
      <x:c r="E1606" s="5" t="str">
        <x:f>VLOOKUP(B1606,Sections!$A$5:$I$45,3,FALSE)</x:f>
        <x:v>2024-1</x:v>
      </x:c>
    </x:row>
    <x:row r="1607" ht="21" customHeight="1">
      <x:c r="A1607" s="3" t="str">
        <x:v>2201018</x:v>
      </x:c>
      <x:c r="B1607" s="3" t="str">
        <x:v>SEC015</x:v>
      </x:c>
      <x:c r="C1607" s="3" t="n">
        <x:v>13</x:v>
      </x:c>
      <x:c r="D1607" s="3" t="str">
        <x:v>present</x:v>
      </x:c>
      <x:c r="E1607" s="5" t="str">
        <x:f>VLOOKUP(B1607,Sections!$A$5:$I$45,3,FALSE)</x:f>
        <x:v>2024-1</x:v>
      </x:c>
    </x:row>
    <x:row r="1608" ht="21" customHeight="1">
      <x:c r="A1608" s="3" t="str">
        <x:v>2201018</x:v>
      </x:c>
      <x:c r="B1608" s="3" t="str">
        <x:v>SEC015</x:v>
      </x:c>
      <x:c r="C1608" s="3" t="n">
        <x:v>14</x:v>
      </x:c>
      <x:c r="D1608" s="3" t="str">
        <x:v>present</x:v>
      </x:c>
      <x:c r="E1608" s="5" t="str">
        <x:f>VLOOKUP(B1608,Sections!$A$5:$I$45,3,FALSE)</x:f>
        <x:v>2024-1</x:v>
      </x:c>
    </x:row>
    <x:row r="1609" ht="21" customHeight="1">
      <x:c r="A1609" s="3" t="str">
        <x:v>2201018</x:v>
      </x:c>
      <x:c r="B1609" s="3" t="str">
        <x:v>SEC015</x:v>
      </x:c>
      <x:c r="C1609" s="3" t="n">
        <x:v>15</x:v>
      </x:c>
      <x:c r="D1609" s="3" t="str">
        <x:v>present</x:v>
      </x:c>
      <x:c r="E1609" s="5" t="str">
        <x:f>VLOOKUP(B1609,Sections!$A$5:$I$45,3,FALSE)</x:f>
        <x:v>2024-1</x:v>
      </x:c>
    </x:row>
    <x:row r="1610" ht="21" customHeight="1">
      <x:c r="A1610" s="3" t="str">
        <x:v>2201019</x:v>
      </x:c>
      <x:c r="B1610" s="3" t="str">
        <x:v>SEC015</x:v>
      </x:c>
      <x:c r="C1610" s="3" t="n">
        <x:v>1</x:v>
      </x:c>
      <x:c r="D1610" s="3" t="str">
        <x:v>present</x:v>
      </x:c>
      <x:c r="E1610" s="5" t="str">
        <x:f>VLOOKUP(B1610,Sections!$A$5:$I$45,3,FALSE)</x:f>
        <x:v>2024-1</x:v>
      </x:c>
    </x:row>
    <x:row r="1611" ht="21" customHeight="1">
      <x:c r="A1611" s="3" t="str">
        <x:v>2201019</x:v>
      </x:c>
      <x:c r="B1611" s="3" t="str">
        <x:v>SEC015</x:v>
      </x:c>
      <x:c r="C1611" s="3" t="n">
        <x:v>2</x:v>
      </x:c>
      <x:c r="D1611" s="3" t="str">
        <x:v>present</x:v>
      </x:c>
      <x:c r="E1611" s="5" t="str">
        <x:f>VLOOKUP(B1611,Sections!$A$5:$I$45,3,FALSE)</x:f>
        <x:v>2024-1</x:v>
      </x:c>
    </x:row>
    <x:row r="1612" ht="21" customHeight="1">
      <x:c r="A1612" s="3" t="str">
        <x:v>2201019</x:v>
      </x:c>
      <x:c r="B1612" s="3" t="str">
        <x:v>SEC015</x:v>
      </x:c>
      <x:c r="C1612" s="3" t="n">
        <x:v>3</x:v>
      </x:c>
      <x:c r="D1612" s="3" t="str">
        <x:v>present</x:v>
      </x:c>
      <x:c r="E1612" s="5" t="str">
        <x:f>VLOOKUP(B1612,Sections!$A$5:$I$45,3,FALSE)</x:f>
        <x:v>2024-1</x:v>
      </x:c>
    </x:row>
    <x:row r="1613" ht="21" customHeight="1">
      <x:c r="A1613" s="3" t="str">
        <x:v>2201019</x:v>
      </x:c>
      <x:c r="B1613" s="3" t="str">
        <x:v>SEC015</x:v>
      </x:c>
      <x:c r="C1613" s="3" t="n">
        <x:v>4</x:v>
      </x:c>
      <x:c r="D1613" s="3" t="str">
        <x:v>present</x:v>
      </x:c>
      <x:c r="E1613" s="5" t="str">
        <x:f>VLOOKUP(B1613,Sections!$A$5:$I$45,3,FALSE)</x:f>
        <x:v>2024-1</x:v>
      </x:c>
    </x:row>
    <x:row r="1614" ht="21" customHeight="1">
      <x:c r="A1614" s="3" t="str">
        <x:v>2201019</x:v>
      </x:c>
      <x:c r="B1614" s="3" t="str">
        <x:v>SEC015</x:v>
      </x:c>
      <x:c r="C1614" s="3" t="n">
        <x:v>5</x:v>
      </x:c>
      <x:c r="D1614" s="3" t="str">
        <x:v>present</x:v>
      </x:c>
      <x:c r="E1614" s="5" t="str">
        <x:f>VLOOKUP(B1614,Sections!$A$5:$I$45,3,FALSE)</x:f>
        <x:v>2024-1</x:v>
      </x:c>
    </x:row>
    <x:row r="1615" ht="21" customHeight="1">
      <x:c r="A1615" s="3" t="str">
        <x:v>2201019</x:v>
      </x:c>
      <x:c r="B1615" s="3" t="str">
        <x:v>SEC015</x:v>
      </x:c>
      <x:c r="C1615" s="3" t="n">
        <x:v>6</x:v>
      </x:c>
      <x:c r="D1615" s="3" t="str">
        <x:v>present</x:v>
      </x:c>
      <x:c r="E1615" s="5" t="str">
        <x:f>VLOOKUP(B1615,Sections!$A$5:$I$45,3,FALSE)</x:f>
        <x:v>2024-1</x:v>
      </x:c>
    </x:row>
    <x:row r="1616" ht="21" customHeight="1">
      <x:c r="A1616" s="3" t="str">
        <x:v>2201019</x:v>
      </x:c>
      <x:c r="B1616" s="3" t="str">
        <x:v>SEC015</x:v>
      </x:c>
      <x:c r="C1616" s="3" t="n">
        <x:v>7</x:v>
      </x:c>
      <x:c r="D1616" s="3" t="str">
        <x:v>present</x:v>
      </x:c>
      <x:c r="E1616" s="5" t="str">
        <x:f>VLOOKUP(B1616,Sections!$A$5:$I$45,3,FALSE)</x:f>
        <x:v>2024-1</x:v>
      </x:c>
    </x:row>
    <x:row r="1617" ht="21" customHeight="1">
      <x:c r="A1617" s="3" t="str">
        <x:v>2201019</x:v>
      </x:c>
      <x:c r="B1617" s="3" t="str">
        <x:v>SEC015</x:v>
      </x:c>
      <x:c r="C1617" s="3" t="n">
        <x:v>8</x:v>
      </x:c>
      <x:c r="D1617" s="3" t="str">
        <x:v>late</x:v>
      </x:c>
      <x:c r="E1617" s="5" t="str">
        <x:f>VLOOKUP(B1617,Sections!$A$5:$I$45,3,FALSE)</x:f>
        <x:v>2024-1</x:v>
      </x:c>
    </x:row>
    <x:row r="1618" ht="21" customHeight="1">
      <x:c r="A1618" s="3" t="str">
        <x:v>2201019</x:v>
      </x:c>
      <x:c r="B1618" s="3" t="str">
        <x:v>SEC015</x:v>
      </x:c>
      <x:c r="C1618" s="3" t="n">
        <x:v>9</x:v>
      </x:c>
      <x:c r="D1618" s="3" t="str">
        <x:v>present</x:v>
      </x:c>
      <x:c r="E1618" s="5" t="str">
        <x:f>VLOOKUP(B1618,Sections!$A$5:$I$45,3,FALSE)</x:f>
        <x:v>2024-1</x:v>
      </x:c>
    </x:row>
    <x:row r="1619" ht="21" customHeight="1">
      <x:c r="A1619" s="3" t="str">
        <x:v>2201019</x:v>
      </x:c>
      <x:c r="B1619" s="3" t="str">
        <x:v>SEC015</x:v>
      </x:c>
      <x:c r="C1619" s="3" t="n">
        <x:v>10</x:v>
      </x:c>
      <x:c r="D1619" s="3" t="str">
        <x:v>present</x:v>
      </x:c>
      <x:c r="E1619" s="5" t="str">
        <x:f>VLOOKUP(B1619,Sections!$A$5:$I$45,3,FALSE)</x:f>
        <x:v>2024-1</x:v>
      </x:c>
    </x:row>
    <x:row r="1620" ht="21" customHeight="1">
      <x:c r="A1620" s="3" t="str">
        <x:v>2201019</x:v>
      </x:c>
      <x:c r="B1620" s="3" t="str">
        <x:v>SEC015</x:v>
      </x:c>
      <x:c r="C1620" s="3" t="n">
        <x:v>11</x:v>
      </x:c>
      <x:c r="D1620" s="3" t="str">
        <x:v>present</x:v>
      </x:c>
      <x:c r="E1620" s="5" t="str">
        <x:f>VLOOKUP(B1620,Sections!$A$5:$I$45,3,FALSE)</x:f>
        <x:v>2024-1</x:v>
      </x:c>
    </x:row>
    <x:row r="1621" ht="21" customHeight="1">
      <x:c r="A1621" s="3" t="str">
        <x:v>2201019</x:v>
      </x:c>
      <x:c r="B1621" s="3" t="str">
        <x:v>SEC015</x:v>
      </x:c>
      <x:c r="C1621" s="3" t="n">
        <x:v>12</x:v>
      </x:c>
      <x:c r="D1621" s="3" t="str">
        <x:v>present</x:v>
      </x:c>
      <x:c r="E1621" s="5" t="str">
        <x:f>VLOOKUP(B1621,Sections!$A$5:$I$45,3,FALSE)</x:f>
        <x:v>2024-1</x:v>
      </x:c>
    </x:row>
    <x:row r="1622" ht="21" customHeight="1">
      <x:c r="A1622" s="3" t="str">
        <x:v>2201019</x:v>
      </x:c>
      <x:c r="B1622" s="3" t="str">
        <x:v>SEC015</x:v>
      </x:c>
      <x:c r="C1622" s="3" t="n">
        <x:v>13</x:v>
      </x:c>
      <x:c r="D1622" s="3" t="str">
        <x:v>present</x:v>
      </x:c>
      <x:c r="E1622" s="5" t="str">
        <x:f>VLOOKUP(B1622,Sections!$A$5:$I$45,3,FALSE)</x:f>
        <x:v>2024-1</x:v>
      </x:c>
    </x:row>
    <x:row r="1623" ht="21" customHeight="1">
      <x:c r="A1623" s="3" t="str">
        <x:v>2201019</x:v>
      </x:c>
      <x:c r="B1623" s="3" t="str">
        <x:v>SEC015</x:v>
      </x:c>
      <x:c r="C1623" s="3" t="n">
        <x:v>14</x:v>
      </x:c>
      <x:c r="D1623" s="3" t="str">
        <x:v>present</x:v>
      </x:c>
      <x:c r="E1623" s="5" t="str">
        <x:f>VLOOKUP(B1623,Sections!$A$5:$I$45,3,FALSE)</x:f>
        <x:v>2024-1</x:v>
      </x:c>
    </x:row>
    <x:row r="1624" ht="21" customHeight="1">
      <x:c r="A1624" s="3" t="str">
        <x:v>2201019</x:v>
      </x:c>
      <x:c r="B1624" s="3" t="str">
        <x:v>SEC015</x:v>
      </x:c>
      <x:c r="C1624" s="3" t="n">
        <x:v>15</x:v>
      </x:c>
      <x:c r="D1624" s="3" t="str">
        <x:v>absent</x:v>
      </x:c>
      <x:c r="E1624" s="5" t="str">
        <x:f>VLOOKUP(B1624,Sections!$A$5:$I$45,3,FALSE)</x:f>
        <x:v>2024-1</x:v>
      </x:c>
    </x:row>
    <x:row r="1625" ht="21" customHeight="1">
      <x:c r="A1625" s="3" t="str">
        <x:v>2201020</x:v>
      </x:c>
      <x:c r="B1625" s="3" t="str">
        <x:v>SEC015</x:v>
      </x:c>
      <x:c r="C1625" s="3" t="n">
        <x:v>1</x:v>
      </x:c>
      <x:c r="D1625" s="3" t="str">
        <x:v>present</x:v>
      </x:c>
      <x:c r="E1625" s="5" t="str">
        <x:f>VLOOKUP(B1625,Sections!$A$5:$I$45,3,FALSE)</x:f>
        <x:v>2024-1</x:v>
      </x:c>
    </x:row>
    <x:row r="1626" ht="21" customHeight="1">
      <x:c r="A1626" s="3" t="str">
        <x:v>2201020</x:v>
      </x:c>
      <x:c r="B1626" s="3" t="str">
        <x:v>SEC015</x:v>
      </x:c>
      <x:c r="C1626" s="3" t="n">
        <x:v>2</x:v>
      </x:c>
      <x:c r="D1626" s="3" t="str">
        <x:v>present</x:v>
      </x:c>
      <x:c r="E1626" s="5" t="str">
        <x:f>VLOOKUP(B1626,Sections!$A$5:$I$45,3,FALSE)</x:f>
        <x:v>2024-1</x:v>
      </x:c>
    </x:row>
    <x:row r="1627" ht="21" customHeight="1">
      <x:c r="A1627" s="3" t="str">
        <x:v>2201020</x:v>
      </x:c>
      <x:c r="B1627" s="3" t="str">
        <x:v>SEC015</x:v>
      </x:c>
      <x:c r="C1627" s="3" t="n">
        <x:v>3</x:v>
      </x:c>
      <x:c r="D1627" s="3" t="str">
        <x:v>present</x:v>
      </x:c>
      <x:c r="E1627" s="5" t="str">
        <x:f>VLOOKUP(B1627,Sections!$A$5:$I$45,3,FALSE)</x:f>
        <x:v>2024-1</x:v>
      </x:c>
    </x:row>
    <x:row r="1628" ht="21" customHeight="1">
      <x:c r="A1628" s="3" t="str">
        <x:v>2201020</x:v>
      </x:c>
      <x:c r="B1628" s="3" t="str">
        <x:v>SEC015</x:v>
      </x:c>
      <x:c r="C1628" s="3" t="n">
        <x:v>4</x:v>
      </x:c>
      <x:c r="D1628" s="3" t="str">
        <x:v>present</x:v>
      </x:c>
      <x:c r="E1628" s="5" t="str">
        <x:f>VLOOKUP(B1628,Sections!$A$5:$I$45,3,FALSE)</x:f>
        <x:v>2024-1</x:v>
      </x:c>
    </x:row>
    <x:row r="1629" ht="21" customHeight="1">
      <x:c r="A1629" s="3" t="str">
        <x:v>2201020</x:v>
      </x:c>
      <x:c r="B1629" s="3" t="str">
        <x:v>SEC015</x:v>
      </x:c>
      <x:c r="C1629" s="3" t="n">
        <x:v>5</x:v>
      </x:c>
      <x:c r="D1629" s="3" t="str">
        <x:v>excused</x:v>
      </x:c>
      <x:c r="E1629" s="5" t="str">
        <x:f>VLOOKUP(B1629,Sections!$A$5:$I$45,3,FALSE)</x:f>
        <x:v>2024-1</x:v>
      </x:c>
    </x:row>
    <x:row r="1630" ht="21" customHeight="1">
      <x:c r="A1630" s="3" t="str">
        <x:v>2201020</x:v>
      </x:c>
      <x:c r="B1630" s="3" t="str">
        <x:v>SEC015</x:v>
      </x:c>
      <x:c r="C1630" s="3" t="n">
        <x:v>6</x:v>
      </x:c>
      <x:c r="D1630" s="3" t="str">
        <x:v>present</x:v>
      </x:c>
      <x:c r="E1630" s="5" t="str">
        <x:f>VLOOKUP(B1630,Sections!$A$5:$I$45,3,FALSE)</x:f>
        <x:v>2024-1</x:v>
      </x:c>
    </x:row>
    <x:row r="1631" ht="21" customHeight="1">
      <x:c r="A1631" s="3" t="str">
        <x:v>2201020</x:v>
      </x:c>
      <x:c r="B1631" s="3" t="str">
        <x:v>SEC015</x:v>
      </x:c>
      <x:c r="C1631" s="3" t="n">
        <x:v>7</x:v>
      </x:c>
      <x:c r="D1631" s="3" t="str">
        <x:v>absent</x:v>
      </x:c>
      <x:c r="E1631" s="5" t="str">
        <x:f>VLOOKUP(B1631,Sections!$A$5:$I$45,3,FALSE)</x:f>
        <x:v>2024-1</x:v>
      </x:c>
    </x:row>
    <x:row r="1632" ht="21" customHeight="1">
      <x:c r="A1632" s="3" t="str">
        <x:v>2201020</x:v>
      </x:c>
      <x:c r="B1632" s="3" t="str">
        <x:v>SEC015</x:v>
      </x:c>
      <x:c r="C1632" s="3" t="n">
        <x:v>8</x:v>
      </x:c>
      <x:c r="D1632" s="3" t="str">
        <x:v>present</x:v>
      </x:c>
      <x:c r="E1632" s="5" t="str">
        <x:f>VLOOKUP(B1632,Sections!$A$5:$I$45,3,FALSE)</x:f>
        <x:v>2024-1</x:v>
      </x:c>
    </x:row>
    <x:row r="1633" ht="21" customHeight="1">
      <x:c r="A1633" s="3" t="str">
        <x:v>2201020</x:v>
      </x:c>
      <x:c r="B1633" s="3" t="str">
        <x:v>SEC015</x:v>
      </x:c>
      <x:c r="C1633" s="3" t="n">
        <x:v>9</x:v>
      </x:c>
      <x:c r="D1633" s="3" t="str">
        <x:v>present</x:v>
      </x:c>
      <x:c r="E1633" s="5" t="str">
        <x:f>VLOOKUP(B1633,Sections!$A$5:$I$45,3,FALSE)</x:f>
        <x:v>2024-1</x:v>
      </x:c>
    </x:row>
    <x:row r="1634" ht="21" customHeight="1">
      <x:c r="A1634" s="3" t="str">
        <x:v>2201020</x:v>
      </x:c>
      <x:c r="B1634" s="3" t="str">
        <x:v>SEC015</x:v>
      </x:c>
      <x:c r="C1634" s="3" t="n">
        <x:v>10</x:v>
      </x:c>
      <x:c r="D1634" s="3" t="str">
        <x:v>present</x:v>
      </x:c>
      <x:c r="E1634" s="5" t="str">
        <x:f>VLOOKUP(B1634,Sections!$A$5:$I$45,3,FALSE)</x:f>
        <x:v>2024-1</x:v>
      </x:c>
    </x:row>
    <x:row r="1635" ht="21" customHeight="1">
      <x:c r="A1635" s="3" t="str">
        <x:v>2201020</x:v>
      </x:c>
      <x:c r="B1635" s="3" t="str">
        <x:v>SEC015</x:v>
      </x:c>
      <x:c r="C1635" s="3" t="n">
        <x:v>11</x:v>
      </x:c>
      <x:c r="D1635" s="3" t="str">
        <x:v>absent</x:v>
      </x:c>
      <x:c r="E1635" s="5" t="str">
        <x:f>VLOOKUP(B1635,Sections!$A$5:$I$45,3,FALSE)</x:f>
        <x:v>2024-1</x:v>
      </x:c>
    </x:row>
    <x:row r="1636" ht="21" customHeight="1">
      <x:c r="A1636" s="3" t="str">
        <x:v>2201020</x:v>
      </x:c>
      <x:c r="B1636" s="3" t="str">
        <x:v>SEC015</x:v>
      </x:c>
      <x:c r="C1636" s="3" t="n">
        <x:v>12</x:v>
      </x:c>
      <x:c r="D1636" s="3" t="str">
        <x:v>present</x:v>
      </x:c>
      <x:c r="E1636" s="5" t="str">
        <x:f>VLOOKUP(B1636,Sections!$A$5:$I$45,3,FALSE)</x:f>
        <x:v>2024-1</x:v>
      </x:c>
    </x:row>
    <x:row r="1637" ht="21" customHeight="1">
      <x:c r="A1637" s="3" t="str">
        <x:v>2201020</x:v>
      </x:c>
      <x:c r="B1637" s="3" t="str">
        <x:v>SEC015</x:v>
      </x:c>
      <x:c r="C1637" s="3" t="n">
        <x:v>13</x:v>
      </x:c>
      <x:c r="D1637" s="3" t="str">
        <x:v>absent</x:v>
      </x:c>
      <x:c r="E1637" s="5" t="str">
        <x:f>VLOOKUP(B1637,Sections!$A$5:$I$45,3,FALSE)</x:f>
        <x:v>2024-1</x:v>
      </x:c>
    </x:row>
    <x:row r="1638" ht="21" customHeight="1">
      <x:c r="A1638" s="3" t="str">
        <x:v>2201020</x:v>
      </x:c>
      <x:c r="B1638" s="3" t="str">
        <x:v>SEC015</x:v>
      </x:c>
      <x:c r="C1638" s="3" t="n">
        <x:v>14</x:v>
      </x:c>
      <x:c r="D1638" s="3" t="str">
        <x:v>present</x:v>
      </x:c>
      <x:c r="E1638" s="5" t="str">
        <x:f>VLOOKUP(B1638,Sections!$A$5:$I$45,3,FALSE)</x:f>
        <x:v>2024-1</x:v>
      </x:c>
    </x:row>
    <x:row r="1639" ht="21" customHeight="1">
      <x:c r="A1639" s="3" t="str">
        <x:v>2201020</x:v>
      </x:c>
      <x:c r="B1639" s="3" t="str">
        <x:v>SEC015</x:v>
      </x:c>
      <x:c r="C1639" s="3" t="n">
        <x:v>15</x:v>
      </x:c>
      <x:c r="D1639" s="3" t="str">
        <x:v>present</x:v>
      </x:c>
      <x:c r="E1639" s="5" t="str">
        <x:f>VLOOKUP(B1639,Sections!$A$5:$I$45,3,FALSE)</x:f>
        <x:v>2024-1</x:v>
      </x:c>
    </x:row>
    <x:row r="1640" ht="21" customHeight="1">
      <x:c r="A1640" s="3" t="str">
        <x:v>2201005</x:v>
      </x:c>
      <x:c r="B1640" s="3" t="str">
        <x:v>SEC016</x:v>
      </x:c>
      <x:c r="C1640" s="3" t="n">
        <x:v>1</x:v>
      </x:c>
      <x:c r="D1640" s="3" t="str">
        <x:v>absent</x:v>
      </x:c>
      <x:c r="E1640" s="5" t="str">
        <x:f>VLOOKUP(B1640,Sections!$A$5:$I$45,3,FALSE)</x:f>
        <x:v>2025-1</x:v>
      </x:c>
    </x:row>
    <x:row r="1641" ht="21" customHeight="1">
      <x:c r="A1641" s="3" t="str">
        <x:v>2201005</x:v>
      </x:c>
      <x:c r="B1641" s="3" t="str">
        <x:v>SEC016</x:v>
      </x:c>
      <x:c r="C1641" s="3" t="n">
        <x:v>2</x:v>
      </x:c>
      <x:c r="D1641" s="3" t="str">
        <x:v>excused</x:v>
      </x:c>
      <x:c r="E1641" s="5" t="str">
        <x:f>VLOOKUP(B1641,Sections!$A$5:$I$45,3,FALSE)</x:f>
        <x:v>2025-1</x:v>
      </x:c>
    </x:row>
    <x:row r="1642" ht="21" customHeight="1">
      <x:c r="A1642" s="3" t="str">
        <x:v>2201005</x:v>
      </x:c>
      <x:c r="B1642" s="3" t="str">
        <x:v>SEC016</x:v>
      </x:c>
      <x:c r="C1642" s="3" t="n">
        <x:v>3</x:v>
      </x:c>
      <x:c r="D1642" s="3" t="str">
        <x:v>present</x:v>
      </x:c>
      <x:c r="E1642" s="5" t="str">
        <x:f>VLOOKUP(B1642,Sections!$A$5:$I$45,3,FALSE)</x:f>
        <x:v>2025-1</x:v>
      </x:c>
    </x:row>
    <x:row r="1643" ht="21" customHeight="1">
      <x:c r="A1643" s="3" t="str">
        <x:v>2201005</x:v>
      </x:c>
      <x:c r="B1643" s="3" t="str">
        <x:v>SEC016</x:v>
      </x:c>
      <x:c r="C1643" s="3" t="n">
        <x:v>4</x:v>
      </x:c>
      <x:c r="D1643" s="3" t="str">
        <x:v>excused</x:v>
      </x:c>
      <x:c r="E1643" s="5" t="str">
        <x:f>VLOOKUP(B1643,Sections!$A$5:$I$45,3,FALSE)</x:f>
        <x:v>2025-1</x:v>
      </x:c>
    </x:row>
    <x:row r="1644" ht="21" customHeight="1">
      <x:c r="A1644" s="3" t="str">
        <x:v>2201005</x:v>
      </x:c>
      <x:c r="B1644" s="3" t="str">
        <x:v>SEC016</x:v>
      </x:c>
      <x:c r="C1644" s="3" t="n">
        <x:v>5</x:v>
      </x:c>
      <x:c r="D1644" s="3" t="str">
        <x:v>late</x:v>
      </x:c>
      <x:c r="E1644" s="5" t="str">
        <x:f>VLOOKUP(B1644,Sections!$A$5:$I$45,3,FALSE)</x:f>
        <x:v>2025-1</x:v>
      </x:c>
    </x:row>
    <x:row r="1645" ht="21" customHeight="1">
      <x:c r="A1645" s="3" t="str">
        <x:v>2201005</x:v>
      </x:c>
      <x:c r="B1645" s="3" t="str">
        <x:v>SEC016</x:v>
      </x:c>
      <x:c r="C1645" s="3" t="n">
        <x:v>6</x:v>
      </x:c>
      <x:c r="D1645" s="3" t="str">
        <x:v>excused</x:v>
      </x:c>
      <x:c r="E1645" s="5" t="str">
        <x:f>VLOOKUP(B1645,Sections!$A$5:$I$45,3,FALSE)</x:f>
        <x:v>2025-1</x:v>
      </x:c>
    </x:row>
    <x:row r="1646" ht="21" customHeight="1">
      <x:c r="A1646" s="3" t="str">
        <x:v>2201005</x:v>
      </x:c>
      <x:c r="B1646" s="3" t="str">
        <x:v>SEC016</x:v>
      </x:c>
      <x:c r="C1646" s="3" t="n">
        <x:v>7</x:v>
      </x:c>
      <x:c r="D1646" s="3" t="str">
        <x:v>present</x:v>
      </x:c>
      <x:c r="E1646" s="5" t="str">
        <x:f>VLOOKUP(B1646,Sections!$A$5:$I$45,3,FALSE)</x:f>
        <x:v>2025-1</x:v>
      </x:c>
    </x:row>
    <x:row r="1647" ht="21" customHeight="1">
      <x:c r="A1647" s="3" t="str">
        <x:v>2201005</x:v>
      </x:c>
      <x:c r="B1647" s="3" t="str">
        <x:v>SEC016</x:v>
      </x:c>
      <x:c r="C1647" s="3" t="n">
        <x:v>8</x:v>
      </x:c>
      <x:c r="D1647" s="3" t="str">
        <x:v>late</x:v>
      </x:c>
      <x:c r="E1647" s="5" t="str">
        <x:f>VLOOKUP(B1647,Sections!$A$5:$I$45,3,FALSE)</x:f>
        <x:v>2025-1</x:v>
      </x:c>
    </x:row>
    <x:row r="1648" ht="21" customHeight="1">
      <x:c r="A1648" s="3" t="str">
        <x:v>2201005</x:v>
      </x:c>
      <x:c r="B1648" s="3" t="str">
        <x:v>SEC016</x:v>
      </x:c>
      <x:c r="C1648" s="3" t="n">
        <x:v>9</x:v>
      </x:c>
      <x:c r="D1648" s="3" t="str">
        <x:v>present</x:v>
      </x:c>
      <x:c r="E1648" s="5" t="str">
        <x:f>VLOOKUP(B1648,Sections!$A$5:$I$45,3,FALSE)</x:f>
        <x:v>2025-1</x:v>
      </x:c>
    </x:row>
    <x:row r="1649" ht="21" customHeight="1">
      <x:c r="A1649" s="3" t="str">
        <x:v>2201005</x:v>
      </x:c>
      <x:c r="B1649" s="3" t="str">
        <x:v>SEC016</x:v>
      </x:c>
      <x:c r="C1649" s="3" t="n">
        <x:v>10</x:v>
      </x:c>
      <x:c r="D1649" s="3" t="str">
        <x:v>present</x:v>
      </x:c>
      <x:c r="E1649" s="5" t="str">
        <x:f>VLOOKUP(B1649,Sections!$A$5:$I$45,3,FALSE)</x:f>
        <x:v>2025-1</x:v>
      </x:c>
    </x:row>
    <x:row r="1650" ht="21" customHeight="1">
      <x:c r="A1650" s="3" t="str">
        <x:v>2201005</x:v>
      </x:c>
      <x:c r="B1650" s="3" t="str">
        <x:v>SEC016</x:v>
      </x:c>
      <x:c r="C1650" s="3" t="n">
        <x:v>11</x:v>
      </x:c>
      <x:c r="D1650" s="3" t="str">
        <x:v>present</x:v>
      </x:c>
      <x:c r="E1650" s="5" t="str">
        <x:f>VLOOKUP(B1650,Sections!$A$5:$I$45,3,FALSE)</x:f>
        <x:v>2025-1</x:v>
      </x:c>
    </x:row>
    <x:row r="1651" ht="21" customHeight="1">
      <x:c r="A1651" s="3" t="str">
        <x:v>2201005</x:v>
      </x:c>
      <x:c r="B1651" s="3" t="str">
        <x:v>SEC016</x:v>
      </x:c>
      <x:c r="C1651" s="3" t="n">
        <x:v>12</x:v>
      </x:c>
      <x:c r="D1651" s="3" t="str">
        <x:v>present</x:v>
      </x:c>
      <x:c r="E1651" s="5" t="str">
        <x:f>VLOOKUP(B1651,Sections!$A$5:$I$45,3,FALSE)</x:f>
        <x:v>2025-1</x:v>
      </x:c>
    </x:row>
    <x:row r="1652" ht="21" customHeight="1">
      <x:c r="A1652" s="3" t="str">
        <x:v>2201005</x:v>
      </x:c>
      <x:c r="B1652" s="3" t="str">
        <x:v>SEC016</x:v>
      </x:c>
      <x:c r="C1652" s="3" t="n">
        <x:v>13</x:v>
      </x:c>
      <x:c r="D1652" s="3" t="str">
        <x:v>late</x:v>
      </x:c>
      <x:c r="E1652" s="5" t="str">
        <x:f>VLOOKUP(B1652,Sections!$A$5:$I$45,3,FALSE)</x:f>
        <x:v>2025-1</x:v>
      </x:c>
    </x:row>
    <x:row r="1653" ht="21" customHeight="1">
      <x:c r="A1653" s="3" t="str">
        <x:v>2201005</x:v>
      </x:c>
      <x:c r="B1653" s="3" t="str">
        <x:v>SEC016</x:v>
      </x:c>
      <x:c r="C1653" s="3" t="n">
        <x:v>14</x:v>
      </x:c>
      <x:c r="D1653" s="3" t="str">
        <x:v>present</x:v>
      </x:c>
      <x:c r="E1653" s="5" t="str">
        <x:f>VLOOKUP(B1653,Sections!$A$5:$I$45,3,FALSE)</x:f>
        <x:v>2025-1</x:v>
      </x:c>
    </x:row>
    <x:row r="1654" ht="21" customHeight="1">
      <x:c r="A1654" s="3" t="str">
        <x:v>2201005</x:v>
      </x:c>
      <x:c r="B1654" s="3" t="str">
        <x:v>SEC016</x:v>
      </x:c>
      <x:c r="C1654" s="3" t="n">
        <x:v>15</x:v>
      </x:c>
      <x:c r="D1654" s="3" t="str">
        <x:v>present</x:v>
      </x:c>
      <x:c r="E1654" s="5" t="str">
        <x:f>VLOOKUP(B1654,Sections!$A$5:$I$45,3,FALSE)</x:f>
        <x:v>2025-1</x:v>
      </x:c>
    </x:row>
    <x:row r="1655" ht="21" customHeight="1">
      <x:c r="A1655" s="3" t="str">
        <x:v>2201001</x:v>
      </x:c>
      <x:c r="B1655" s="3" t="str">
        <x:v>SEC017</x:v>
      </x:c>
      <x:c r="C1655" s="3" t="n">
        <x:v>1</x:v>
      </x:c>
      <x:c r="D1655" s="3" t="str">
        <x:v>absent</x:v>
      </x:c>
      <x:c r="E1655" s="5" t="str">
        <x:f>VLOOKUP(B1655,Sections!$A$5:$I$45,3,FALSE)</x:f>
        <x:v>2024-2</x:v>
      </x:c>
    </x:row>
    <x:row r="1656" ht="21" customHeight="1">
      <x:c r="A1656" s="3" t="str">
        <x:v>2201001</x:v>
      </x:c>
      <x:c r="B1656" s="3" t="str">
        <x:v>SEC017</x:v>
      </x:c>
      <x:c r="C1656" s="3" t="n">
        <x:v>2</x:v>
      </x:c>
      <x:c r="D1656" s="3" t="str">
        <x:v>present</x:v>
      </x:c>
      <x:c r="E1656" s="5" t="str">
        <x:f>VLOOKUP(B1656,Sections!$A$5:$I$45,3,FALSE)</x:f>
        <x:v>2024-2</x:v>
      </x:c>
    </x:row>
    <x:row r="1657" ht="21" customHeight="1">
      <x:c r="A1657" s="3" t="str">
        <x:v>2201001</x:v>
      </x:c>
      <x:c r="B1657" s="3" t="str">
        <x:v>SEC017</x:v>
      </x:c>
      <x:c r="C1657" s="3" t="n">
        <x:v>3</x:v>
      </x:c>
      <x:c r="D1657" s="3" t="str">
        <x:v>present</x:v>
      </x:c>
      <x:c r="E1657" s="5" t="str">
        <x:f>VLOOKUP(B1657,Sections!$A$5:$I$45,3,FALSE)</x:f>
        <x:v>2024-2</x:v>
      </x:c>
    </x:row>
    <x:row r="1658" ht="21" customHeight="1">
      <x:c r="A1658" s="3" t="str">
        <x:v>2201001</x:v>
      </x:c>
      <x:c r="B1658" s="3" t="str">
        <x:v>SEC017</x:v>
      </x:c>
      <x:c r="C1658" s="3" t="n">
        <x:v>4</x:v>
      </x:c>
      <x:c r="D1658" s="3" t="str">
        <x:v>absent</x:v>
      </x:c>
      <x:c r="E1658" s="5" t="str">
        <x:f>VLOOKUP(B1658,Sections!$A$5:$I$45,3,FALSE)</x:f>
        <x:v>2024-2</x:v>
      </x:c>
    </x:row>
    <x:row r="1659" ht="21" customHeight="1">
      <x:c r="A1659" s="3" t="str">
        <x:v>2201001</x:v>
      </x:c>
      <x:c r="B1659" s="3" t="str">
        <x:v>SEC017</x:v>
      </x:c>
      <x:c r="C1659" s="3" t="n">
        <x:v>5</x:v>
      </x:c>
      <x:c r="D1659" s="3" t="str">
        <x:v>present</x:v>
      </x:c>
      <x:c r="E1659" s="5" t="str">
        <x:f>VLOOKUP(B1659,Sections!$A$5:$I$45,3,FALSE)</x:f>
        <x:v>2024-2</x:v>
      </x:c>
    </x:row>
    <x:row r="1660" ht="21" customHeight="1">
      <x:c r="A1660" s="3" t="str">
        <x:v>2201001</x:v>
      </x:c>
      <x:c r="B1660" s="3" t="str">
        <x:v>SEC017</x:v>
      </x:c>
      <x:c r="C1660" s="3" t="n">
        <x:v>6</x:v>
      </x:c>
      <x:c r="D1660" s="3" t="str">
        <x:v>excused</x:v>
      </x:c>
      <x:c r="E1660" s="5" t="str">
        <x:f>VLOOKUP(B1660,Sections!$A$5:$I$45,3,FALSE)</x:f>
        <x:v>2024-2</x:v>
      </x:c>
    </x:row>
    <x:row r="1661" ht="21" customHeight="1">
      <x:c r="A1661" s="3" t="str">
        <x:v>2201001</x:v>
      </x:c>
      <x:c r="B1661" s="3" t="str">
        <x:v>SEC017</x:v>
      </x:c>
      <x:c r="C1661" s="3" t="n">
        <x:v>7</x:v>
      </x:c>
      <x:c r="D1661" s="3" t="str">
        <x:v>present</x:v>
      </x:c>
      <x:c r="E1661" s="5" t="str">
        <x:f>VLOOKUP(B1661,Sections!$A$5:$I$45,3,FALSE)</x:f>
        <x:v>2024-2</x:v>
      </x:c>
    </x:row>
    <x:row r="1662" ht="21" customHeight="1">
      <x:c r="A1662" s="3" t="str">
        <x:v>2201001</x:v>
      </x:c>
      <x:c r="B1662" s="3" t="str">
        <x:v>SEC017</x:v>
      </x:c>
      <x:c r="C1662" s="3" t="n">
        <x:v>8</x:v>
      </x:c>
      <x:c r="D1662" s="3" t="str">
        <x:v>present</x:v>
      </x:c>
      <x:c r="E1662" s="5" t="str">
        <x:f>VLOOKUP(B1662,Sections!$A$5:$I$45,3,FALSE)</x:f>
        <x:v>2024-2</x:v>
      </x:c>
    </x:row>
    <x:row r="1663" ht="21" customHeight="1">
      <x:c r="A1663" s="3" t="str">
        <x:v>2201001</x:v>
      </x:c>
      <x:c r="B1663" s="3" t="str">
        <x:v>SEC017</x:v>
      </x:c>
      <x:c r="C1663" s="3" t="n">
        <x:v>9</x:v>
      </x:c>
      <x:c r="D1663" s="3" t="str">
        <x:v>present</x:v>
      </x:c>
      <x:c r="E1663" s="5" t="str">
        <x:f>VLOOKUP(B1663,Sections!$A$5:$I$45,3,FALSE)</x:f>
        <x:v>2024-2</x:v>
      </x:c>
    </x:row>
    <x:row r="1664" ht="21" customHeight="1">
      <x:c r="A1664" s="3" t="str">
        <x:v>2201001</x:v>
      </x:c>
      <x:c r="B1664" s="3" t="str">
        <x:v>SEC017</x:v>
      </x:c>
      <x:c r="C1664" s="3" t="n">
        <x:v>10</x:v>
      </x:c>
      <x:c r="D1664" s="3" t="str">
        <x:v>present</x:v>
      </x:c>
      <x:c r="E1664" s="5" t="str">
        <x:f>VLOOKUP(B1664,Sections!$A$5:$I$45,3,FALSE)</x:f>
        <x:v>2024-2</x:v>
      </x:c>
    </x:row>
    <x:row r="1665" ht="21" customHeight="1">
      <x:c r="A1665" s="3" t="str">
        <x:v>2201001</x:v>
      </x:c>
      <x:c r="B1665" s="3" t="str">
        <x:v>SEC017</x:v>
      </x:c>
      <x:c r="C1665" s="3" t="n">
        <x:v>11</x:v>
      </x:c>
      <x:c r="D1665" s="3" t="str">
        <x:v>present</x:v>
      </x:c>
      <x:c r="E1665" s="5" t="str">
        <x:f>VLOOKUP(B1665,Sections!$A$5:$I$45,3,FALSE)</x:f>
        <x:v>2024-2</x:v>
      </x:c>
    </x:row>
    <x:row r="1666" ht="21" customHeight="1">
      <x:c r="A1666" s="3" t="str">
        <x:v>2201001</x:v>
      </x:c>
      <x:c r="B1666" s="3" t="str">
        <x:v>SEC017</x:v>
      </x:c>
      <x:c r="C1666" s="3" t="n">
        <x:v>12</x:v>
      </x:c>
      <x:c r="D1666" s="3" t="str">
        <x:v>present</x:v>
      </x:c>
      <x:c r="E1666" s="5" t="str">
        <x:f>VLOOKUP(B1666,Sections!$A$5:$I$45,3,FALSE)</x:f>
        <x:v>2024-2</x:v>
      </x:c>
    </x:row>
    <x:row r="1667" ht="21" customHeight="1">
      <x:c r="A1667" s="3" t="str">
        <x:v>2201001</x:v>
      </x:c>
      <x:c r="B1667" s="3" t="str">
        <x:v>SEC017</x:v>
      </x:c>
      <x:c r="C1667" s="3" t="n">
        <x:v>13</x:v>
      </x:c>
      <x:c r="D1667" s="3" t="str">
        <x:v>present</x:v>
      </x:c>
      <x:c r="E1667" s="5" t="str">
        <x:f>VLOOKUP(B1667,Sections!$A$5:$I$45,3,FALSE)</x:f>
        <x:v>2024-2</x:v>
      </x:c>
    </x:row>
    <x:row r="1668" ht="21" customHeight="1">
      <x:c r="A1668" s="3" t="str">
        <x:v>2201001</x:v>
      </x:c>
      <x:c r="B1668" s="3" t="str">
        <x:v>SEC017</x:v>
      </x:c>
      <x:c r="C1668" s="3" t="n">
        <x:v>14</x:v>
      </x:c>
      <x:c r="D1668" s="3" t="str">
        <x:v>present</x:v>
      </x:c>
      <x:c r="E1668" s="5" t="str">
        <x:f>VLOOKUP(B1668,Sections!$A$5:$I$45,3,FALSE)</x:f>
        <x:v>2024-2</x:v>
      </x:c>
    </x:row>
    <x:row r="1669" ht="21" customHeight="1">
      <x:c r="A1669" s="3" t="str">
        <x:v>2201001</x:v>
      </x:c>
      <x:c r="B1669" s="3" t="str">
        <x:v>SEC017</x:v>
      </x:c>
      <x:c r="C1669" s="3" t="n">
        <x:v>15</x:v>
      </x:c>
      <x:c r="D1669" s="3" t="str">
        <x:v>present</x:v>
      </x:c>
      <x:c r="E1669" s="5" t="str">
        <x:f>VLOOKUP(B1669,Sections!$A$5:$I$45,3,FALSE)</x:f>
        <x:v>2024-2</x:v>
      </x:c>
    </x:row>
    <x:row r="1670" ht="21" customHeight="1">
      <x:c r="A1670" s="3" t="str">
        <x:v>2201002</x:v>
      </x:c>
      <x:c r="B1670" s="3" t="str">
        <x:v>SEC017</x:v>
      </x:c>
      <x:c r="C1670" s="3" t="n">
        <x:v>1</x:v>
      </x:c>
      <x:c r="D1670" s="3" t="str">
        <x:v>present</x:v>
      </x:c>
      <x:c r="E1670" s="5" t="str">
        <x:f>VLOOKUP(B1670,Sections!$A$5:$I$45,3,FALSE)</x:f>
        <x:v>2024-2</x:v>
      </x:c>
    </x:row>
    <x:row r="1671" ht="21" customHeight="1">
      <x:c r="A1671" s="3" t="str">
        <x:v>2201002</x:v>
      </x:c>
      <x:c r="B1671" s="3" t="str">
        <x:v>SEC017</x:v>
      </x:c>
      <x:c r="C1671" s="3" t="n">
        <x:v>2</x:v>
      </x:c>
      <x:c r="D1671" s="3" t="str">
        <x:v>present</x:v>
      </x:c>
      <x:c r="E1671" s="5" t="str">
        <x:f>VLOOKUP(B1671,Sections!$A$5:$I$45,3,FALSE)</x:f>
        <x:v>2024-2</x:v>
      </x:c>
    </x:row>
    <x:row r="1672" ht="21" customHeight="1">
      <x:c r="A1672" s="3" t="str">
        <x:v>2201002</x:v>
      </x:c>
      <x:c r="B1672" s="3" t="str">
        <x:v>SEC017</x:v>
      </x:c>
      <x:c r="C1672" s="3" t="n">
        <x:v>3</x:v>
      </x:c>
      <x:c r="D1672" s="3" t="str">
        <x:v>present</x:v>
      </x:c>
      <x:c r="E1672" s="5" t="str">
        <x:f>VLOOKUP(B1672,Sections!$A$5:$I$45,3,FALSE)</x:f>
        <x:v>2024-2</x:v>
      </x:c>
    </x:row>
    <x:row r="1673" ht="21" customHeight="1">
      <x:c r="A1673" s="3" t="str">
        <x:v>2201002</x:v>
      </x:c>
      <x:c r="B1673" s="3" t="str">
        <x:v>SEC017</x:v>
      </x:c>
      <x:c r="C1673" s="3" t="n">
        <x:v>4</x:v>
      </x:c>
      <x:c r="D1673" s="3" t="str">
        <x:v>present</x:v>
      </x:c>
      <x:c r="E1673" s="5" t="str">
        <x:f>VLOOKUP(B1673,Sections!$A$5:$I$45,3,FALSE)</x:f>
        <x:v>2024-2</x:v>
      </x:c>
    </x:row>
    <x:row r="1674" ht="21" customHeight="1">
      <x:c r="A1674" s="3" t="str">
        <x:v>2201002</x:v>
      </x:c>
      <x:c r="B1674" s="3" t="str">
        <x:v>SEC017</x:v>
      </x:c>
      <x:c r="C1674" s="3" t="n">
        <x:v>5</x:v>
      </x:c>
      <x:c r="D1674" s="3" t="str">
        <x:v>present</x:v>
      </x:c>
      <x:c r="E1674" s="5" t="str">
        <x:f>VLOOKUP(B1674,Sections!$A$5:$I$45,3,FALSE)</x:f>
        <x:v>2024-2</x:v>
      </x:c>
    </x:row>
    <x:row r="1675" ht="21" customHeight="1">
      <x:c r="A1675" s="3" t="str">
        <x:v>2201002</x:v>
      </x:c>
      <x:c r="B1675" s="3" t="str">
        <x:v>SEC017</x:v>
      </x:c>
      <x:c r="C1675" s="3" t="n">
        <x:v>6</x:v>
      </x:c>
      <x:c r="D1675" s="3" t="str">
        <x:v>present</x:v>
      </x:c>
      <x:c r="E1675" s="5" t="str">
        <x:f>VLOOKUP(B1675,Sections!$A$5:$I$45,3,FALSE)</x:f>
        <x:v>2024-2</x:v>
      </x:c>
    </x:row>
    <x:row r="1676" ht="21" customHeight="1">
      <x:c r="A1676" s="3" t="str">
        <x:v>2201002</x:v>
      </x:c>
      <x:c r="B1676" s="3" t="str">
        <x:v>SEC017</x:v>
      </x:c>
      <x:c r="C1676" s="3" t="n">
        <x:v>7</x:v>
      </x:c>
      <x:c r="D1676" s="3" t="str">
        <x:v>present</x:v>
      </x:c>
      <x:c r="E1676" s="5" t="str">
        <x:f>VLOOKUP(B1676,Sections!$A$5:$I$45,3,FALSE)</x:f>
        <x:v>2024-2</x:v>
      </x:c>
    </x:row>
    <x:row r="1677" ht="21" customHeight="1">
      <x:c r="A1677" s="3" t="str">
        <x:v>2201002</x:v>
      </x:c>
      <x:c r="B1677" s="3" t="str">
        <x:v>SEC017</x:v>
      </x:c>
      <x:c r="C1677" s="3" t="n">
        <x:v>8</x:v>
      </x:c>
      <x:c r="D1677" s="3" t="str">
        <x:v>present</x:v>
      </x:c>
      <x:c r="E1677" s="5" t="str">
        <x:f>VLOOKUP(B1677,Sections!$A$5:$I$45,3,FALSE)</x:f>
        <x:v>2024-2</x:v>
      </x:c>
    </x:row>
    <x:row r="1678" ht="21" customHeight="1">
      <x:c r="A1678" s="3" t="str">
        <x:v>2201002</x:v>
      </x:c>
      <x:c r="B1678" s="3" t="str">
        <x:v>SEC017</x:v>
      </x:c>
      <x:c r="C1678" s="3" t="n">
        <x:v>9</x:v>
      </x:c>
      <x:c r="D1678" s="3" t="str">
        <x:v>present</x:v>
      </x:c>
      <x:c r="E1678" s="5" t="str">
        <x:f>VLOOKUP(B1678,Sections!$A$5:$I$45,3,FALSE)</x:f>
        <x:v>2024-2</x:v>
      </x:c>
    </x:row>
    <x:row r="1679" ht="21" customHeight="1">
      <x:c r="A1679" s="3" t="str">
        <x:v>2201002</x:v>
      </x:c>
      <x:c r="B1679" s="3" t="str">
        <x:v>SEC017</x:v>
      </x:c>
      <x:c r="C1679" s="3" t="n">
        <x:v>10</x:v>
      </x:c>
      <x:c r="D1679" s="3" t="str">
        <x:v>present</x:v>
      </x:c>
      <x:c r="E1679" s="5" t="str">
        <x:f>VLOOKUP(B1679,Sections!$A$5:$I$45,3,FALSE)</x:f>
        <x:v>2024-2</x:v>
      </x:c>
    </x:row>
    <x:row r="1680" ht="21" customHeight="1">
      <x:c r="A1680" s="3" t="str">
        <x:v>2201002</x:v>
      </x:c>
      <x:c r="B1680" s="3" t="str">
        <x:v>SEC017</x:v>
      </x:c>
      <x:c r="C1680" s="3" t="n">
        <x:v>11</x:v>
      </x:c>
      <x:c r="D1680" s="3" t="str">
        <x:v>present</x:v>
      </x:c>
      <x:c r="E1680" s="5" t="str">
        <x:f>VLOOKUP(B1680,Sections!$A$5:$I$45,3,FALSE)</x:f>
        <x:v>2024-2</x:v>
      </x:c>
    </x:row>
    <x:row r="1681" ht="21" customHeight="1">
      <x:c r="A1681" s="3" t="str">
        <x:v>2201002</x:v>
      </x:c>
      <x:c r="B1681" s="3" t="str">
        <x:v>SEC017</x:v>
      </x:c>
      <x:c r="C1681" s="3" t="n">
        <x:v>12</x:v>
      </x:c>
      <x:c r="D1681" s="3" t="str">
        <x:v>present</x:v>
      </x:c>
      <x:c r="E1681" s="5" t="str">
        <x:f>VLOOKUP(B1681,Sections!$A$5:$I$45,3,FALSE)</x:f>
        <x:v>2024-2</x:v>
      </x:c>
    </x:row>
    <x:row r="1682" ht="21" customHeight="1">
      <x:c r="A1682" s="3" t="str">
        <x:v>2201002</x:v>
      </x:c>
      <x:c r="B1682" s="3" t="str">
        <x:v>SEC017</x:v>
      </x:c>
      <x:c r="C1682" s="3" t="n">
        <x:v>13</x:v>
      </x:c>
      <x:c r="D1682" s="3" t="str">
        <x:v>present</x:v>
      </x:c>
      <x:c r="E1682" s="5" t="str">
        <x:f>VLOOKUP(B1682,Sections!$A$5:$I$45,3,FALSE)</x:f>
        <x:v>2024-2</x:v>
      </x:c>
    </x:row>
    <x:row r="1683" ht="21" customHeight="1">
      <x:c r="A1683" s="3" t="str">
        <x:v>2201002</x:v>
      </x:c>
      <x:c r="B1683" s="3" t="str">
        <x:v>SEC017</x:v>
      </x:c>
      <x:c r="C1683" s="3" t="n">
        <x:v>14</x:v>
      </x:c>
      <x:c r="D1683" s="3" t="str">
        <x:v>present</x:v>
      </x:c>
      <x:c r="E1683" s="5" t="str">
        <x:f>VLOOKUP(B1683,Sections!$A$5:$I$45,3,FALSE)</x:f>
        <x:v>2024-2</x:v>
      </x:c>
    </x:row>
    <x:row r="1684" ht="21" customHeight="1">
      <x:c r="A1684" s="3" t="str">
        <x:v>2201002</x:v>
      </x:c>
      <x:c r="B1684" s="3" t="str">
        <x:v>SEC017</x:v>
      </x:c>
      <x:c r="C1684" s="3" t="n">
        <x:v>15</x:v>
      </x:c>
      <x:c r="D1684" s="3" t="str">
        <x:v>present</x:v>
      </x:c>
      <x:c r="E1684" s="5" t="str">
        <x:f>VLOOKUP(B1684,Sections!$A$5:$I$45,3,FALSE)</x:f>
        <x:v>2024-2</x:v>
      </x:c>
    </x:row>
    <x:row r="1685" ht="21" customHeight="1">
      <x:c r="A1685" s="3" t="str">
        <x:v>2201003</x:v>
      </x:c>
      <x:c r="B1685" s="3" t="str">
        <x:v>SEC017</x:v>
      </x:c>
      <x:c r="C1685" s="3" t="n">
        <x:v>1</x:v>
      </x:c>
      <x:c r="D1685" s="3" t="str">
        <x:v>present</x:v>
      </x:c>
      <x:c r="E1685" s="5" t="str">
        <x:f>VLOOKUP(B1685,Sections!$A$5:$I$45,3,FALSE)</x:f>
        <x:v>2024-2</x:v>
      </x:c>
    </x:row>
    <x:row r="1686" ht="21" customHeight="1">
      <x:c r="A1686" s="3" t="str">
        <x:v>2201003</x:v>
      </x:c>
      <x:c r="B1686" s="3" t="str">
        <x:v>SEC017</x:v>
      </x:c>
      <x:c r="C1686" s="3" t="n">
        <x:v>2</x:v>
      </x:c>
      <x:c r="D1686" s="3" t="str">
        <x:v>present</x:v>
      </x:c>
      <x:c r="E1686" s="5" t="str">
        <x:f>VLOOKUP(B1686,Sections!$A$5:$I$45,3,FALSE)</x:f>
        <x:v>2024-2</x:v>
      </x:c>
    </x:row>
    <x:row r="1687" ht="21" customHeight="1">
      <x:c r="A1687" s="3" t="str">
        <x:v>2201003</x:v>
      </x:c>
      <x:c r="B1687" s="3" t="str">
        <x:v>SEC017</x:v>
      </x:c>
      <x:c r="C1687" s="3" t="n">
        <x:v>3</x:v>
      </x:c>
      <x:c r="D1687" s="3" t="str">
        <x:v>present</x:v>
      </x:c>
      <x:c r="E1687" s="5" t="str">
        <x:f>VLOOKUP(B1687,Sections!$A$5:$I$45,3,FALSE)</x:f>
        <x:v>2024-2</x:v>
      </x:c>
    </x:row>
    <x:row r="1688" ht="21" customHeight="1">
      <x:c r="A1688" s="3" t="str">
        <x:v>2201003</x:v>
      </x:c>
      <x:c r="B1688" s="3" t="str">
        <x:v>SEC017</x:v>
      </x:c>
      <x:c r="C1688" s="3" t="n">
        <x:v>4</x:v>
      </x:c>
      <x:c r="D1688" s="3" t="str">
        <x:v>present</x:v>
      </x:c>
      <x:c r="E1688" s="5" t="str">
        <x:f>VLOOKUP(B1688,Sections!$A$5:$I$45,3,FALSE)</x:f>
        <x:v>2024-2</x:v>
      </x:c>
    </x:row>
    <x:row r="1689" ht="21" customHeight="1">
      <x:c r="A1689" s="3" t="str">
        <x:v>2201003</x:v>
      </x:c>
      <x:c r="B1689" s="3" t="str">
        <x:v>SEC017</x:v>
      </x:c>
      <x:c r="C1689" s="3" t="n">
        <x:v>5</x:v>
      </x:c>
      <x:c r="D1689" s="3" t="str">
        <x:v>present</x:v>
      </x:c>
      <x:c r="E1689" s="5" t="str">
        <x:f>VLOOKUP(B1689,Sections!$A$5:$I$45,3,FALSE)</x:f>
        <x:v>2024-2</x:v>
      </x:c>
    </x:row>
    <x:row r="1690" ht="21" customHeight="1">
      <x:c r="A1690" s="3" t="str">
        <x:v>2201003</x:v>
      </x:c>
      <x:c r="B1690" s="3" t="str">
        <x:v>SEC017</x:v>
      </x:c>
      <x:c r="C1690" s="3" t="n">
        <x:v>6</x:v>
      </x:c>
      <x:c r="D1690" s="3" t="str">
        <x:v>present</x:v>
      </x:c>
      <x:c r="E1690" s="5" t="str">
        <x:f>VLOOKUP(B1690,Sections!$A$5:$I$45,3,FALSE)</x:f>
        <x:v>2024-2</x:v>
      </x:c>
    </x:row>
    <x:row r="1691" ht="21" customHeight="1">
      <x:c r="A1691" s="3" t="str">
        <x:v>2201003</x:v>
      </x:c>
      <x:c r="B1691" s="3" t="str">
        <x:v>SEC017</x:v>
      </x:c>
      <x:c r="C1691" s="3" t="n">
        <x:v>7</x:v>
      </x:c>
      <x:c r="D1691" s="3" t="str">
        <x:v>present</x:v>
      </x:c>
      <x:c r="E1691" s="5" t="str">
        <x:f>VLOOKUP(B1691,Sections!$A$5:$I$45,3,FALSE)</x:f>
        <x:v>2024-2</x:v>
      </x:c>
    </x:row>
    <x:row r="1692" ht="21" customHeight="1">
      <x:c r="A1692" s="3" t="str">
        <x:v>2201003</x:v>
      </x:c>
      <x:c r="B1692" s="3" t="str">
        <x:v>SEC017</x:v>
      </x:c>
      <x:c r="C1692" s="3" t="n">
        <x:v>8</x:v>
      </x:c>
      <x:c r="D1692" s="3" t="str">
        <x:v>present</x:v>
      </x:c>
      <x:c r="E1692" s="5" t="str">
        <x:f>VLOOKUP(B1692,Sections!$A$5:$I$45,3,FALSE)</x:f>
        <x:v>2024-2</x:v>
      </x:c>
    </x:row>
    <x:row r="1693" ht="21" customHeight="1">
      <x:c r="A1693" s="3" t="str">
        <x:v>2201003</x:v>
      </x:c>
      <x:c r="B1693" s="3" t="str">
        <x:v>SEC017</x:v>
      </x:c>
      <x:c r="C1693" s="3" t="n">
        <x:v>9</x:v>
      </x:c>
      <x:c r="D1693" s="3" t="str">
        <x:v>present</x:v>
      </x:c>
      <x:c r="E1693" s="5" t="str">
        <x:f>VLOOKUP(B1693,Sections!$A$5:$I$45,3,FALSE)</x:f>
        <x:v>2024-2</x:v>
      </x:c>
    </x:row>
    <x:row r="1694" ht="21" customHeight="1">
      <x:c r="A1694" s="3" t="str">
        <x:v>2201003</x:v>
      </x:c>
      <x:c r="B1694" s="3" t="str">
        <x:v>SEC017</x:v>
      </x:c>
      <x:c r="C1694" s="3" t="n">
        <x:v>10</x:v>
      </x:c>
      <x:c r="D1694" s="3" t="str">
        <x:v>absent</x:v>
      </x:c>
      <x:c r="E1694" s="5" t="str">
        <x:f>VLOOKUP(B1694,Sections!$A$5:$I$45,3,FALSE)</x:f>
        <x:v>2024-2</x:v>
      </x:c>
    </x:row>
    <x:row r="1695" ht="21" customHeight="1">
      <x:c r="A1695" s="3" t="str">
        <x:v>2201003</x:v>
      </x:c>
      <x:c r="B1695" s="3" t="str">
        <x:v>SEC017</x:v>
      </x:c>
      <x:c r="C1695" s="3" t="n">
        <x:v>11</x:v>
      </x:c>
      <x:c r="D1695" s="3" t="str">
        <x:v>present</x:v>
      </x:c>
      <x:c r="E1695" s="5" t="str">
        <x:f>VLOOKUP(B1695,Sections!$A$5:$I$45,3,FALSE)</x:f>
        <x:v>2024-2</x:v>
      </x:c>
    </x:row>
    <x:row r="1696" ht="21" customHeight="1">
      <x:c r="A1696" s="3" t="str">
        <x:v>2201003</x:v>
      </x:c>
      <x:c r="B1696" s="3" t="str">
        <x:v>SEC017</x:v>
      </x:c>
      <x:c r="C1696" s="3" t="n">
        <x:v>12</x:v>
      </x:c>
      <x:c r="D1696" s="3" t="str">
        <x:v>present</x:v>
      </x:c>
      <x:c r="E1696" s="5" t="str">
        <x:f>VLOOKUP(B1696,Sections!$A$5:$I$45,3,FALSE)</x:f>
        <x:v>2024-2</x:v>
      </x:c>
    </x:row>
    <x:row r="1697" ht="21" customHeight="1">
      <x:c r="A1697" s="3" t="str">
        <x:v>2201003</x:v>
      </x:c>
      <x:c r="B1697" s="3" t="str">
        <x:v>SEC017</x:v>
      </x:c>
      <x:c r="C1697" s="3" t="n">
        <x:v>13</x:v>
      </x:c>
      <x:c r="D1697" s="3" t="str">
        <x:v>present</x:v>
      </x:c>
      <x:c r="E1697" s="5" t="str">
        <x:f>VLOOKUP(B1697,Sections!$A$5:$I$45,3,FALSE)</x:f>
        <x:v>2024-2</x:v>
      </x:c>
    </x:row>
    <x:row r="1698" ht="21" customHeight="1">
      <x:c r="A1698" s="3" t="str">
        <x:v>2201003</x:v>
      </x:c>
      <x:c r="B1698" s="3" t="str">
        <x:v>SEC017</x:v>
      </x:c>
      <x:c r="C1698" s="3" t="n">
        <x:v>14</x:v>
      </x:c>
      <x:c r="D1698" s="3" t="str">
        <x:v>excused</x:v>
      </x:c>
      <x:c r="E1698" s="5" t="str">
        <x:f>VLOOKUP(B1698,Sections!$A$5:$I$45,3,FALSE)</x:f>
        <x:v>2024-2</x:v>
      </x:c>
    </x:row>
    <x:row r="1699" ht="21" customHeight="1">
      <x:c r="A1699" s="3" t="str">
        <x:v>2201003</x:v>
      </x:c>
      <x:c r="B1699" s="3" t="str">
        <x:v>SEC017</x:v>
      </x:c>
      <x:c r="C1699" s="3" t="n">
        <x:v>15</x:v>
      </x:c>
      <x:c r="D1699" s="3" t="str">
        <x:v>present</x:v>
      </x:c>
      <x:c r="E1699" s="5" t="str">
        <x:f>VLOOKUP(B1699,Sections!$A$5:$I$45,3,FALSE)</x:f>
        <x:v>2024-2</x:v>
      </x:c>
    </x:row>
    <x:row r="1700" ht="21" customHeight="1">
      <x:c r="A1700" s="3" t="str">
        <x:v>2201004</x:v>
      </x:c>
      <x:c r="B1700" s="3" t="str">
        <x:v>SEC017</x:v>
      </x:c>
      <x:c r="C1700" s="3" t="n">
        <x:v>1</x:v>
      </x:c>
      <x:c r="D1700" s="3" t="str">
        <x:v>excused</x:v>
      </x:c>
      <x:c r="E1700" s="5" t="str">
        <x:f>VLOOKUP(B1700,Sections!$A$5:$I$45,3,FALSE)</x:f>
        <x:v>2024-2</x:v>
      </x:c>
    </x:row>
    <x:row r="1701" ht="21" customHeight="1">
      <x:c r="A1701" s="3" t="str">
        <x:v>2201004</x:v>
      </x:c>
      <x:c r="B1701" s="3" t="str">
        <x:v>SEC017</x:v>
      </x:c>
      <x:c r="C1701" s="3" t="n">
        <x:v>2</x:v>
      </x:c>
      <x:c r="D1701" s="3" t="str">
        <x:v>present</x:v>
      </x:c>
      <x:c r="E1701" s="5" t="str">
        <x:f>VLOOKUP(B1701,Sections!$A$5:$I$45,3,FALSE)</x:f>
        <x:v>2024-2</x:v>
      </x:c>
    </x:row>
    <x:row r="1702" ht="21" customHeight="1">
      <x:c r="A1702" s="3" t="str">
        <x:v>2201004</x:v>
      </x:c>
      <x:c r="B1702" s="3" t="str">
        <x:v>SEC017</x:v>
      </x:c>
      <x:c r="C1702" s="3" t="n">
        <x:v>3</x:v>
      </x:c>
      <x:c r="D1702" s="3" t="str">
        <x:v>present</x:v>
      </x:c>
      <x:c r="E1702" s="5" t="str">
        <x:f>VLOOKUP(B1702,Sections!$A$5:$I$45,3,FALSE)</x:f>
        <x:v>2024-2</x:v>
      </x:c>
    </x:row>
    <x:row r="1703" ht="21" customHeight="1">
      <x:c r="A1703" s="3" t="str">
        <x:v>2201004</x:v>
      </x:c>
      <x:c r="B1703" s="3" t="str">
        <x:v>SEC017</x:v>
      </x:c>
      <x:c r="C1703" s="3" t="n">
        <x:v>4</x:v>
      </x:c>
      <x:c r="D1703" s="3" t="str">
        <x:v>present</x:v>
      </x:c>
      <x:c r="E1703" s="5" t="str">
        <x:f>VLOOKUP(B1703,Sections!$A$5:$I$45,3,FALSE)</x:f>
        <x:v>2024-2</x:v>
      </x:c>
    </x:row>
    <x:row r="1704" ht="21" customHeight="1">
      <x:c r="A1704" s="3" t="str">
        <x:v>2201004</x:v>
      </x:c>
      <x:c r="B1704" s="3" t="str">
        <x:v>SEC017</x:v>
      </x:c>
      <x:c r="C1704" s="3" t="n">
        <x:v>5</x:v>
      </x:c>
      <x:c r="D1704" s="3" t="str">
        <x:v>present</x:v>
      </x:c>
      <x:c r="E1704" s="5" t="str">
        <x:f>VLOOKUP(B1704,Sections!$A$5:$I$45,3,FALSE)</x:f>
        <x:v>2024-2</x:v>
      </x:c>
    </x:row>
    <x:row r="1705" ht="21" customHeight="1">
      <x:c r="A1705" s="3" t="str">
        <x:v>2201004</x:v>
      </x:c>
      <x:c r="B1705" s="3" t="str">
        <x:v>SEC017</x:v>
      </x:c>
      <x:c r="C1705" s="3" t="n">
        <x:v>6</x:v>
      </x:c>
      <x:c r="D1705" s="3" t="str">
        <x:v>present</x:v>
      </x:c>
      <x:c r="E1705" s="5" t="str">
        <x:f>VLOOKUP(B1705,Sections!$A$5:$I$45,3,FALSE)</x:f>
        <x:v>2024-2</x:v>
      </x:c>
    </x:row>
    <x:row r="1706" ht="21" customHeight="1">
      <x:c r="A1706" s="3" t="str">
        <x:v>2201004</x:v>
      </x:c>
      <x:c r="B1706" s="3" t="str">
        <x:v>SEC017</x:v>
      </x:c>
      <x:c r="C1706" s="3" t="n">
        <x:v>7</x:v>
      </x:c>
      <x:c r="D1706" s="3" t="str">
        <x:v>present</x:v>
      </x:c>
      <x:c r="E1706" s="5" t="str">
        <x:f>VLOOKUP(B1706,Sections!$A$5:$I$45,3,FALSE)</x:f>
        <x:v>2024-2</x:v>
      </x:c>
    </x:row>
    <x:row r="1707" ht="21" customHeight="1">
      <x:c r="A1707" s="3" t="str">
        <x:v>2201004</x:v>
      </x:c>
      <x:c r="B1707" s="3" t="str">
        <x:v>SEC017</x:v>
      </x:c>
      <x:c r="C1707" s="3" t="n">
        <x:v>8</x:v>
      </x:c>
      <x:c r="D1707" s="3" t="str">
        <x:v>excused</x:v>
      </x:c>
      <x:c r="E1707" s="5" t="str">
        <x:f>VLOOKUP(B1707,Sections!$A$5:$I$45,3,FALSE)</x:f>
        <x:v>2024-2</x:v>
      </x:c>
    </x:row>
    <x:row r="1708" ht="21" customHeight="1">
      <x:c r="A1708" s="3" t="str">
        <x:v>2201004</x:v>
      </x:c>
      <x:c r="B1708" s="3" t="str">
        <x:v>SEC017</x:v>
      </x:c>
      <x:c r="C1708" s="3" t="n">
        <x:v>9</x:v>
      </x:c>
      <x:c r="D1708" s="3" t="str">
        <x:v>present</x:v>
      </x:c>
      <x:c r="E1708" s="5" t="str">
        <x:f>VLOOKUP(B1708,Sections!$A$5:$I$45,3,FALSE)</x:f>
        <x:v>2024-2</x:v>
      </x:c>
    </x:row>
    <x:row r="1709" ht="21" customHeight="1">
      <x:c r="A1709" s="3" t="str">
        <x:v>2201004</x:v>
      </x:c>
      <x:c r="B1709" s="3" t="str">
        <x:v>SEC017</x:v>
      </x:c>
      <x:c r="C1709" s="3" t="n">
        <x:v>10</x:v>
      </x:c>
      <x:c r="D1709" s="3" t="str">
        <x:v>present</x:v>
      </x:c>
      <x:c r="E1709" s="5" t="str">
        <x:f>VLOOKUP(B1709,Sections!$A$5:$I$45,3,FALSE)</x:f>
        <x:v>2024-2</x:v>
      </x:c>
    </x:row>
    <x:row r="1710" ht="21" customHeight="1">
      <x:c r="A1710" s="3" t="str">
        <x:v>2201004</x:v>
      </x:c>
      <x:c r="B1710" s="3" t="str">
        <x:v>SEC017</x:v>
      </x:c>
      <x:c r="C1710" s="3" t="n">
        <x:v>11</x:v>
      </x:c>
      <x:c r="D1710" s="3" t="str">
        <x:v>present</x:v>
      </x:c>
      <x:c r="E1710" s="5" t="str">
        <x:f>VLOOKUP(B1710,Sections!$A$5:$I$45,3,FALSE)</x:f>
        <x:v>2024-2</x:v>
      </x:c>
    </x:row>
    <x:row r="1711" ht="21" customHeight="1">
      <x:c r="A1711" s="3" t="str">
        <x:v>2201004</x:v>
      </x:c>
      <x:c r="B1711" s="3" t="str">
        <x:v>SEC017</x:v>
      </x:c>
      <x:c r="C1711" s="3" t="n">
        <x:v>12</x:v>
      </x:c>
      <x:c r="D1711" s="3" t="str">
        <x:v>absent</x:v>
      </x:c>
      <x:c r="E1711" s="5" t="str">
        <x:f>VLOOKUP(B1711,Sections!$A$5:$I$45,3,FALSE)</x:f>
        <x:v>2024-2</x:v>
      </x:c>
    </x:row>
    <x:row r="1712" ht="21" customHeight="1">
      <x:c r="A1712" s="3" t="str">
        <x:v>2201004</x:v>
      </x:c>
      <x:c r="B1712" s="3" t="str">
        <x:v>SEC017</x:v>
      </x:c>
      <x:c r="C1712" s="3" t="n">
        <x:v>13</x:v>
      </x:c>
      <x:c r="D1712" s="3" t="str">
        <x:v>present</x:v>
      </x:c>
      <x:c r="E1712" s="5" t="str">
        <x:f>VLOOKUP(B1712,Sections!$A$5:$I$45,3,FALSE)</x:f>
        <x:v>2024-2</x:v>
      </x:c>
    </x:row>
    <x:row r="1713" ht="21" customHeight="1">
      <x:c r="A1713" s="3" t="str">
        <x:v>2201004</x:v>
      </x:c>
      <x:c r="B1713" s="3" t="str">
        <x:v>SEC017</x:v>
      </x:c>
      <x:c r="C1713" s="3" t="n">
        <x:v>14</x:v>
      </x:c>
      <x:c r="D1713" s="3" t="str">
        <x:v>present</x:v>
      </x:c>
      <x:c r="E1713" s="5" t="str">
        <x:f>VLOOKUP(B1713,Sections!$A$5:$I$45,3,FALSE)</x:f>
        <x:v>2024-2</x:v>
      </x:c>
    </x:row>
    <x:row r="1714" ht="21" customHeight="1">
      <x:c r="A1714" s="3" t="str">
        <x:v>2201004</x:v>
      </x:c>
      <x:c r="B1714" s="3" t="str">
        <x:v>SEC017</x:v>
      </x:c>
      <x:c r="C1714" s="3" t="n">
        <x:v>15</x:v>
      </x:c>
      <x:c r="D1714" s="3" t="str">
        <x:v>present</x:v>
      </x:c>
      <x:c r="E1714" s="5" t="str">
        <x:f>VLOOKUP(B1714,Sections!$A$5:$I$45,3,FALSE)</x:f>
        <x:v>2024-2</x:v>
      </x:c>
    </x:row>
    <x:row r="1715" ht="21" customHeight="1">
      <x:c r="A1715" s="3" t="str">
        <x:v>2201005</x:v>
      </x:c>
      <x:c r="B1715" s="3" t="str">
        <x:v>SEC017</x:v>
      </x:c>
      <x:c r="C1715" s="3" t="n">
        <x:v>1</x:v>
      </x:c>
      <x:c r="D1715" s="3" t="str">
        <x:v>absent</x:v>
      </x:c>
      <x:c r="E1715" s="5" t="str">
        <x:f>VLOOKUP(B1715,Sections!$A$5:$I$45,3,FALSE)</x:f>
        <x:v>2024-2</x:v>
      </x:c>
    </x:row>
    <x:row r="1716" ht="21" customHeight="1">
      <x:c r="A1716" s="3" t="str">
        <x:v>2201005</x:v>
      </x:c>
      <x:c r="B1716" s="3" t="str">
        <x:v>SEC017</x:v>
      </x:c>
      <x:c r="C1716" s="3" t="n">
        <x:v>2</x:v>
      </x:c>
      <x:c r="D1716" s="3" t="str">
        <x:v>present</x:v>
      </x:c>
      <x:c r="E1716" s="5" t="str">
        <x:f>VLOOKUP(B1716,Sections!$A$5:$I$45,3,FALSE)</x:f>
        <x:v>2024-2</x:v>
      </x:c>
    </x:row>
    <x:row r="1717" ht="21" customHeight="1">
      <x:c r="A1717" s="3" t="str">
        <x:v>2201005</x:v>
      </x:c>
      <x:c r="B1717" s="3" t="str">
        <x:v>SEC017</x:v>
      </x:c>
      <x:c r="C1717" s="3" t="n">
        <x:v>3</x:v>
      </x:c>
      <x:c r="D1717" s="3" t="str">
        <x:v>present</x:v>
      </x:c>
      <x:c r="E1717" s="5" t="str">
        <x:f>VLOOKUP(B1717,Sections!$A$5:$I$45,3,FALSE)</x:f>
        <x:v>2024-2</x:v>
      </x:c>
    </x:row>
    <x:row r="1718" ht="21" customHeight="1">
      <x:c r="A1718" s="3" t="str">
        <x:v>2201005</x:v>
      </x:c>
      <x:c r="B1718" s="3" t="str">
        <x:v>SEC017</x:v>
      </x:c>
      <x:c r="C1718" s="3" t="n">
        <x:v>4</x:v>
      </x:c>
      <x:c r="D1718" s="3" t="str">
        <x:v>absent</x:v>
      </x:c>
      <x:c r="E1718" s="5" t="str">
        <x:f>VLOOKUP(B1718,Sections!$A$5:$I$45,3,FALSE)</x:f>
        <x:v>2024-2</x:v>
      </x:c>
    </x:row>
    <x:row r="1719" ht="21" customHeight="1">
      <x:c r="A1719" s="3" t="str">
        <x:v>2201005</x:v>
      </x:c>
      <x:c r="B1719" s="3" t="str">
        <x:v>SEC017</x:v>
      </x:c>
      <x:c r="C1719" s="3" t="n">
        <x:v>5</x:v>
      </x:c>
      <x:c r="D1719" s="3" t="str">
        <x:v>present</x:v>
      </x:c>
      <x:c r="E1719" s="5" t="str">
        <x:f>VLOOKUP(B1719,Sections!$A$5:$I$45,3,FALSE)</x:f>
        <x:v>2024-2</x:v>
      </x:c>
    </x:row>
    <x:row r="1720" ht="21" customHeight="1">
      <x:c r="A1720" s="3" t="str">
        <x:v>2201005</x:v>
      </x:c>
      <x:c r="B1720" s="3" t="str">
        <x:v>SEC017</x:v>
      </x:c>
      <x:c r="C1720" s="3" t="n">
        <x:v>6</x:v>
      </x:c>
      <x:c r="D1720" s="3" t="str">
        <x:v>present</x:v>
      </x:c>
      <x:c r="E1720" s="5" t="str">
        <x:f>VLOOKUP(B1720,Sections!$A$5:$I$45,3,FALSE)</x:f>
        <x:v>2024-2</x:v>
      </x:c>
    </x:row>
    <x:row r="1721" ht="21" customHeight="1">
      <x:c r="A1721" s="3" t="str">
        <x:v>2201005</x:v>
      </x:c>
      <x:c r="B1721" s="3" t="str">
        <x:v>SEC017</x:v>
      </x:c>
      <x:c r="C1721" s="3" t="n">
        <x:v>7</x:v>
      </x:c>
      <x:c r="D1721" s="3" t="str">
        <x:v>present</x:v>
      </x:c>
      <x:c r="E1721" s="5" t="str">
        <x:f>VLOOKUP(B1721,Sections!$A$5:$I$45,3,FALSE)</x:f>
        <x:v>2024-2</x:v>
      </x:c>
    </x:row>
    <x:row r="1722" ht="21" customHeight="1">
      <x:c r="A1722" s="3" t="str">
        <x:v>2201005</x:v>
      </x:c>
      <x:c r="B1722" s="3" t="str">
        <x:v>SEC017</x:v>
      </x:c>
      <x:c r="C1722" s="3" t="n">
        <x:v>8</x:v>
      </x:c>
      <x:c r="D1722" s="3" t="str">
        <x:v>present</x:v>
      </x:c>
      <x:c r="E1722" s="5" t="str">
        <x:f>VLOOKUP(B1722,Sections!$A$5:$I$45,3,FALSE)</x:f>
        <x:v>2024-2</x:v>
      </x:c>
    </x:row>
    <x:row r="1723" ht="21" customHeight="1">
      <x:c r="A1723" s="3" t="str">
        <x:v>2201005</x:v>
      </x:c>
      <x:c r="B1723" s="3" t="str">
        <x:v>SEC017</x:v>
      </x:c>
      <x:c r="C1723" s="3" t="n">
        <x:v>9</x:v>
      </x:c>
      <x:c r="D1723" s="3" t="str">
        <x:v>late</x:v>
      </x:c>
      <x:c r="E1723" s="5" t="str">
        <x:f>VLOOKUP(B1723,Sections!$A$5:$I$45,3,FALSE)</x:f>
        <x:v>2024-2</x:v>
      </x:c>
    </x:row>
    <x:row r="1724" ht="21" customHeight="1">
      <x:c r="A1724" s="3" t="str">
        <x:v>2201005</x:v>
      </x:c>
      <x:c r="B1724" s="3" t="str">
        <x:v>SEC017</x:v>
      </x:c>
      <x:c r="C1724" s="3" t="n">
        <x:v>10</x:v>
      </x:c>
      <x:c r="D1724" s="3" t="str">
        <x:v>present</x:v>
      </x:c>
      <x:c r="E1724" s="5" t="str">
        <x:f>VLOOKUP(B1724,Sections!$A$5:$I$45,3,FALSE)</x:f>
        <x:v>2024-2</x:v>
      </x:c>
    </x:row>
    <x:row r="1725" ht="21" customHeight="1">
      <x:c r="A1725" s="3" t="str">
        <x:v>2201005</x:v>
      </x:c>
      <x:c r="B1725" s="3" t="str">
        <x:v>SEC017</x:v>
      </x:c>
      <x:c r="C1725" s="3" t="n">
        <x:v>11</x:v>
      </x:c>
      <x:c r="D1725" s="3" t="str">
        <x:v>present</x:v>
      </x:c>
      <x:c r="E1725" s="5" t="str">
        <x:f>VLOOKUP(B1725,Sections!$A$5:$I$45,3,FALSE)</x:f>
        <x:v>2024-2</x:v>
      </x:c>
    </x:row>
    <x:row r="1726" ht="21" customHeight="1">
      <x:c r="A1726" s="3" t="str">
        <x:v>2201005</x:v>
      </x:c>
      <x:c r="B1726" s="3" t="str">
        <x:v>SEC017</x:v>
      </x:c>
      <x:c r="C1726" s="3" t="n">
        <x:v>12</x:v>
      </x:c>
      <x:c r="D1726" s="3" t="str">
        <x:v>absent</x:v>
      </x:c>
      <x:c r="E1726" s="5" t="str">
        <x:f>VLOOKUP(B1726,Sections!$A$5:$I$45,3,FALSE)</x:f>
        <x:v>2024-2</x:v>
      </x:c>
    </x:row>
    <x:row r="1727" ht="21" customHeight="1">
      <x:c r="A1727" s="3" t="str">
        <x:v>2201005</x:v>
      </x:c>
      <x:c r="B1727" s="3" t="str">
        <x:v>SEC017</x:v>
      </x:c>
      <x:c r="C1727" s="3" t="n">
        <x:v>13</x:v>
      </x:c>
      <x:c r="D1727" s="3" t="str">
        <x:v>absent</x:v>
      </x:c>
      <x:c r="E1727" s="5" t="str">
        <x:f>VLOOKUP(B1727,Sections!$A$5:$I$45,3,FALSE)</x:f>
        <x:v>2024-2</x:v>
      </x:c>
    </x:row>
    <x:row r="1728" ht="21" customHeight="1">
      <x:c r="A1728" s="3" t="str">
        <x:v>2201005</x:v>
      </x:c>
      <x:c r="B1728" s="3" t="str">
        <x:v>SEC017</x:v>
      </x:c>
      <x:c r="C1728" s="3" t="n">
        <x:v>14</x:v>
      </x:c>
      <x:c r="D1728" s="3" t="str">
        <x:v>present</x:v>
      </x:c>
      <x:c r="E1728" s="5" t="str">
        <x:f>VLOOKUP(B1728,Sections!$A$5:$I$45,3,FALSE)</x:f>
        <x:v>2024-2</x:v>
      </x:c>
    </x:row>
    <x:row r="1729" ht="21" customHeight="1">
      <x:c r="A1729" s="3" t="str">
        <x:v>2201005</x:v>
      </x:c>
      <x:c r="B1729" s="3" t="str">
        <x:v>SEC017</x:v>
      </x:c>
      <x:c r="C1729" s="3" t="n">
        <x:v>15</x:v>
      </x:c>
      <x:c r="D1729" s="3" t="str">
        <x:v>absent</x:v>
      </x:c>
      <x:c r="E1729" s="5" t="str">
        <x:f>VLOOKUP(B1729,Sections!$A$5:$I$45,3,FALSE)</x:f>
        <x:v>2024-2</x:v>
      </x:c>
    </x:row>
    <x:row r="1730" ht="21" customHeight="1">
      <x:c r="A1730" s="3" t="str">
        <x:v>2201006</x:v>
      </x:c>
      <x:c r="B1730" s="3" t="str">
        <x:v>SEC017</x:v>
      </x:c>
      <x:c r="C1730" s="3" t="n">
        <x:v>1</x:v>
      </x:c>
      <x:c r="D1730" s="3" t="str">
        <x:v>present</x:v>
      </x:c>
      <x:c r="E1730" s="5" t="str">
        <x:f>VLOOKUP(B1730,Sections!$A$5:$I$45,3,FALSE)</x:f>
        <x:v>2024-2</x:v>
      </x:c>
    </x:row>
    <x:row r="1731" ht="21" customHeight="1">
      <x:c r="A1731" s="3" t="str">
        <x:v>2201006</x:v>
      </x:c>
      <x:c r="B1731" s="3" t="str">
        <x:v>SEC017</x:v>
      </x:c>
      <x:c r="C1731" s="3" t="n">
        <x:v>2</x:v>
      </x:c>
      <x:c r="D1731" s="3" t="str">
        <x:v>present</x:v>
      </x:c>
      <x:c r="E1731" s="5" t="str">
        <x:f>VLOOKUP(B1731,Sections!$A$5:$I$45,3,FALSE)</x:f>
        <x:v>2024-2</x:v>
      </x:c>
    </x:row>
    <x:row r="1732" ht="21" customHeight="1">
      <x:c r="A1732" s="3" t="str">
        <x:v>2201006</x:v>
      </x:c>
      <x:c r="B1732" s="3" t="str">
        <x:v>SEC017</x:v>
      </x:c>
      <x:c r="C1732" s="3" t="n">
        <x:v>3</x:v>
      </x:c>
      <x:c r="D1732" s="3" t="str">
        <x:v>present</x:v>
      </x:c>
      <x:c r="E1732" s="5" t="str">
        <x:f>VLOOKUP(B1732,Sections!$A$5:$I$45,3,FALSE)</x:f>
        <x:v>2024-2</x:v>
      </x:c>
    </x:row>
    <x:row r="1733" ht="21" customHeight="1">
      <x:c r="A1733" s="3" t="str">
        <x:v>2201006</x:v>
      </x:c>
      <x:c r="B1733" s="3" t="str">
        <x:v>SEC017</x:v>
      </x:c>
      <x:c r="C1733" s="3" t="n">
        <x:v>4</x:v>
      </x:c>
      <x:c r="D1733" s="3" t="str">
        <x:v>excused</x:v>
      </x:c>
      <x:c r="E1733" s="5" t="str">
        <x:f>VLOOKUP(B1733,Sections!$A$5:$I$45,3,FALSE)</x:f>
        <x:v>2024-2</x:v>
      </x:c>
    </x:row>
    <x:row r="1734" ht="21" customHeight="1">
      <x:c r="A1734" s="3" t="str">
        <x:v>2201006</x:v>
      </x:c>
      <x:c r="B1734" s="3" t="str">
        <x:v>SEC017</x:v>
      </x:c>
      <x:c r="C1734" s="3" t="n">
        <x:v>5</x:v>
      </x:c>
      <x:c r="D1734" s="3" t="str">
        <x:v>present</x:v>
      </x:c>
      <x:c r="E1734" s="5" t="str">
        <x:f>VLOOKUP(B1734,Sections!$A$5:$I$45,3,FALSE)</x:f>
        <x:v>2024-2</x:v>
      </x:c>
    </x:row>
    <x:row r="1735" ht="21" customHeight="1">
      <x:c r="A1735" s="3" t="str">
        <x:v>2201006</x:v>
      </x:c>
      <x:c r="B1735" s="3" t="str">
        <x:v>SEC017</x:v>
      </x:c>
      <x:c r="C1735" s="3" t="n">
        <x:v>6</x:v>
      </x:c>
      <x:c r="D1735" s="3" t="str">
        <x:v>present</x:v>
      </x:c>
      <x:c r="E1735" s="5" t="str">
        <x:f>VLOOKUP(B1735,Sections!$A$5:$I$45,3,FALSE)</x:f>
        <x:v>2024-2</x:v>
      </x:c>
    </x:row>
    <x:row r="1736" ht="21" customHeight="1">
      <x:c r="A1736" s="3" t="str">
        <x:v>2201006</x:v>
      </x:c>
      <x:c r="B1736" s="3" t="str">
        <x:v>SEC017</x:v>
      </x:c>
      <x:c r="C1736" s="3" t="n">
        <x:v>7</x:v>
      </x:c>
      <x:c r="D1736" s="3" t="str">
        <x:v>present</x:v>
      </x:c>
      <x:c r="E1736" s="5" t="str">
        <x:f>VLOOKUP(B1736,Sections!$A$5:$I$45,3,FALSE)</x:f>
        <x:v>2024-2</x:v>
      </x:c>
    </x:row>
    <x:row r="1737" ht="21" customHeight="1">
      <x:c r="A1737" s="3" t="str">
        <x:v>2201006</x:v>
      </x:c>
      <x:c r="B1737" s="3" t="str">
        <x:v>SEC017</x:v>
      </x:c>
      <x:c r="C1737" s="3" t="n">
        <x:v>8</x:v>
      </x:c>
      <x:c r="D1737" s="3" t="str">
        <x:v>absent</x:v>
      </x:c>
      <x:c r="E1737" s="5" t="str">
        <x:f>VLOOKUP(B1737,Sections!$A$5:$I$45,3,FALSE)</x:f>
        <x:v>2024-2</x:v>
      </x:c>
    </x:row>
    <x:row r="1738" ht="21" customHeight="1">
      <x:c r="A1738" s="3" t="str">
        <x:v>2201006</x:v>
      </x:c>
      <x:c r="B1738" s="3" t="str">
        <x:v>SEC017</x:v>
      </x:c>
      <x:c r="C1738" s="3" t="n">
        <x:v>9</x:v>
      </x:c>
      <x:c r="D1738" s="3" t="str">
        <x:v>present</x:v>
      </x:c>
      <x:c r="E1738" s="5" t="str">
        <x:f>VLOOKUP(B1738,Sections!$A$5:$I$45,3,FALSE)</x:f>
        <x:v>2024-2</x:v>
      </x:c>
    </x:row>
    <x:row r="1739" ht="21" customHeight="1">
      <x:c r="A1739" s="3" t="str">
        <x:v>2201006</x:v>
      </x:c>
      <x:c r="B1739" s="3" t="str">
        <x:v>SEC017</x:v>
      </x:c>
      <x:c r="C1739" s="3" t="n">
        <x:v>10</x:v>
      </x:c>
      <x:c r="D1739" s="3" t="str">
        <x:v>excused</x:v>
      </x:c>
      <x:c r="E1739" s="5" t="str">
        <x:f>VLOOKUP(B1739,Sections!$A$5:$I$45,3,FALSE)</x:f>
        <x:v>2024-2</x:v>
      </x:c>
    </x:row>
    <x:row r="1740" ht="21" customHeight="1">
      <x:c r="A1740" s="3" t="str">
        <x:v>2201006</x:v>
      </x:c>
      <x:c r="B1740" s="3" t="str">
        <x:v>SEC017</x:v>
      </x:c>
      <x:c r="C1740" s="3" t="n">
        <x:v>11</x:v>
      </x:c>
      <x:c r="D1740" s="3" t="str">
        <x:v>present</x:v>
      </x:c>
      <x:c r="E1740" s="5" t="str">
        <x:f>VLOOKUP(B1740,Sections!$A$5:$I$45,3,FALSE)</x:f>
        <x:v>2024-2</x:v>
      </x:c>
    </x:row>
    <x:row r="1741" ht="21" customHeight="1">
      <x:c r="A1741" s="3" t="str">
        <x:v>2201006</x:v>
      </x:c>
      <x:c r="B1741" s="3" t="str">
        <x:v>SEC017</x:v>
      </x:c>
      <x:c r="C1741" s="3" t="n">
        <x:v>12</x:v>
      </x:c>
      <x:c r="D1741" s="3" t="str">
        <x:v>present</x:v>
      </x:c>
      <x:c r="E1741" s="5" t="str">
        <x:f>VLOOKUP(B1741,Sections!$A$5:$I$45,3,FALSE)</x:f>
        <x:v>2024-2</x:v>
      </x:c>
    </x:row>
    <x:row r="1742" ht="21" customHeight="1">
      <x:c r="A1742" s="3" t="str">
        <x:v>2201006</x:v>
      </x:c>
      <x:c r="B1742" s="3" t="str">
        <x:v>SEC017</x:v>
      </x:c>
      <x:c r="C1742" s="3" t="n">
        <x:v>13</x:v>
      </x:c>
      <x:c r="D1742" s="3" t="str">
        <x:v>present</x:v>
      </x:c>
      <x:c r="E1742" s="5" t="str">
        <x:f>VLOOKUP(B1742,Sections!$A$5:$I$45,3,FALSE)</x:f>
        <x:v>2024-2</x:v>
      </x:c>
    </x:row>
    <x:row r="1743" ht="21" customHeight="1">
      <x:c r="A1743" s="3" t="str">
        <x:v>2201006</x:v>
      </x:c>
      <x:c r="B1743" s="3" t="str">
        <x:v>SEC017</x:v>
      </x:c>
      <x:c r="C1743" s="3" t="n">
        <x:v>14</x:v>
      </x:c>
      <x:c r="D1743" s="3" t="str">
        <x:v>present</x:v>
      </x:c>
      <x:c r="E1743" s="5" t="str">
        <x:f>VLOOKUP(B1743,Sections!$A$5:$I$45,3,FALSE)</x:f>
        <x:v>2024-2</x:v>
      </x:c>
    </x:row>
    <x:row r="1744" ht="21" customHeight="1">
      <x:c r="A1744" s="3" t="str">
        <x:v>2201006</x:v>
      </x:c>
      <x:c r="B1744" s="3" t="str">
        <x:v>SEC017</x:v>
      </x:c>
      <x:c r="C1744" s="3" t="n">
        <x:v>15</x:v>
      </x:c>
      <x:c r="D1744" s="3" t="str">
        <x:v>present</x:v>
      </x:c>
      <x:c r="E1744" s="5" t="str">
        <x:f>VLOOKUP(B1744,Sections!$A$5:$I$45,3,FALSE)</x:f>
        <x:v>2024-2</x:v>
      </x:c>
    </x:row>
    <x:row r="1745" ht="21" customHeight="1">
      <x:c r="A1745" s="3" t="str">
        <x:v>2201007</x:v>
      </x:c>
      <x:c r="B1745" s="3" t="str">
        <x:v>SEC017</x:v>
      </x:c>
      <x:c r="C1745" s="3" t="n">
        <x:v>1</x:v>
      </x:c>
      <x:c r="D1745" s="3" t="str">
        <x:v>present</x:v>
      </x:c>
      <x:c r="E1745" s="5" t="str">
        <x:f>VLOOKUP(B1745,Sections!$A$5:$I$45,3,FALSE)</x:f>
        <x:v>2024-2</x:v>
      </x:c>
    </x:row>
    <x:row r="1746" ht="21" customHeight="1">
      <x:c r="A1746" s="3" t="str">
        <x:v>2201007</x:v>
      </x:c>
      <x:c r="B1746" s="3" t="str">
        <x:v>SEC017</x:v>
      </x:c>
      <x:c r="C1746" s="3" t="n">
        <x:v>2</x:v>
      </x:c>
      <x:c r="D1746" s="3" t="str">
        <x:v>present</x:v>
      </x:c>
      <x:c r="E1746" s="5" t="str">
        <x:f>VLOOKUP(B1746,Sections!$A$5:$I$45,3,FALSE)</x:f>
        <x:v>2024-2</x:v>
      </x:c>
    </x:row>
    <x:row r="1747" ht="21" customHeight="1">
      <x:c r="A1747" s="3" t="str">
        <x:v>2201007</x:v>
      </x:c>
      <x:c r="B1747" s="3" t="str">
        <x:v>SEC017</x:v>
      </x:c>
      <x:c r="C1747" s="3" t="n">
        <x:v>3</x:v>
      </x:c>
      <x:c r="D1747" s="3" t="str">
        <x:v>late</x:v>
      </x:c>
      <x:c r="E1747" s="5" t="str">
        <x:f>VLOOKUP(B1747,Sections!$A$5:$I$45,3,FALSE)</x:f>
        <x:v>2024-2</x:v>
      </x:c>
    </x:row>
    <x:row r="1748" ht="21" customHeight="1">
      <x:c r="A1748" s="3" t="str">
        <x:v>2201007</x:v>
      </x:c>
      <x:c r="B1748" s="3" t="str">
        <x:v>SEC017</x:v>
      </x:c>
      <x:c r="C1748" s="3" t="n">
        <x:v>4</x:v>
      </x:c>
      <x:c r="D1748" s="3" t="str">
        <x:v>present</x:v>
      </x:c>
      <x:c r="E1748" s="5" t="str">
        <x:f>VLOOKUP(B1748,Sections!$A$5:$I$45,3,FALSE)</x:f>
        <x:v>2024-2</x:v>
      </x:c>
    </x:row>
    <x:row r="1749" ht="21" customHeight="1">
      <x:c r="A1749" s="3" t="str">
        <x:v>2201007</x:v>
      </x:c>
      <x:c r="B1749" s="3" t="str">
        <x:v>SEC017</x:v>
      </x:c>
      <x:c r="C1749" s="3" t="n">
        <x:v>5</x:v>
      </x:c>
      <x:c r="D1749" s="3" t="str">
        <x:v>present</x:v>
      </x:c>
      <x:c r="E1749" s="5" t="str">
        <x:f>VLOOKUP(B1749,Sections!$A$5:$I$45,3,FALSE)</x:f>
        <x:v>2024-2</x:v>
      </x:c>
    </x:row>
    <x:row r="1750" ht="21" customHeight="1">
      <x:c r="A1750" s="3" t="str">
        <x:v>2201007</x:v>
      </x:c>
      <x:c r="B1750" s="3" t="str">
        <x:v>SEC017</x:v>
      </x:c>
      <x:c r="C1750" s="3" t="n">
        <x:v>6</x:v>
      </x:c>
      <x:c r="D1750" s="3" t="str">
        <x:v>present</x:v>
      </x:c>
      <x:c r="E1750" s="5" t="str">
        <x:f>VLOOKUP(B1750,Sections!$A$5:$I$45,3,FALSE)</x:f>
        <x:v>2024-2</x:v>
      </x:c>
    </x:row>
    <x:row r="1751" ht="21" customHeight="1">
      <x:c r="A1751" s="3" t="str">
        <x:v>2201007</x:v>
      </x:c>
      <x:c r="B1751" s="3" t="str">
        <x:v>SEC017</x:v>
      </x:c>
      <x:c r="C1751" s="3" t="n">
        <x:v>7</x:v>
      </x:c>
      <x:c r="D1751" s="3" t="str">
        <x:v>present</x:v>
      </x:c>
      <x:c r="E1751" s="5" t="str">
        <x:f>VLOOKUP(B1751,Sections!$A$5:$I$45,3,FALSE)</x:f>
        <x:v>2024-2</x:v>
      </x:c>
    </x:row>
    <x:row r="1752" ht="21" customHeight="1">
      <x:c r="A1752" s="3" t="str">
        <x:v>2201007</x:v>
      </x:c>
      <x:c r="B1752" s="3" t="str">
        <x:v>SEC017</x:v>
      </x:c>
      <x:c r="C1752" s="3" t="n">
        <x:v>8</x:v>
      </x:c>
      <x:c r="D1752" s="3" t="str">
        <x:v>present</x:v>
      </x:c>
      <x:c r="E1752" s="5" t="str">
        <x:f>VLOOKUP(B1752,Sections!$A$5:$I$45,3,FALSE)</x:f>
        <x:v>2024-2</x:v>
      </x:c>
    </x:row>
    <x:row r="1753" ht="21" customHeight="1">
      <x:c r="A1753" s="3" t="str">
        <x:v>2201007</x:v>
      </x:c>
      <x:c r="B1753" s="3" t="str">
        <x:v>SEC017</x:v>
      </x:c>
      <x:c r="C1753" s="3" t="n">
        <x:v>9</x:v>
      </x:c>
      <x:c r="D1753" s="3" t="str">
        <x:v>present</x:v>
      </x:c>
      <x:c r="E1753" s="5" t="str">
        <x:f>VLOOKUP(B1753,Sections!$A$5:$I$45,3,FALSE)</x:f>
        <x:v>2024-2</x:v>
      </x:c>
    </x:row>
    <x:row r="1754" ht="21" customHeight="1">
      <x:c r="A1754" s="3" t="str">
        <x:v>2201007</x:v>
      </x:c>
      <x:c r="B1754" s="3" t="str">
        <x:v>SEC017</x:v>
      </x:c>
      <x:c r="C1754" s="3" t="n">
        <x:v>10</x:v>
      </x:c>
      <x:c r="D1754" s="3" t="str">
        <x:v>present</x:v>
      </x:c>
      <x:c r="E1754" s="5" t="str">
        <x:f>VLOOKUP(B1754,Sections!$A$5:$I$45,3,FALSE)</x:f>
        <x:v>2024-2</x:v>
      </x:c>
    </x:row>
    <x:row r="1755" ht="21" customHeight="1">
      <x:c r="A1755" s="3" t="str">
        <x:v>2201007</x:v>
      </x:c>
      <x:c r="B1755" s="3" t="str">
        <x:v>SEC017</x:v>
      </x:c>
      <x:c r="C1755" s="3" t="n">
        <x:v>11</x:v>
      </x:c>
      <x:c r="D1755" s="3" t="str">
        <x:v>present</x:v>
      </x:c>
      <x:c r="E1755" s="5" t="str">
        <x:f>VLOOKUP(B1755,Sections!$A$5:$I$45,3,FALSE)</x:f>
        <x:v>2024-2</x:v>
      </x:c>
    </x:row>
    <x:row r="1756" ht="21" customHeight="1">
      <x:c r="A1756" s="3" t="str">
        <x:v>2201007</x:v>
      </x:c>
      <x:c r="B1756" s="3" t="str">
        <x:v>SEC017</x:v>
      </x:c>
      <x:c r="C1756" s="3" t="n">
        <x:v>12</x:v>
      </x:c>
      <x:c r="D1756" s="3" t="str">
        <x:v>present</x:v>
      </x:c>
      <x:c r="E1756" s="5" t="str">
        <x:f>VLOOKUP(B1756,Sections!$A$5:$I$45,3,FALSE)</x:f>
        <x:v>2024-2</x:v>
      </x:c>
    </x:row>
    <x:row r="1757" ht="21" customHeight="1">
      <x:c r="A1757" s="3" t="str">
        <x:v>2201007</x:v>
      </x:c>
      <x:c r="B1757" s="3" t="str">
        <x:v>SEC017</x:v>
      </x:c>
      <x:c r="C1757" s="3" t="n">
        <x:v>13</x:v>
      </x:c>
      <x:c r="D1757" s="3" t="str">
        <x:v>present</x:v>
      </x:c>
      <x:c r="E1757" s="5" t="str">
        <x:f>VLOOKUP(B1757,Sections!$A$5:$I$45,3,FALSE)</x:f>
        <x:v>2024-2</x:v>
      </x:c>
    </x:row>
    <x:row r="1758" ht="21" customHeight="1">
      <x:c r="A1758" s="3" t="str">
        <x:v>2201007</x:v>
      </x:c>
      <x:c r="B1758" s="3" t="str">
        <x:v>SEC017</x:v>
      </x:c>
      <x:c r="C1758" s="3" t="n">
        <x:v>14</x:v>
      </x:c>
      <x:c r="D1758" s="3" t="str">
        <x:v>present</x:v>
      </x:c>
      <x:c r="E1758" s="5" t="str">
        <x:f>VLOOKUP(B1758,Sections!$A$5:$I$45,3,FALSE)</x:f>
        <x:v>2024-2</x:v>
      </x:c>
    </x:row>
    <x:row r="1759" ht="21" customHeight="1">
      <x:c r="A1759" s="3" t="str">
        <x:v>2201007</x:v>
      </x:c>
      <x:c r="B1759" s="3" t="str">
        <x:v>SEC017</x:v>
      </x:c>
      <x:c r="C1759" s="3" t="n">
        <x:v>15</x:v>
      </x:c>
      <x:c r="D1759" s="3" t="str">
        <x:v>present</x:v>
      </x:c>
      <x:c r="E1759" s="5" t="str">
        <x:f>VLOOKUP(B1759,Sections!$A$5:$I$45,3,FALSE)</x:f>
        <x:v>2024-2</x:v>
      </x:c>
    </x:row>
    <x:row r="1760" ht="21" customHeight="1">
      <x:c r="A1760" s="3" t="str">
        <x:v>2201008</x:v>
      </x:c>
      <x:c r="B1760" s="3" t="str">
        <x:v>SEC017</x:v>
      </x:c>
      <x:c r="C1760" s="3" t="n">
        <x:v>1</x:v>
      </x:c>
      <x:c r="D1760" s="3" t="str">
        <x:v>present</x:v>
      </x:c>
      <x:c r="E1760" s="5" t="str">
        <x:f>VLOOKUP(B1760,Sections!$A$5:$I$45,3,FALSE)</x:f>
        <x:v>2024-2</x:v>
      </x:c>
    </x:row>
    <x:row r="1761" ht="21" customHeight="1">
      <x:c r="A1761" s="3" t="str">
        <x:v>2201008</x:v>
      </x:c>
      <x:c r="B1761" s="3" t="str">
        <x:v>SEC017</x:v>
      </x:c>
      <x:c r="C1761" s="3" t="n">
        <x:v>2</x:v>
      </x:c>
      <x:c r="D1761" s="3" t="str">
        <x:v>present</x:v>
      </x:c>
      <x:c r="E1761" s="5" t="str">
        <x:f>VLOOKUP(B1761,Sections!$A$5:$I$45,3,FALSE)</x:f>
        <x:v>2024-2</x:v>
      </x:c>
    </x:row>
    <x:row r="1762" ht="21" customHeight="1">
      <x:c r="A1762" s="3" t="str">
        <x:v>2201008</x:v>
      </x:c>
      <x:c r="B1762" s="3" t="str">
        <x:v>SEC017</x:v>
      </x:c>
      <x:c r="C1762" s="3" t="n">
        <x:v>3</x:v>
      </x:c>
      <x:c r="D1762" s="3" t="str">
        <x:v>present</x:v>
      </x:c>
      <x:c r="E1762" s="5" t="str">
        <x:f>VLOOKUP(B1762,Sections!$A$5:$I$45,3,FALSE)</x:f>
        <x:v>2024-2</x:v>
      </x:c>
    </x:row>
    <x:row r="1763" ht="21" customHeight="1">
      <x:c r="A1763" s="3" t="str">
        <x:v>2201008</x:v>
      </x:c>
      <x:c r="B1763" s="3" t="str">
        <x:v>SEC017</x:v>
      </x:c>
      <x:c r="C1763" s="3" t="n">
        <x:v>4</x:v>
      </x:c>
      <x:c r="D1763" s="3" t="str">
        <x:v>present</x:v>
      </x:c>
      <x:c r="E1763" s="5" t="str">
        <x:f>VLOOKUP(B1763,Sections!$A$5:$I$45,3,FALSE)</x:f>
        <x:v>2024-2</x:v>
      </x:c>
    </x:row>
    <x:row r="1764" ht="21" customHeight="1">
      <x:c r="A1764" s="3" t="str">
        <x:v>2201008</x:v>
      </x:c>
      <x:c r="B1764" s="3" t="str">
        <x:v>SEC017</x:v>
      </x:c>
      <x:c r="C1764" s="3" t="n">
        <x:v>5</x:v>
      </x:c>
      <x:c r="D1764" s="3" t="str">
        <x:v>present</x:v>
      </x:c>
      <x:c r="E1764" s="5" t="str">
        <x:f>VLOOKUP(B1764,Sections!$A$5:$I$45,3,FALSE)</x:f>
        <x:v>2024-2</x:v>
      </x:c>
    </x:row>
    <x:row r="1765" ht="21" customHeight="1">
      <x:c r="A1765" s="3" t="str">
        <x:v>2201008</x:v>
      </x:c>
      <x:c r="B1765" s="3" t="str">
        <x:v>SEC017</x:v>
      </x:c>
      <x:c r="C1765" s="3" t="n">
        <x:v>6</x:v>
      </x:c>
      <x:c r="D1765" s="3" t="str">
        <x:v>present</x:v>
      </x:c>
      <x:c r="E1765" s="5" t="str">
        <x:f>VLOOKUP(B1765,Sections!$A$5:$I$45,3,FALSE)</x:f>
        <x:v>2024-2</x:v>
      </x:c>
    </x:row>
    <x:row r="1766" ht="21" customHeight="1">
      <x:c r="A1766" s="3" t="str">
        <x:v>2201008</x:v>
      </x:c>
      <x:c r="B1766" s="3" t="str">
        <x:v>SEC017</x:v>
      </x:c>
      <x:c r="C1766" s="3" t="n">
        <x:v>7</x:v>
      </x:c>
      <x:c r="D1766" s="3" t="str">
        <x:v>present</x:v>
      </x:c>
      <x:c r="E1766" s="5" t="str">
        <x:f>VLOOKUP(B1766,Sections!$A$5:$I$45,3,FALSE)</x:f>
        <x:v>2024-2</x:v>
      </x:c>
    </x:row>
    <x:row r="1767" ht="21" customHeight="1">
      <x:c r="A1767" s="3" t="str">
        <x:v>2201008</x:v>
      </x:c>
      <x:c r="B1767" s="3" t="str">
        <x:v>SEC017</x:v>
      </x:c>
      <x:c r="C1767" s="3" t="n">
        <x:v>8</x:v>
      </x:c>
      <x:c r="D1767" s="3" t="str">
        <x:v>present</x:v>
      </x:c>
      <x:c r="E1767" s="5" t="str">
        <x:f>VLOOKUP(B1767,Sections!$A$5:$I$45,3,FALSE)</x:f>
        <x:v>2024-2</x:v>
      </x:c>
    </x:row>
    <x:row r="1768" ht="21" customHeight="1">
      <x:c r="A1768" s="3" t="str">
        <x:v>2201008</x:v>
      </x:c>
      <x:c r="B1768" s="3" t="str">
        <x:v>SEC017</x:v>
      </x:c>
      <x:c r="C1768" s="3" t="n">
        <x:v>9</x:v>
      </x:c>
      <x:c r="D1768" s="3" t="str">
        <x:v>present</x:v>
      </x:c>
      <x:c r="E1768" s="5" t="str">
        <x:f>VLOOKUP(B1768,Sections!$A$5:$I$45,3,FALSE)</x:f>
        <x:v>2024-2</x:v>
      </x:c>
    </x:row>
    <x:row r="1769" ht="21" customHeight="1">
      <x:c r="A1769" s="3" t="str">
        <x:v>2201008</x:v>
      </x:c>
      <x:c r="B1769" s="3" t="str">
        <x:v>SEC017</x:v>
      </x:c>
      <x:c r="C1769" s="3" t="n">
        <x:v>10</x:v>
      </x:c>
      <x:c r="D1769" s="3" t="str">
        <x:v>present</x:v>
      </x:c>
      <x:c r="E1769" s="5" t="str">
        <x:f>VLOOKUP(B1769,Sections!$A$5:$I$45,3,FALSE)</x:f>
        <x:v>2024-2</x:v>
      </x:c>
    </x:row>
    <x:row r="1770" ht="21" customHeight="1">
      <x:c r="A1770" s="3" t="str">
        <x:v>2201008</x:v>
      </x:c>
      <x:c r="B1770" s="3" t="str">
        <x:v>SEC017</x:v>
      </x:c>
      <x:c r="C1770" s="3" t="n">
        <x:v>11</x:v>
      </x:c>
      <x:c r="D1770" s="3" t="str">
        <x:v>present</x:v>
      </x:c>
      <x:c r="E1770" s="5" t="str">
        <x:f>VLOOKUP(B1770,Sections!$A$5:$I$45,3,FALSE)</x:f>
        <x:v>2024-2</x:v>
      </x:c>
    </x:row>
    <x:row r="1771" ht="21" customHeight="1">
      <x:c r="A1771" s="3" t="str">
        <x:v>2201008</x:v>
      </x:c>
      <x:c r="B1771" s="3" t="str">
        <x:v>SEC017</x:v>
      </x:c>
      <x:c r="C1771" s="3" t="n">
        <x:v>12</x:v>
      </x:c>
      <x:c r="D1771" s="3" t="str">
        <x:v>present</x:v>
      </x:c>
      <x:c r="E1771" s="5" t="str">
        <x:f>VLOOKUP(B1771,Sections!$A$5:$I$45,3,FALSE)</x:f>
        <x:v>2024-2</x:v>
      </x:c>
    </x:row>
    <x:row r="1772" ht="21" customHeight="1">
      <x:c r="A1772" s="3" t="str">
        <x:v>2201008</x:v>
      </x:c>
      <x:c r="B1772" s="3" t="str">
        <x:v>SEC017</x:v>
      </x:c>
      <x:c r="C1772" s="3" t="n">
        <x:v>13</x:v>
      </x:c>
      <x:c r="D1772" s="3" t="str">
        <x:v>present</x:v>
      </x:c>
      <x:c r="E1772" s="5" t="str">
        <x:f>VLOOKUP(B1772,Sections!$A$5:$I$45,3,FALSE)</x:f>
        <x:v>2024-2</x:v>
      </x:c>
    </x:row>
    <x:row r="1773" ht="21" customHeight="1">
      <x:c r="A1773" s="3" t="str">
        <x:v>2201008</x:v>
      </x:c>
      <x:c r="B1773" s="3" t="str">
        <x:v>SEC017</x:v>
      </x:c>
      <x:c r="C1773" s="3" t="n">
        <x:v>14</x:v>
      </x:c>
      <x:c r="D1773" s="3" t="str">
        <x:v>present</x:v>
      </x:c>
      <x:c r="E1773" s="5" t="str">
        <x:f>VLOOKUP(B1773,Sections!$A$5:$I$45,3,FALSE)</x:f>
        <x:v>2024-2</x:v>
      </x:c>
    </x:row>
    <x:row r="1774" ht="21" customHeight="1">
      <x:c r="A1774" s="3" t="str">
        <x:v>2201008</x:v>
      </x:c>
      <x:c r="B1774" s="3" t="str">
        <x:v>SEC017</x:v>
      </x:c>
      <x:c r="C1774" s="3" t="n">
        <x:v>15</x:v>
      </x:c>
      <x:c r="D1774" s="3" t="str">
        <x:v>present</x:v>
      </x:c>
      <x:c r="E1774" s="5" t="str">
        <x:f>VLOOKUP(B1774,Sections!$A$5:$I$45,3,FALSE)</x:f>
        <x:v>2024-2</x:v>
      </x:c>
    </x:row>
    <x:row r="1775" ht="21" customHeight="1">
      <x:c r="A1775" s="3" t="str">
        <x:v>2201009</x:v>
      </x:c>
      <x:c r="B1775" s="3" t="str">
        <x:v>SEC017</x:v>
      </x:c>
      <x:c r="C1775" s="3" t="n">
        <x:v>1</x:v>
      </x:c>
      <x:c r="D1775" s="3" t="str">
        <x:v>present</x:v>
      </x:c>
      <x:c r="E1775" s="5" t="str">
        <x:f>VLOOKUP(B1775,Sections!$A$5:$I$45,3,FALSE)</x:f>
        <x:v>2024-2</x:v>
      </x:c>
    </x:row>
    <x:row r="1776" ht="21" customHeight="1">
      <x:c r="A1776" s="3" t="str">
        <x:v>2201009</x:v>
      </x:c>
      <x:c r="B1776" s="3" t="str">
        <x:v>SEC017</x:v>
      </x:c>
      <x:c r="C1776" s="3" t="n">
        <x:v>2</x:v>
      </x:c>
      <x:c r="D1776" s="3" t="str">
        <x:v>present</x:v>
      </x:c>
      <x:c r="E1776" s="5" t="str">
        <x:f>VLOOKUP(B1776,Sections!$A$5:$I$45,3,FALSE)</x:f>
        <x:v>2024-2</x:v>
      </x:c>
    </x:row>
    <x:row r="1777" ht="21" customHeight="1">
      <x:c r="A1777" s="3" t="str">
        <x:v>2201009</x:v>
      </x:c>
      <x:c r="B1777" s="3" t="str">
        <x:v>SEC017</x:v>
      </x:c>
      <x:c r="C1777" s="3" t="n">
        <x:v>3</x:v>
      </x:c>
      <x:c r="D1777" s="3" t="str">
        <x:v>present</x:v>
      </x:c>
      <x:c r="E1777" s="5" t="str">
        <x:f>VLOOKUP(B1777,Sections!$A$5:$I$45,3,FALSE)</x:f>
        <x:v>2024-2</x:v>
      </x:c>
    </x:row>
    <x:row r="1778" ht="21" customHeight="1">
      <x:c r="A1778" s="3" t="str">
        <x:v>2201009</x:v>
      </x:c>
      <x:c r="B1778" s="3" t="str">
        <x:v>SEC017</x:v>
      </x:c>
      <x:c r="C1778" s="3" t="n">
        <x:v>4</x:v>
      </x:c>
      <x:c r="D1778" s="3" t="str">
        <x:v>excused</x:v>
      </x:c>
      <x:c r="E1778" s="5" t="str">
        <x:f>VLOOKUP(B1778,Sections!$A$5:$I$45,3,FALSE)</x:f>
        <x:v>2024-2</x:v>
      </x:c>
    </x:row>
    <x:row r="1779" ht="21" customHeight="1">
      <x:c r="A1779" s="3" t="str">
        <x:v>2201009</x:v>
      </x:c>
      <x:c r="B1779" s="3" t="str">
        <x:v>SEC017</x:v>
      </x:c>
      <x:c r="C1779" s="3" t="n">
        <x:v>5</x:v>
      </x:c>
      <x:c r="D1779" s="3" t="str">
        <x:v>present</x:v>
      </x:c>
      <x:c r="E1779" s="5" t="str">
        <x:f>VLOOKUP(B1779,Sections!$A$5:$I$45,3,FALSE)</x:f>
        <x:v>2024-2</x:v>
      </x:c>
    </x:row>
    <x:row r="1780" ht="21" customHeight="1">
      <x:c r="A1780" s="3" t="str">
        <x:v>2201009</x:v>
      </x:c>
      <x:c r="B1780" s="3" t="str">
        <x:v>SEC017</x:v>
      </x:c>
      <x:c r="C1780" s="3" t="n">
        <x:v>6</x:v>
      </x:c>
      <x:c r="D1780" s="3" t="str">
        <x:v>present</x:v>
      </x:c>
      <x:c r="E1780" s="5" t="str">
        <x:f>VLOOKUP(B1780,Sections!$A$5:$I$45,3,FALSE)</x:f>
        <x:v>2024-2</x:v>
      </x:c>
    </x:row>
    <x:row r="1781" ht="21" customHeight="1">
      <x:c r="A1781" s="3" t="str">
        <x:v>2201009</x:v>
      </x:c>
      <x:c r="B1781" s="3" t="str">
        <x:v>SEC017</x:v>
      </x:c>
      <x:c r="C1781" s="3" t="n">
        <x:v>7</x:v>
      </x:c>
      <x:c r="D1781" s="3" t="str">
        <x:v>present</x:v>
      </x:c>
      <x:c r="E1781" s="5" t="str">
        <x:f>VLOOKUP(B1781,Sections!$A$5:$I$45,3,FALSE)</x:f>
        <x:v>2024-2</x:v>
      </x:c>
    </x:row>
    <x:row r="1782" ht="21" customHeight="1">
      <x:c r="A1782" s="3" t="str">
        <x:v>2201009</x:v>
      </x:c>
      <x:c r="B1782" s="3" t="str">
        <x:v>SEC017</x:v>
      </x:c>
      <x:c r="C1782" s="3" t="n">
        <x:v>8</x:v>
      </x:c>
      <x:c r="D1782" s="3" t="str">
        <x:v>present</x:v>
      </x:c>
      <x:c r="E1782" s="5" t="str">
        <x:f>VLOOKUP(B1782,Sections!$A$5:$I$45,3,FALSE)</x:f>
        <x:v>2024-2</x:v>
      </x:c>
    </x:row>
    <x:row r="1783" ht="21" customHeight="1">
      <x:c r="A1783" s="3" t="str">
        <x:v>2201009</x:v>
      </x:c>
      <x:c r="B1783" s="3" t="str">
        <x:v>SEC017</x:v>
      </x:c>
      <x:c r="C1783" s="3" t="n">
        <x:v>9</x:v>
      </x:c>
      <x:c r="D1783" s="3" t="str">
        <x:v>late</x:v>
      </x:c>
      <x:c r="E1783" s="5" t="str">
        <x:f>VLOOKUP(B1783,Sections!$A$5:$I$45,3,FALSE)</x:f>
        <x:v>2024-2</x:v>
      </x:c>
    </x:row>
    <x:row r="1784" ht="21" customHeight="1">
      <x:c r="A1784" s="3" t="str">
        <x:v>2201009</x:v>
      </x:c>
      <x:c r="B1784" s="3" t="str">
        <x:v>SEC017</x:v>
      </x:c>
      <x:c r="C1784" s="3" t="n">
        <x:v>10</x:v>
      </x:c>
      <x:c r="D1784" s="3" t="str">
        <x:v>present</x:v>
      </x:c>
      <x:c r="E1784" s="5" t="str">
        <x:f>VLOOKUP(B1784,Sections!$A$5:$I$45,3,FALSE)</x:f>
        <x:v>2024-2</x:v>
      </x:c>
    </x:row>
    <x:row r="1785" ht="21" customHeight="1">
      <x:c r="A1785" s="3" t="str">
        <x:v>2201009</x:v>
      </x:c>
      <x:c r="B1785" s="3" t="str">
        <x:v>SEC017</x:v>
      </x:c>
      <x:c r="C1785" s="3" t="n">
        <x:v>11</x:v>
      </x:c>
      <x:c r="D1785" s="3" t="str">
        <x:v>present</x:v>
      </x:c>
      <x:c r="E1785" s="5" t="str">
        <x:f>VLOOKUP(B1785,Sections!$A$5:$I$45,3,FALSE)</x:f>
        <x:v>2024-2</x:v>
      </x:c>
    </x:row>
    <x:row r="1786" ht="21" customHeight="1">
      <x:c r="A1786" s="3" t="str">
        <x:v>2201009</x:v>
      </x:c>
      <x:c r="B1786" s="3" t="str">
        <x:v>SEC017</x:v>
      </x:c>
      <x:c r="C1786" s="3" t="n">
        <x:v>12</x:v>
      </x:c>
      <x:c r="D1786" s="3" t="str">
        <x:v>present</x:v>
      </x:c>
      <x:c r="E1786" s="5" t="str">
        <x:f>VLOOKUP(B1786,Sections!$A$5:$I$45,3,FALSE)</x:f>
        <x:v>2024-2</x:v>
      </x:c>
    </x:row>
    <x:row r="1787" ht="21" customHeight="1">
      <x:c r="A1787" s="3" t="str">
        <x:v>2201009</x:v>
      </x:c>
      <x:c r="B1787" s="3" t="str">
        <x:v>SEC017</x:v>
      </x:c>
      <x:c r="C1787" s="3" t="n">
        <x:v>13</x:v>
      </x:c>
      <x:c r="D1787" s="3" t="str">
        <x:v>present</x:v>
      </x:c>
      <x:c r="E1787" s="5" t="str">
        <x:f>VLOOKUP(B1787,Sections!$A$5:$I$45,3,FALSE)</x:f>
        <x:v>2024-2</x:v>
      </x:c>
    </x:row>
    <x:row r="1788" ht="21" customHeight="1">
      <x:c r="A1788" s="3" t="str">
        <x:v>2201009</x:v>
      </x:c>
      <x:c r="B1788" s="3" t="str">
        <x:v>SEC017</x:v>
      </x:c>
      <x:c r="C1788" s="3" t="n">
        <x:v>14</x:v>
      </x:c>
      <x:c r="D1788" s="3" t="str">
        <x:v>present</x:v>
      </x:c>
      <x:c r="E1788" s="5" t="str">
        <x:f>VLOOKUP(B1788,Sections!$A$5:$I$45,3,FALSE)</x:f>
        <x:v>2024-2</x:v>
      </x:c>
    </x:row>
    <x:row r="1789" ht="21" customHeight="1">
      <x:c r="A1789" s="3" t="str">
        <x:v>2201009</x:v>
      </x:c>
      <x:c r="B1789" s="3" t="str">
        <x:v>SEC017</x:v>
      </x:c>
      <x:c r="C1789" s="3" t="n">
        <x:v>15</x:v>
      </x:c>
      <x:c r="D1789" s="3" t="str">
        <x:v>present</x:v>
      </x:c>
      <x:c r="E1789" s="5" t="str">
        <x:f>VLOOKUP(B1789,Sections!$A$5:$I$45,3,FALSE)</x:f>
        <x:v>2024-2</x:v>
      </x:c>
    </x:row>
    <x:row r="1790" ht="21" customHeight="1">
      <x:c r="A1790" s="3" t="str">
        <x:v>2201010</x:v>
      </x:c>
      <x:c r="B1790" s="3" t="str">
        <x:v>SEC017</x:v>
      </x:c>
      <x:c r="C1790" s="3" t="n">
        <x:v>1</x:v>
      </x:c>
      <x:c r="D1790" s="3" t="str">
        <x:v>late</x:v>
      </x:c>
      <x:c r="E1790" s="5" t="str">
        <x:f>VLOOKUP(B1790,Sections!$A$5:$I$45,3,FALSE)</x:f>
        <x:v>2024-2</x:v>
      </x:c>
    </x:row>
    <x:row r="1791" ht="21" customHeight="1">
      <x:c r="A1791" s="3" t="str">
        <x:v>2201010</x:v>
      </x:c>
      <x:c r="B1791" s="3" t="str">
        <x:v>SEC017</x:v>
      </x:c>
      <x:c r="C1791" s="3" t="n">
        <x:v>2</x:v>
      </x:c>
      <x:c r="D1791" s="3" t="str">
        <x:v>present</x:v>
      </x:c>
      <x:c r="E1791" s="5" t="str">
        <x:f>VLOOKUP(B1791,Sections!$A$5:$I$45,3,FALSE)</x:f>
        <x:v>2024-2</x:v>
      </x:c>
    </x:row>
    <x:row r="1792" ht="21" customHeight="1">
      <x:c r="A1792" s="3" t="str">
        <x:v>2201010</x:v>
      </x:c>
      <x:c r="B1792" s="3" t="str">
        <x:v>SEC017</x:v>
      </x:c>
      <x:c r="C1792" s="3" t="n">
        <x:v>3</x:v>
      </x:c>
      <x:c r="D1792" s="3" t="str">
        <x:v>absent</x:v>
      </x:c>
      <x:c r="E1792" s="5" t="str">
        <x:f>VLOOKUP(B1792,Sections!$A$5:$I$45,3,FALSE)</x:f>
        <x:v>2024-2</x:v>
      </x:c>
    </x:row>
    <x:row r="1793" ht="21" customHeight="1">
      <x:c r="A1793" s="3" t="str">
        <x:v>2201010</x:v>
      </x:c>
      <x:c r="B1793" s="3" t="str">
        <x:v>SEC017</x:v>
      </x:c>
      <x:c r="C1793" s="3" t="n">
        <x:v>4</x:v>
      </x:c>
      <x:c r="D1793" s="3" t="str">
        <x:v>absent</x:v>
      </x:c>
      <x:c r="E1793" s="5" t="str">
        <x:f>VLOOKUP(B1793,Sections!$A$5:$I$45,3,FALSE)</x:f>
        <x:v>2024-2</x:v>
      </x:c>
    </x:row>
    <x:row r="1794" ht="21" customHeight="1">
      <x:c r="A1794" s="3" t="str">
        <x:v>2201010</x:v>
      </x:c>
      <x:c r="B1794" s="3" t="str">
        <x:v>SEC017</x:v>
      </x:c>
      <x:c r="C1794" s="3" t="n">
        <x:v>5</x:v>
      </x:c>
      <x:c r="D1794" s="3" t="str">
        <x:v>present</x:v>
      </x:c>
      <x:c r="E1794" s="5" t="str">
        <x:f>VLOOKUP(B1794,Sections!$A$5:$I$45,3,FALSE)</x:f>
        <x:v>2024-2</x:v>
      </x:c>
    </x:row>
    <x:row r="1795" ht="21" customHeight="1">
      <x:c r="A1795" s="3" t="str">
        <x:v>2201010</x:v>
      </x:c>
      <x:c r="B1795" s="3" t="str">
        <x:v>SEC017</x:v>
      </x:c>
      <x:c r="C1795" s="3" t="n">
        <x:v>6</x:v>
      </x:c>
      <x:c r="D1795" s="3" t="str">
        <x:v>present</x:v>
      </x:c>
      <x:c r="E1795" s="5" t="str">
        <x:f>VLOOKUP(B1795,Sections!$A$5:$I$45,3,FALSE)</x:f>
        <x:v>2024-2</x:v>
      </x:c>
    </x:row>
    <x:row r="1796" ht="21" customHeight="1">
      <x:c r="A1796" s="3" t="str">
        <x:v>2201010</x:v>
      </x:c>
      <x:c r="B1796" s="3" t="str">
        <x:v>SEC017</x:v>
      </x:c>
      <x:c r="C1796" s="3" t="n">
        <x:v>7</x:v>
      </x:c>
      <x:c r="D1796" s="3" t="str">
        <x:v>present</x:v>
      </x:c>
      <x:c r="E1796" s="5" t="str">
        <x:f>VLOOKUP(B1796,Sections!$A$5:$I$45,3,FALSE)</x:f>
        <x:v>2024-2</x:v>
      </x:c>
    </x:row>
    <x:row r="1797" ht="21" customHeight="1">
      <x:c r="A1797" s="3" t="str">
        <x:v>2201010</x:v>
      </x:c>
      <x:c r="B1797" s="3" t="str">
        <x:v>SEC017</x:v>
      </x:c>
      <x:c r="C1797" s="3" t="n">
        <x:v>8</x:v>
      </x:c>
      <x:c r="D1797" s="3" t="str">
        <x:v>present</x:v>
      </x:c>
      <x:c r="E1797" s="5" t="str">
        <x:f>VLOOKUP(B1797,Sections!$A$5:$I$45,3,FALSE)</x:f>
        <x:v>2024-2</x:v>
      </x:c>
    </x:row>
    <x:row r="1798" ht="21" customHeight="1">
      <x:c r="A1798" s="3" t="str">
        <x:v>2201010</x:v>
      </x:c>
      <x:c r="B1798" s="3" t="str">
        <x:v>SEC017</x:v>
      </x:c>
      <x:c r="C1798" s="3" t="n">
        <x:v>9</x:v>
      </x:c>
      <x:c r="D1798" s="3" t="str">
        <x:v>present</x:v>
      </x:c>
      <x:c r="E1798" s="5" t="str">
        <x:f>VLOOKUP(B1798,Sections!$A$5:$I$45,3,FALSE)</x:f>
        <x:v>2024-2</x:v>
      </x:c>
    </x:row>
    <x:row r="1799" ht="21" customHeight="1">
      <x:c r="A1799" s="3" t="str">
        <x:v>2201010</x:v>
      </x:c>
      <x:c r="B1799" s="3" t="str">
        <x:v>SEC017</x:v>
      </x:c>
      <x:c r="C1799" s="3" t="n">
        <x:v>10</x:v>
      </x:c>
      <x:c r="D1799" s="3" t="str">
        <x:v>absent</x:v>
      </x:c>
      <x:c r="E1799" s="5" t="str">
        <x:f>VLOOKUP(B1799,Sections!$A$5:$I$45,3,FALSE)</x:f>
        <x:v>2024-2</x:v>
      </x:c>
    </x:row>
    <x:row r="1800" ht="21" customHeight="1">
      <x:c r="A1800" s="3" t="str">
        <x:v>2201010</x:v>
      </x:c>
      <x:c r="B1800" s="3" t="str">
        <x:v>SEC017</x:v>
      </x:c>
      <x:c r="C1800" s="3" t="n">
        <x:v>11</x:v>
      </x:c>
      <x:c r="D1800" s="3" t="str">
        <x:v>present</x:v>
      </x:c>
      <x:c r="E1800" s="5" t="str">
        <x:f>VLOOKUP(B1800,Sections!$A$5:$I$45,3,FALSE)</x:f>
        <x:v>2024-2</x:v>
      </x:c>
    </x:row>
    <x:row r="1801" ht="21" customHeight="1">
      <x:c r="A1801" s="3" t="str">
        <x:v>2201010</x:v>
      </x:c>
      <x:c r="B1801" s="3" t="str">
        <x:v>SEC017</x:v>
      </x:c>
      <x:c r="C1801" s="3" t="n">
        <x:v>12</x:v>
      </x:c>
      <x:c r="D1801" s="3" t="str">
        <x:v>present</x:v>
      </x:c>
      <x:c r="E1801" s="5" t="str">
        <x:f>VLOOKUP(B1801,Sections!$A$5:$I$45,3,FALSE)</x:f>
        <x:v>2024-2</x:v>
      </x:c>
    </x:row>
    <x:row r="1802" ht="21" customHeight="1">
      <x:c r="A1802" s="3" t="str">
        <x:v>2201010</x:v>
      </x:c>
      <x:c r="B1802" s="3" t="str">
        <x:v>SEC017</x:v>
      </x:c>
      <x:c r="C1802" s="3" t="n">
        <x:v>13</x:v>
      </x:c>
      <x:c r="D1802" s="3" t="str">
        <x:v>present</x:v>
      </x:c>
      <x:c r="E1802" s="5" t="str">
        <x:f>VLOOKUP(B1802,Sections!$A$5:$I$45,3,FALSE)</x:f>
        <x:v>2024-2</x:v>
      </x:c>
    </x:row>
    <x:row r="1803" ht="21" customHeight="1">
      <x:c r="A1803" s="3" t="str">
        <x:v>2201010</x:v>
      </x:c>
      <x:c r="B1803" s="3" t="str">
        <x:v>SEC017</x:v>
      </x:c>
      <x:c r="C1803" s="3" t="n">
        <x:v>14</x:v>
      </x:c>
      <x:c r="D1803" s="3" t="str">
        <x:v>late</x:v>
      </x:c>
      <x:c r="E1803" s="5" t="str">
        <x:f>VLOOKUP(B1803,Sections!$A$5:$I$45,3,FALSE)</x:f>
        <x:v>2024-2</x:v>
      </x:c>
    </x:row>
    <x:row r="1804" ht="21" customHeight="1">
      <x:c r="A1804" s="3" t="str">
        <x:v>2201010</x:v>
      </x:c>
      <x:c r="B1804" s="3" t="str">
        <x:v>SEC017</x:v>
      </x:c>
      <x:c r="C1804" s="3" t="n">
        <x:v>15</x:v>
      </x:c>
      <x:c r="D1804" s="3" t="str">
        <x:v>absent</x:v>
      </x:c>
      <x:c r="E1804" s="5" t="str">
        <x:f>VLOOKUP(B1804,Sections!$A$5:$I$45,3,FALSE)</x:f>
        <x:v>2024-2</x:v>
      </x:c>
    </x:row>
    <x:row r="1805" ht="21" customHeight="1">
      <x:c r="A1805" s="3" t="str">
        <x:v>2201011</x:v>
      </x:c>
      <x:c r="B1805" s="3" t="str">
        <x:v>SEC018</x:v>
      </x:c>
      <x:c r="C1805" s="3" t="n">
        <x:v>1</x:v>
      </x:c>
      <x:c r="D1805" s="3" t="str">
        <x:v>present</x:v>
      </x:c>
      <x:c r="E1805" s="5" t="str">
        <x:f>VLOOKUP(B1805,Sections!$A$5:$I$45,3,FALSE)</x:f>
        <x:v>2024-2</x:v>
      </x:c>
    </x:row>
    <x:row r="1806" ht="21" customHeight="1">
      <x:c r="A1806" s="3" t="str">
        <x:v>2201011</x:v>
      </x:c>
      <x:c r="B1806" s="3" t="str">
        <x:v>SEC018</x:v>
      </x:c>
      <x:c r="C1806" s="3" t="n">
        <x:v>2</x:v>
      </x:c>
      <x:c r="D1806" s="3" t="str">
        <x:v>present</x:v>
      </x:c>
      <x:c r="E1806" s="5" t="str">
        <x:f>VLOOKUP(B1806,Sections!$A$5:$I$45,3,FALSE)</x:f>
        <x:v>2024-2</x:v>
      </x:c>
    </x:row>
    <x:row r="1807" ht="21" customHeight="1">
      <x:c r="A1807" s="3" t="str">
        <x:v>2201011</x:v>
      </x:c>
      <x:c r="B1807" s="3" t="str">
        <x:v>SEC018</x:v>
      </x:c>
      <x:c r="C1807" s="3" t="n">
        <x:v>3</x:v>
      </x:c>
      <x:c r="D1807" s="3" t="str">
        <x:v>present</x:v>
      </x:c>
      <x:c r="E1807" s="5" t="str">
        <x:f>VLOOKUP(B1807,Sections!$A$5:$I$45,3,FALSE)</x:f>
        <x:v>2024-2</x:v>
      </x:c>
    </x:row>
    <x:row r="1808" ht="21" customHeight="1">
      <x:c r="A1808" s="3" t="str">
        <x:v>2201011</x:v>
      </x:c>
      <x:c r="B1808" s="3" t="str">
        <x:v>SEC018</x:v>
      </x:c>
      <x:c r="C1808" s="3" t="n">
        <x:v>4</x:v>
      </x:c>
      <x:c r="D1808" s="3" t="str">
        <x:v>present</x:v>
      </x:c>
      <x:c r="E1808" s="5" t="str">
        <x:f>VLOOKUP(B1808,Sections!$A$5:$I$45,3,FALSE)</x:f>
        <x:v>2024-2</x:v>
      </x:c>
    </x:row>
    <x:row r="1809" ht="21" customHeight="1">
      <x:c r="A1809" s="3" t="str">
        <x:v>2201011</x:v>
      </x:c>
      <x:c r="B1809" s="3" t="str">
        <x:v>SEC018</x:v>
      </x:c>
      <x:c r="C1809" s="3" t="n">
        <x:v>5</x:v>
      </x:c>
      <x:c r="D1809" s="3" t="str">
        <x:v>present</x:v>
      </x:c>
      <x:c r="E1809" s="5" t="str">
        <x:f>VLOOKUP(B1809,Sections!$A$5:$I$45,3,FALSE)</x:f>
        <x:v>2024-2</x:v>
      </x:c>
    </x:row>
    <x:row r="1810" ht="21" customHeight="1">
      <x:c r="A1810" s="3" t="str">
        <x:v>2201011</x:v>
      </x:c>
      <x:c r="B1810" s="3" t="str">
        <x:v>SEC018</x:v>
      </x:c>
      <x:c r="C1810" s="3" t="n">
        <x:v>6</x:v>
      </x:c>
      <x:c r="D1810" s="3" t="str">
        <x:v>late</x:v>
      </x:c>
      <x:c r="E1810" s="5" t="str">
        <x:f>VLOOKUP(B1810,Sections!$A$5:$I$45,3,FALSE)</x:f>
        <x:v>2024-2</x:v>
      </x:c>
    </x:row>
    <x:row r="1811" ht="21" customHeight="1">
      <x:c r="A1811" s="3" t="str">
        <x:v>2201011</x:v>
      </x:c>
      <x:c r="B1811" s="3" t="str">
        <x:v>SEC018</x:v>
      </x:c>
      <x:c r="C1811" s="3" t="n">
        <x:v>7</x:v>
      </x:c>
      <x:c r="D1811" s="3" t="str">
        <x:v>present</x:v>
      </x:c>
      <x:c r="E1811" s="5" t="str">
        <x:f>VLOOKUP(B1811,Sections!$A$5:$I$45,3,FALSE)</x:f>
        <x:v>2024-2</x:v>
      </x:c>
    </x:row>
    <x:row r="1812" ht="21" customHeight="1">
      <x:c r="A1812" s="3" t="str">
        <x:v>2201011</x:v>
      </x:c>
      <x:c r="B1812" s="3" t="str">
        <x:v>SEC018</x:v>
      </x:c>
      <x:c r="C1812" s="3" t="n">
        <x:v>8</x:v>
      </x:c>
      <x:c r="D1812" s="3" t="str">
        <x:v>present</x:v>
      </x:c>
      <x:c r="E1812" s="5" t="str">
        <x:f>VLOOKUP(B1812,Sections!$A$5:$I$45,3,FALSE)</x:f>
        <x:v>2024-2</x:v>
      </x:c>
    </x:row>
    <x:row r="1813" ht="21" customHeight="1">
      <x:c r="A1813" s="3" t="str">
        <x:v>2201011</x:v>
      </x:c>
      <x:c r="B1813" s="3" t="str">
        <x:v>SEC018</x:v>
      </x:c>
      <x:c r="C1813" s="3" t="n">
        <x:v>9</x:v>
      </x:c>
      <x:c r="D1813" s="3" t="str">
        <x:v>present</x:v>
      </x:c>
      <x:c r="E1813" s="5" t="str">
        <x:f>VLOOKUP(B1813,Sections!$A$5:$I$45,3,FALSE)</x:f>
        <x:v>2024-2</x:v>
      </x:c>
    </x:row>
    <x:row r="1814" ht="21" customHeight="1">
      <x:c r="A1814" s="3" t="str">
        <x:v>2201011</x:v>
      </x:c>
      <x:c r="B1814" s="3" t="str">
        <x:v>SEC018</x:v>
      </x:c>
      <x:c r="C1814" s="3" t="n">
        <x:v>10</x:v>
      </x:c>
      <x:c r="D1814" s="3" t="str">
        <x:v>present</x:v>
      </x:c>
      <x:c r="E1814" s="5" t="str">
        <x:f>VLOOKUP(B1814,Sections!$A$5:$I$45,3,FALSE)</x:f>
        <x:v>2024-2</x:v>
      </x:c>
    </x:row>
    <x:row r="1815" ht="21" customHeight="1">
      <x:c r="A1815" s="3" t="str">
        <x:v>2201011</x:v>
      </x:c>
      <x:c r="B1815" s="3" t="str">
        <x:v>SEC018</x:v>
      </x:c>
      <x:c r="C1815" s="3" t="n">
        <x:v>11</x:v>
      </x:c>
      <x:c r="D1815" s="3" t="str">
        <x:v>present</x:v>
      </x:c>
      <x:c r="E1815" s="5" t="str">
        <x:f>VLOOKUP(B1815,Sections!$A$5:$I$45,3,FALSE)</x:f>
        <x:v>2024-2</x:v>
      </x:c>
    </x:row>
    <x:row r="1816" ht="21" customHeight="1">
      <x:c r="A1816" s="3" t="str">
        <x:v>2201011</x:v>
      </x:c>
      <x:c r="B1816" s="3" t="str">
        <x:v>SEC018</x:v>
      </x:c>
      <x:c r="C1816" s="3" t="n">
        <x:v>12</x:v>
      </x:c>
      <x:c r="D1816" s="3" t="str">
        <x:v>present</x:v>
      </x:c>
      <x:c r="E1816" s="5" t="str">
        <x:f>VLOOKUP(B1816,Sections!$A$5:$I$45,3,FALSE)</x:f>
        <x:v>2024-2</x:v>
      </x:c>
    </x:row>
    <x:row r="1817" ht="21" customHeight="1">
      <x:c r="A1817" s="3" t="str">
        <x:v>2201011</x:v>
      </x:c>
      <x:c r="B1817" s="3" t="str">
        <x:v>SEC018</x:v>
      </x:c>
      <x:c r="C1817" s="3" t="n">
        <x:v>13</x:v>
      </x:c>
      <x:c r="D1817" s="3" t="str">
        <x:v>present</x:v>
      </x:c>
      <x:c r="E1817" s="5" t="str">
        <x:f>VLOOKUP(B1817,Sections!$A$5:$I$45,3,FALSE)</x:f>
        <x:v>2024-2</x:v>
      </x:c>
    </x:row>
    <x:row r="1818" ht="21" customHeight="1">
      <x:c r="A1818" s="3" t="str">
        <x:v>2201011</x:v>
      </x:c>
      <x:c r="B1818" s="3" t="str">
        <x:v>SEC018</x:v>
      </x:c>
      <x:c r="C1818" s="3" t="n">
        <x:v>14</x:v>
      </x:c>
      <x:c r="D1818" s="3" t="str">
        <x:v>present</x:v>
      </x:c>
      <x:c r="E1818" s="5" t="str">
        <x:f>VLOOKUP(B1818,Sections!$A$5:$I$45,3,FALSE)</x:f>
        <x:v>2024-2</x:v>
      </x:c>
    </x:row>
    <x:row r="1819" ht="21" customHeight="1">
      <x:c r="A1819" s="3" t="str">
        <x:v>2201011</x:v>
      </x:c>
      <x:c r="B1819" s="3" t="str">
        <x:v>SEC018</x:v>
      </x:c>
      <x:c r="C1819" s="3" t="n">
        <x:v>15</x:v>
      </x:c>
      <x:c r="D1819" s="3" t="str">
        <x:v>present</x:v>
      </x:c>
      <x:c r="E1819" s="5" t="str">
        <x:f>VLOOKUP(B1819,Sections!$A$5:$I$45,3,FALSE)</x:f>
        <x:v>2024-2</x:v>
      </x:c>
    </x:row>
    <x:row r="1820" ht="21" customHeight="1">
      <x:c r="A1820" s="3" t="str">
        <x:v>2201012</x:v>
      </x:c>
      <x:c r="B1820" s="3" t="str">
        <x:v>SEC018</x:v>
      </x:c>
      <x:c r="C1820" s="3" t="n">
        <x:v>1</x:v>
      </x:c>
      <x:c r="D1820" s="3" t="str">
        <x:v>present</x:v>
      </x:c>
      <x:c r="E1820" s="5" t="str">
        <x:f>VLOOKUP(B1820,Sections!$A$5:$I$45,3,FALSE)</x:f>
        <x:v>2024-2</x:v>
      </x:c>
    </x:row>
    <x:row r="1821" ht="21" customHeight="1">
      <x:c r="A1821" s="3" t="str">
        <x:v>2201012</x:v>
      </x:c>
      <x:c r="B1821" s="3" t="str">
        <x:v>SEC018</x:v>
      </x:c>
      <x:c r="C1821" s="3" t="n">
        <x:v>2</x:v>
      </x:c>
      <x:c r="D1821" s="3" t="str">
        <x:v>present</x:v>
      </x:c>
      <x:c r="E1821" s="5" t="str">
        <x:f>VLOOKUP(B1821,Sections!$A$5:$I$45,3,FALSE)</x:f>
        <x:v>2024-2</x:v>
      </x:c>
    </x:row>
    <x:row r="1822" ht="21" customHeight="1">
      <x:c r="A1822" s="3" t="str">
        <x:v>2201012</x:v>
      </x:c>
      <x:c r="B1822" s="3" t="str">
        <x:v>SEC018</x:v>
      </x:c>
      <x:c r="C1822" s="3" t="n">
        <x:v>3</x:v>
      </x:c>
      <x:c r="D1822" s="3" t="str">
        <x:v>present</x:v>
      </x:c>
      <x:c r="E1822" s="5" t="str">
        <x:f>VLOOKUP(B1822,Sections!$A$5:$I$45,3,FALSE)</x:f>
        <x:v>2024-2</x:v>
      </x:c>
    </x:row>
    <x:row r="1823" ht="21" customHeight="1">
      <x:c r="A1823" s="3" t="str">
        <x:v>2201012</x:v>
      </x:c>
      <x:c r="B1823" s="3" t="str">
        <x:v>SEC018</x:v>
      </x:c>
      <x:c r="C1823" s="3" t="n">
        <x:v>4</x:v>
      </x:c>
      <x:c r="D1823" s="3" t="str">
        <x:v>present</x:v>
      </x:c>
      <x:c r="E1823" s="5" t="str">
        <x:f>VLOOKUP(B1823,Sections!$A$5:$I$45,3,FALSE)</x:f>
        <x:v>2024-2</x:v>
      </x:c>
    </x:row>
    <x:row r="1824" ht="21" customHeight="1">
      <x:c r="A1824" s="3" t="str">
        <x:v>2201012</x:v>
      </x:c>
      <x:c r="B1824" s="3" t="str">
        <x:v>SEC018</x:v>
      </x:c>
      <x:c r="C1824" s="3" t="n">
        <x:v>5</x:v>
      </x:c>
      <x:c r="D1824" s="3" t="str">
        <x:v>present</x:v>
      </x:c>
      <x:c r="E1824" s="5" t="str">
        <x:f>VLOOKUP(B1824,Sections!$A$5:$I$45,3,FALSE)</x:f>
        <x:v>2024-2</x:v>
      </x:c>
    </x:row>
    <x:row r="1825" ht="21" customHeight="1">
      <x:c r="A1825" s="3" t="str">
        <x:v>2201012</x:v>
      </x:c>
      <x:c r="B1825" s="3" t="str">
        <x:v>SEC018</x:v>
      </x:c>
      <x:c r="C1825" s="3" t="n">
        <x:v>6</x:v>
      </x:c>
      <x:c r="D1825" s="3" t="str">
        <x:v>present</x:v>
      </x:c>
      <x:c r="E1825" s="5" t="str">
        <x:f>VLOOKUP(B1825,Sections!$A$5:$I$45,3,FALSE)</x:f>
        <x:v>2024-2</x:v>
      </x:c>
    </x:row>
    <x:row r="1826" ht="21" customHeight="1">
      <x:c r="A1826" s="3" t="str">
        <x:v>2201012</x:v>
      </x:c>
      <x:c r="B1826" s="3" t="str">
        <x:v>SEC018</x:v>
      </x:c>
      <x:c r="C1826" s="3" t="n">
        <x:v>7</x:v>
      </x:c>
      <x:c r="D1826" s="3" t="str">
        <x:v>absent</x:v>
      </x:c>
      <x:c r="E1826" s="5" t="str">
        <x:f>VLOOKUP(B1826,Sections!$A$5:$I$45,3,FALSE)</x:f>
        <x:v>2024-2</x:v>
      </x:c>
    </x:row>
    <x:row r="1827" ht="21" customHeight="1">
      <x:c r="A1827" s="3" t="str">
        <x:v>2201012</x:v>
      </x:c>
      <x:c r="B1827" s="3" t="str">
        <x:v>SEC018</x:v>
      </x:c>
      <x:c r="C1827" s="3" t="n">
        <x:v>8</x:v>
      </x:c>
      <x:c r="D1827" s="3" t="str">
        <x:v>present</x:v>
      </x:c>
      <x:c r="E1827" s="5" t="str">
        <x:f>VLOOKUP(B1827,Sections!$A$5:$I$45,3,FALSE)</x:f>
        <x:v>2024-2</x:v>
      </x:c>
    </x:row>
    <x:row r="1828" ht="21" customHeight="1">
      <x:c r="A1828" s="3" t="str">
        <x:v>2201012</x:v>
      </x:c>
      <x:c r="B1828" s="3" t="str">
        <x:v>SEC018</x:v>
      </x:c>
      <x:c r="C1828" s="3" t="n">
        <x:v>9</x:v>
      </x:c>
      <x:c r="D1828" s="3" t="str">
        <x:v>present</x:v>
      </x:c>
      <x:c r="E1828" s="5" t="str">
        <x:f>VLOOKUP(B1828,Sections!$A$5:$I$45,3,FALSE)</x:f>
        <x:v>2024-2</x:v>
      </x:c>
    </x:row>
    <x:row r="1829" ht="21" customHeight="1">
      <x:c r="A1829" s="3" t="str">
        <x:v>2201012</x:v>
      </x:c>
      <x:c r="B1829" s="3" t="str">
        <x:v>SEC018</x:v>
      </x:c>
      <x:c r="C1829" s="3" t="n">
        <x:v>10</x:v>
      </x:c>
      <x:c r="D1829" s="3" t="str">
        <x:v>present</x:v>
      </x:c>
      <x:c r="E1829" s="5" t="str">
        <x:f>VLOOKUP(B1829,Sections!$A$5:$I$45,3,FALSE)</x:f>
        <x:v>2024-2</x:v>
      </x:c>
    </x:row>
    <x:row r="1830" ht="21" customHeight="1">
      <x:c r="A1830" s="3" t="str">
        <x:v>2201012</x:v>
      </x:c>
      <x:c r="B1830" s="3" t="str">
        <x:v>SEC018</x:v>
      </x:c>
      <x:c r="C1830" s="3" t="n">
        <x:v>11</x:v>
      </x:c>
      <x:c r="D1830" s="3" t="str">
        <x:v>present</x:v>
      </x:c>
      <x:c r="E1830" s="5" t="str">
        <x:f>VLOOKUP(B1830,Sections!$A$5:$I$45,3,FALSE)</x:f>
        <x:v>2024-2</x:v>
      </x:c>
    </x:row>
    <x:row r="1831" ht="21" customHeight="1">
      <x:c r="A1831" s="3" t="str">
        <x:v>2201012</x:v>
      </x:c>
      <x:c r="B1831" s="3" t="str">
        <x:v>SEC018</x:v>
      </x:c>
      <x:c r="C1831" s="3" t="n">
        <x:v>12</x:v>
      </x:c>
      <x:c r="D1831" s="3" t="str">
        <x:v>present</x:v>
      </x:c>
      <x:c r="E1831" s="5" t="str">
        <x:f>VLOOKUP(B1831,Sections!$A$5:$I$45,3,FALSE)</x:f>
        <x:v>2024-2</x:v>
      </x:c>
    </x:row>
    <x:row r="1832" ht="21" customHeight="1">
      <x:c r="A1832" s="3" t="str">
        <x:v>2201012</x:v>
      </x:c>
      <x:c r="B1832" s="3" t="str">
        <x:v>SEC018</x:v>
      </x:c>
      <x:c r="C1832" s="3" t="n">
        <x:v>13</x:v>
      </x:c>
      <x:c r="D1832" s="3" t="str">
        <x:v>present</x:v>
      </x:c>
      <x:c r="E1832" s="5" t="str">
        <x:f>VLOOKUP(B1832,Sections!$A$5:$I$45,3,FALSE)</x:f>
        <x:v>2024-2</x:v>
      </x:c>
    </x:row>
    <x:row r="1833" ht="21" customHeight="1">
      <x:c r="A1833" s="3" t="str">
        <x:v>2201012</x:v>
      </x:c>
      <x:c r="B1833" s="3" t="str">
        <x:v>SEC018</x:v>
      </x:c>
      <x:c r="C1833" s="3" t="n">
        <x:v>14</x:v>
      </x:c>
      <x:c r="D1833" s="3" t="str">
        <x:v>present</x:v>
      </x:c>
      <x:c r="E1833" s="5" t="str">
        <x:f>VLOOKUP(B1833,Sections!$A$5:$I$45,3,FALSE)</x:f>
        <x:v>2024-2</x:v>
      </x:c>
    </x:row>
    <x:row r="1834" ht="21" customHeight="1">
      <x:c r="A1834" s="3" t="str">
        <x:v>2201012</x:v>
      </x:c>
      <x:c r="B1834" s="3" t="str">
        <x:v>SEC018</x:v>
      </x:c>
      <x:c r="C1834" s="3" t="n">
        <x:v>15</x:v>
      </x:c>
      <x:c r="D1834" s="3" t="str">
        <x:v>present</x:v>
      </x:c>
      <x:c r="E1834" s="5" t="str">
        <x:f>VLOOKUP(B1834,Sections!$A$5:$I$45,3,FALSE)</x:f>
        <x:v>2024-2</x:v>
      </x:c>
    </x:row>
    <x:row r="1835" ht="21" customHeight="1">
      <x:c r="A1835" s="3" t="str">
        <x:v>2201013</x:v>
      </x:c>
      <x:c r="B1835" s="3" t="str">
        <x:v>SEC018</x:v>
      </x:c>
      <x:c r="C1835" s="3" t="n">
        <x:v>1</x:v>
      </x:c>
      <x:c r="D1835" s="3" t="str">
        <x:v>present</x:v>
      </x:c>
      <x:c r="E1835" s="5" t="str">
        <x:f>VLOOKUP(B1835,Sections!$A$5:$I$45,3,FALSE)</x:f>
        <x:v>2024-2</x:v>
      </x:c>
    </x:row>
    <x:row r="1836" ht="21" customHeight="1">
      <x:c r="A1836" s="3" t="str">
        <x:v>2201013</x:v>
      </x:c>
      <x:c r="B1836" s="3" t="str">
        <x:v>SEC018</x:v>
      </x:c>
      <x:c r="C1836" s="3" t="n">
        <x:v>2</x:v>
      </x:c>
      <x:c r="D1836" s="3" t="str">
        <x:v>present</x:v>
      </x:c>
      <x:c r="E1836" s="5" t="str">
        <x:f>VLOOKUP(B1836,Sections!$A$5:$I$45,3,FALSE)</x:f>
        <x:v>2024-2</x:v>
      </x:c>
    </x:row>
    <x:row r="1837" ht="21" customHeight="1">
      <x:c r="A1837" s="3" t="str">
        <x:v>2201013</x:v>
      </x:c>
      <x:c r="B1837" s="3" t="str">
        <x:v>SEC018</x:v>
      </x:c>
      <x:c r="C1837" s="3" t="n">
        <x:v>3</x:v>
      </x:c>
      <x:c r="D1837" s="3" t="str">
        <x:v>present</x:v>
      </x:c>
      <x:c r="E1837" s="5" t="str">
        <x:f>VLOOKUP(B1837,Sections!$A$5:$I$45,3,FALSE)</x:f>
        <x:v>2024-2</x:v>
      </x:c>
    </x:row>
    <x:row r="1838" ht="21" customHeight="1">
      <x:c r="A1838" s="3" t="str">
        <x:v>2201013</x:v>
      </x:c>
      <x:c r="B1838" s="3" t="str">
        <x:v>SEC018</x:v>
      </x:c>
      <x:c r="C1838" s="3" t="n">
        <x:v>4</x:v>
      </x:c>
      <x:c r="D1838" s="3" t="str">
        <x:v>present</x:v>
      </x:c>
      <x:c r="E1838" s="5" t="str">
        <x:f>VLOOKUP(B1838,Sections!$A$5:$I$45,3,FALSE)</x:f>
        <x:v>2024-2</x:v>
      </x:c>
    </x:row>
    <x:row r="1839" ht="21" customHeight="1">
      <x:c r="A1839" s="3" t="str">
        <x:v>2201013</x:v>
      </x:c>
      <x:c r="B1839" s="3" t="str">
        <x:v>SEC018</x:v>
      </x:c>
      <x:c r="C1839" s="3" t="n">
        <x:v>5</x:v>
      </x:c>
      <x:c r="D1839" s="3" t="str">
        <x:v>present</x:v>
      </x:c>
      <x:c r="E1839" s="5" t="str">
        <x:f>VLOOKUP(B1839,Sections!$A$5:$I$45,3,FALSE)</x:f>
        <x:v>2024-2</x:v>
      </x:c>
    </x:row>
    <x:row r="1840" ht="21" customHeight="1">
      <x:c r="A1840" s="3" t="str">
        <x:v>2201013</x:v>
      </x:c>
      <x:c r="B1840" s="3" t="str">
        <x:v>SEC018</x:v>
      </x:c>
      <x:c r="C1840" s="3" t="n">
        <x:v>6</x:v>
      </x:c>
      <x:c r="D1840" s="3" t="str">
        <x:v>present</x:v>
      </x:c>
      <x:c r="E1840" s="5" t="str">
        <x:f>VLOOKUP(B1840,Sections!$A$5:$I$45,3,FALSE)</x:f>
        <x:v>2024-2</x:v>
      </x:c>
    </x:row>
    <x:row r="1841" ht="21" customHeight="1">
      <x:c r="A1841" s="3" t="str">
        <x:v>2201013</x:v>
      </x:c>
      <x:c r="B1841" s="3" t="str">
        <x:v>SEC018</x:v>
      </x:c>
      <x:c r="C1841" s="3" t="n">
        <x:v>7</x:v>
      </x:c>
      <x:c r="D1841" s="3" t="str">
        <x:v>present</x:v>
      </x:c>
      <x:c r="E1841" s="5" t="str">
        <x:f>VLOOKUP(B1841,Sections!$A$5:$I$45,3,FALSE)</x:f>
        <x:v>2024-2</x:v>
      </x:c>
    </x:row>
    <x:row r="1842" ht="21" customHeight="1">
      <x:c r="A1842" s="3" t="str">
        <x:v>2201013</x:v>
      </x:c>
      <x:c r="B1842" s="3" t="str">
        <x:v>SEC018</x:v>
      </x:c>
      <x:c r="C1842" s="3" t="n">
        <x:v>8</x:v>
      </x:c>
      <x:c r="D1842" s="3" t="str">
        <x:v>present</x:v>
      </x:c>
      <x:c r="E1842" s="5" t="str">
        <x:f>VLOOKUP(B1842,Sections!$A$5:$I$45,3,FALSE)</x:f>
        <x:v>2024-2</x:v>
      </x:c>
    </x:row>
    <x:row r="1843" ht="21" customHeight="1">
      <x:c r="A1843" s="3" t="str">
        <x:v>2201013</x:v>
      </x:c>
      <x:c r="B1843" s="3" t="str">
        <x:v>SEC018</x:v>
      </x:c>
      <x:c r="C1843" s="3" t="n">
        <x:v>9</x:v>
      </x:c>
      <x:c r="D1843" s="3" t="str">
        <x:v>present</x:v>
      </x:c>
      <x:c r="E1843" s="5" t="str">
        <x:f>VLOOKUP(B1843,Sections!$A$5:$I$45,3,FALSE)</x:f>
        <x:v>2024-2</x:v>
      </x:c>
    </x:row>
    <x:row r="1844" ht="21" customHeight="1">
      <x:c r="A1844" s="3" t="str">
        <x:v>2201013</x:v>
      </x:c>
      <x:c r="B1844" s="3" t="str">
        <x:v>SEC018</x:v>
      </x:c>
      <x:c r="C1844" s="3" t="n">
        <x:v>10</x:v>
      </x:c>
      <x:c r="D1844" s="3" t="str">
        <x:v>present</x:v>
      </x:c>
      <x:c r="E1844" s="5" t="str">
        <x:f>VLOOKUP(B1844,Sections!$A$5:$I$45,3,FALSE)</x:f>
        <x:v>2024-2</x:v>
      </x:c>
    </x:row>
    <x:row r="1845" ht="21" customHeight="1">
      <x:c r="A1845" s="3" t="str">
        <x:v>2201013</x:v>
      </x:c>
      <x:c r="B1845" s="3" t="str">
        <x:v>SEC018</x:v>
      </x:c>
      <x:c r="C1845" s="3" t="n">
        <x:v>11</x:v>
      </x:c>
      <x:c r="D1845" s="3" t="str">
        <x:v>present</x:v>
      </x:c>
      <x:c r="E1845" s="5" t="str">
        <x:f>VLOOKUP(B1845,Sections!$A$5:$I$45,3,FALSE)</x:f>
        <x:v>2024-2</x:v>
      </x:c>
    </x:row>
    <x:row r="1846" ht="21" customHeight="1">
      <x:c r="A1846" s="3" t="str">
        <x:v>2201013</x:v>
      </x:c>
      <x:c r="B1846" s="3" t="str">
        <x:v>SEC018</x:v>
      </x:c>
      <x:c r="C1846" s="3" t="n">
        <x:v>12</x:v>
      </x:c>
      <x:c r="D1846" s="3" t="str">
        <x:v>present</x:v>
      </x:c>
      <x:c r="E1846" s="5" t="str">
        <x:f>VLOOKUP(B1846,Sections!$A$5:$I$45,3,FALSE)</x:f>
        <x:v>2024-2</x:v>
      </x:c>
    </x:row>
    <x:row r="1847" ht="21" customHeight="1">
      <x:c r="A1847" s="3" t="str">
        <x:v>2201013</x:v>
      </x:c>
      <x:c r="B1847" s="3" t="str">
        <x:v>SEC018</x:v>
      </x:c>
      <x:c r="C1847" s="3" t="n">
        <x:v>13</x:v>
      </x:c>
      <x:c r="D1847" s="3" t="str">
        <x:v>present</x:v>
      </x:c>
      <x:c r="E1847" s="5" t="str">
        <x:f>VLOOKUP(B1847,Sections!$A$5:$I$45,3,FALSE)</x:f>
        <x:v>2024-2</x:v>
      </x:c>
    </x:row>
    <x:row r="1848" ht="21" customHeight="1">
      <x:c r="A1848" s="3" t="str">
        <x:v>2201013</x:v>
      </x:c>
      <x:c r="B1848" s="3" t="str">
        <x:v>SEC018</x:v>
      </x:c>
      <x:c r="C1848" s="3" t="n">
        <x:v>14</x:v>
      </x:c>
      <x:c r="D1848" s="3" t="str">
        <x:v>present</x:v>
      </x:c>
      <x:c r="E1848" s="5" t="str">
        <x:f>VLOOKUP(B1848,Sections!$A$5:$I$45,3,FALSE)</x:f>
        <x:v>2024-2</x:v>
      </x:c>
    </x:row>
    <x:row r="1849" ht="21" customHeight="1">
      <x:c r="A1849" s="3" t="str">
        <x:v>2201013</x:v>
      </x:c>
      <x:c r="B1849" s="3" t="str">
        <x:v>SEC018</x:v>
      </x:c>
      <x:c r="C1849" s="3" t="n">
        <x:v>15</x:v>
      </x:c>
      <x:c r="D1849" s="3" t="str">
        <x:v>late</x:v>
      </x:c>
      <x:c r="E1849" s="5" t="str">
        <x:f>VLOOKUP(B1849,Sections!$A$5:$I$45,3,FALSE)</x:f>
        <x:v>2024-2</x:v>
      </x:c>
    </x:row>
    <x:row r="1850" ht="21" customHeight="1">
      <x:c r="A1850" s="3" t="str">
        <x:v>2201014</x:v>
      </x:c>
      <x:c r="B1850" s="3" t="str">
        <x:v>SEC018</x:v>
      </x:c>
      <x:c r="C1850" s="3" t="n">
        <x:v>1</x:v>
      </x:c>
      <x:c r="D1850" s="3" t="str">
        <x:v>present</x:v>
      </x:c>
      <x:c r="E1850" s="5" t="str">
        <x:f>VLOOKUP(B1850,Sections!$A$5:$I$45,3,FALSE)</x:f>
        <x:v>2024-2</x:v>
      </x:c>
    </x:row>
    <x:row r="1851" ht="21" customHeight="1">
      <x:c r="A1851" s="3" t="str">
        <x:v>2201014</x:v>
      </x:c>
      <x:c r="B1851" s="3" t="str">
        <x:v>SEC018</x:v>
      </x:c>
      <x:c r="C1851" s="3" t="n">
        <x:v>2</x:v>
      </x:c>
      <x:c r="D1851" s="3" t="str">
        <x:v>present</x:v>
      </x:c>
      <x:c r="E1851" s="5" t="str">
        <x:f>VLOOKUP(B1851,Sections!$A$5:$I$45,3,FALSE)</x:f>
        <x:v>2024-2</x:v>
      </x:c>
    </x:row>
    <x:row r="1852" ht="21" customHeight="1">
      <x:c r="A1852" s="3" t="str">
        <x:v>2201014</x:v>
      </x:c>
      <x:c r="B1852" s="3" t="str">
        <x:v>SEC018</x:v>
      </x:c>
      <x:c r="C1852" s="3" t="n">
        <x:v>3</x:v>
      </x:c>
      <x:c r="D1852" s="3" t="str">
        <x:v>present</x:v>
      </x:c>
      <x:c r="E1852" s="5" t="str">
        <x:f>VLOOKUP(B1852,Sections!$A$5:$I$45,3,FALSE)</x:f>
        <x:v>2024-2</x:v>
      </x:c>
    </x:row>
    <x:row r="1853" ht="21" customHeight="1">
      <x:c r="A1853" s="3" t="str">
        <x:v>2201014</x:v>
      </x:c>
      <x:c r="B1853" s="3" t="str">
        <x:v>SEC018</x:v>
      </x:c>
      <x:c r="C1853" s="3" t="n">
        <x:v>4</x:v>
      </x:c>
      <x:c r="D1853" s="3" t="str">
        <x:v>present</x:v>
      </x:c>
      <x:c r="E1853" s="5" t="str">
        <x:f>VLOOKUP(B1853,Sections!$A$5:$I$45,3,FALSE)</x:f>
        <x:v>2024-2</x:v>
      </x:c>
    </x:row>
    <x:row r="1854" ht="21" customHeight="1">
      <x:c r="A1854" s="3" t="str">
        <x:v>2201014</x:v>
      </x:c>
      <x:c r="B1854" s="3" t="str">
        <x:v>SEC018</x:v>
      </x:c>
      <x:c r="C1854" s="3" t="n">
        <x:v>5</x:v>
      </x:c>
      <x:c r="D1854" s="3" t="str">
        <x:v>present</x:v>
      </x:c>
      <x:c r="E1854" s="5" t="str">
        <x:f>VLOOKUP(B1854,Sections!$A$5:$I$45,3,FALSE)</x:f>
        <x:v>2024-2</x:v>
      </x:c>
    </x:row>
    <x:row r="1855" ht="21" customHeight="1">
      <x:c r="A1855" s="3" t="str">
        <x:v>2201014</x:v>
      </x:c>
      <x:c r="B1855" s="3" t="str">
        <x:v>SEC018</x:v>
      </x:c>
      <x:c r="C1855" s="3" t="n">
        <x:v>6</x:v>
      </x:c>
      <x:c r="D1855" s="3" t="str">
        <x:v>present</x:v>
      </x:c>
      <x:c r="E1855" s="5" t="str">
        <x:f>VLOOKUP(B1855,Sections!$A$5:$I$45,3,FALSE)</x:f>
        <x:v>2024-2</x:v>
      </x:c>
    </x:row>
    <x:row r="1856" ht="21" customHeight="1">
      <x:c r="A1856" s="3" t="str">
        <x:v>2201014</x:v>
      </x:c>
      <x:c r="B1856" s="3" t="str">
        <x:v>SEC018</x:v>
      </x:c>
      <x:c r="C1856" s="3" t="n">
        <x:v>7</x:v>
      </x:c>
      <x:c r="D1856" s="3" t="str">
        <x:v>present</x:v>
      </x:c>
      <x:c r="E1856" s="5" t="str">
        <x:f>VLOOKUP(B1856,Sections!$A$5:$I$45,3,FALSE)</x:f>
        <x:v>2024-2</x:v>
      </x:c>
    </x:row>
    <x:row r="1857" ht="21" customHeight="1">
      <x:c r="A1857" s="3" t="str">
        <x:v>2201014</x:v>
      </x:c>
      <x:c r="B1857" s="3" t="str">
        <x:v>SEC018</x:v>
      </x:c>
      <x:c r="C1857" s="3" t="n">
        <x:v>8</x:v>
      </x:c>
      <x:c r="D1857" s="3" t="str">
        <x:v>present</x:v>
      </x:c>
      <x:c r="E1857" s="5" t="str">
        <x:f>VLOOKUP(B1857,Sections!$A$5:$I$45,3,FALSE)</x:f>
        <x:v>2024-2</x:v>
      </x:c>
    </x:row>
    <x:row r="1858" ht="21" customHeight="1">
      <x:c r="A1858" s="3" t="str">
        <x:v>2201014</x:v>
      </x:c>
      <x:c r="B1858" s="3" t="str">
        <x:v>SEC018</x:v>
      </x:c>
      <x:c r="C1858" s="3" t="n">
        <x:v>9</x:v>
      </x:c>
      <x:c r="D1858" s="3" t="str">
        <x:v>present</x:v>
      </x:c>
      <x:c r="E1858" s="5" t="str">
        <x:f>VLOOKUP(B1858,Sections!$A$5:$I$45,3,FALSE)</x:f>
        <x:v>2024-2</x:v>
      </x:c>
    </x:row>
    <x:row r="1859" ht="21" customHeight="1">
      <x:c r="A1859" s="3" t="str">
        <x:v>2201014</x:v>
      </x:c>
      <x:c r="B1859" s="3" t="str">
        <x:v>SEC018</x:v>
      </x:c>
      <x:c r="C1859" s="3" t="n">
        <x:v>10</x:v>
      </x:c>
      <x:c r="D1859" s="3" t="str">
        <x:v>present</x:v>
      </x:c>
      <x:c r="E1859" s="5" t="str">
        <x:f>VLOOKUP(B1859,Sections!$A$5:$I$45,3,FALSE)</x:f>
        <x:v>2024-2</x:v>
      </x:c>
    </x:row>
    <x:row r="1860" ht="21" customHeight="1">
      <x:c r="A1860" s="3" t="str">
        <x:v>2201014</x:v>
      </x:c>
      <x:c r="B1860" s="3" t="str">
        <x:v>SEC018</x:v>
      </x:c>
      <x:c r="C1860" s="3" t="n">
        <x:v>11</x:v>
      </x:c>
      <x:c r="D1860" s="3" t="str">
        <x:v>present</x:v>
      </x:c>
      <x:c r="E1860" s="5" t="str">
        <x:f>VLOOKUP(B1860,Sections!$A$5:$I$45,3,FALSE)</x:f>
        <x:v>2024-2</x:v>
      </x:c>
    </x:row>
    <x:row r="1861" ht="21" customHeight="1">
      <x:c r="A1861" s="3" t="str">
        <x:v>2201014</x:v>
      </x:c>
      <x:c r="B1861" s="3" t="str">
        <x:v>SEC018</x:v>
      </x:c>
      <x:c r="C1861" s="3" t="n">
        <x:v>12</x:v>
      </x:c>
      <x:c r="D1861" s="3" t="str">
        <x:v>present</x:v>
      </x:c>
      <x:c r="E1861" s="5" t="str">
        <x:f>VLOOKUP(B1861,Sections!$A$5:$I$45,3,FALSE)</x:f>
        <x:v>2024-2</x:v>
      </x:c>
    </x:row>
    <x:row r="1862" ht="21" customHeight="1">
      <x:c r="A1862" s="3" t="str">
        <x:v>2201014</x:v>
      </x:c>
      <x:c r="B1862" s="3" t="str">
        <x:v>SEC018</x:v>
      </x:c>
      <x:c r="C1862" s="3" t="n">
        <x:v>13</x:v>
      </x:c>
      <x:c r="D1862" s="3" t="str">
        <x:v>present</x:v>
      </x:c>
      <x:c r="E1862" s="5" t="str">
        <x:f>VLOOKUP(B1862,Sections!$A$5:$I$45,3,FALSE)</x:f>
        <x:v>2024-2</x:v>
      </x:c>
    </x:row>
    <x:row r="1863" ht="21" customHeight="1">
      <x:c r="A1863" s="3" t="str">
        <x:v>2201014</x:v>
      </x:c>
      <x:c r="B1863" s="3" t="str">
        <x:v>SEC018</x:v>
      </x:c>
      <x:c r="C1863" s="3" t="n">
        <x:v>14</x:v>
      </x:c>
      <x:c r="D1863" s="3" t="str">
        <x:v>present</x:v>
      </x:c>
      <x:c r="E1863" s="5" t="str">
        <x:f>VLOOKUP(B1863,Sections!$A$5:$I$45,3,FALSE)</x:f>
        <x:v>2024-2</x:v>
      </x:c>
    </x:row>
    <x:row r="1864" ht="21" customHeight="1">
      <x:c r="A1864" s="3" t="str">
        <x:v>2201014</x:v>
      </x:c>
      <x:c r="B1864" s="3" t="str">
        <x:v>SEC018</x:v>
      </x:c>
      <x:c r="C1864" s="3" t="n">
        <x:v>15</x:v>
      </x:c>
      <x:c r="D1864" s="3" t="str">
        <x:v>absent</x:v>
      </x:c>
      <x:c r="E1864" s="5" t="str">
        <x:f>VLOOKUP(B1864,Sections!$A$5:$I$45,3,FALSE)</x:f>
        <x:v>2024-2</x:v>
      </x:c>
    </x:row>
    <x:row r="1865" ht="21" customHeight="1">
      <x:c r="A1865" s="3" t="str">
        <x:v>2201015</x:v>
      </x:c>
      <x:c r="B1865" s="3" t="str">
        <x:v>SEC018</x:v>
      </x:c>
      <x:c r="C1865" s="3" t="n">
        <x:v>1</x:v>
      </x:c>
      <x:c r="D1865" s="3" t="str">
        <x:v>present</x:v>
      </x:c>
      <x:c r="E1865" s="5" t="str">
        <x:f>VLOOKUP(B1865,Sections!$A$5:$I$45,3,FALSE)</x:f>
        <x:v>2024-2</x:v>
      </x:c>
    </x:row>
    <x:row r="1866" ht="21" customHeight="1">
      <x:c r="A1866" s="3" t="str">
        <x:v>2201015</x:v>
      </x:c>
      <x:c r="B1866" s="3" t="str">
        <x:v>SEC018</x:v>
      </x:c>
      <x:c r="C1866" s="3" t="n">
        <x:v>2</x:v>
      </x:c>
      <x:c r="D1866" s="3" t="str">
        <x:v>present</x:v>
      </x:c>
      <x:c r="E1866" s="5" t="str">
        <x:f>VLOOKUP(B1866,Sections!$A$5:$I$45,3,FALSE)</x:f>
        <x:v>2024-2</x:v>
      </x:c>
    </x:row>
    <x:row r="1867" ht="21" customHeight="1">
      <x:c r="A1867" s="3" t="str">
        <x:v>2201015</x:v>
      </x:c>
      <x:c r="B1867" s="3" t="str">
        <x:v>SEC018</x:v>
      </x:c>
      <x:c r="C1867" s="3" t="n">
        <x:v>3</x:v>
      </x:c>
      <x:c r="D1867" s="3" t="str">
        <x:v>present</x:v>
      </x:c>
      <x:c r="E1867" s="5" t="str">
        <x:f>VLOOKUP(B1867,Sections!$A$5:$I$45,3,FALSE)</x:f>
        <x:v>2024-2</x:v>
      </x:c>
    </x:row>
    <x:row r="1868" ht="21" customHeight="1">
      <x:c r="A1868" s="3" t="str">
        <x:v>2201015</x:v>
      </x:c>
      <x:c r="B1868" s="3" t="str">
        <x:v>SEC018</x:v>
      </x:c>
      <x:c r="C1868" s="3" t="n">
        <x:v>4</x:v>
      </x:c>
      <x:c r="D1868" s="3" t="str">
        <x:v>absent</x:v>
      </x:c>
      <x:c r="E1868" s="5" t="str">
        <x:f>VLOOKUP(B1868,Sections!$A$5:$I$45,3,FALSE)</x:f>
        <x:v>2024-2</x:v>
      </x:c>
    </x:row>
    <x:row r="1869" ht="21" customHeight="1">
      <x:c r="A1869" s="3" t="str">
        <x:v>2201015</x:v>
      </x:c>
      <x:c r="B1869" s="3" t="str">
        <x:v>SEC018</x:v>
      </x:c>
      <x:c r="C1869" s="3" t="n">
        <x:v>5</x:v>
      </x:c>
      <x:c r="D1869" s="3" t="str">
        <x:v>present</x:v>
      </x:c>
      <x:c r="E1869" s="5" t="str">
        <x:f>VLOOKUP(B1869,Sections!$A$5:$I$45,3,FALSE)</x:f>
        <x:v>2024-2</x:v>
      </x:c>
    </x:row>
    <x:row r="1870" ht="21" customHeight="1">
      <x:c r="A1870" s="3" t="str">
        <x:v>2201015</x:v>
      </x:c>
      <x:c r="B1870" s="3" t="str">
        <x:v>SEC018</x:v>
      </x:c>
      <x:c r="C1870" s="3" t="n">
        <x:v>6</x:v>
      </x:c>
      <x:c r="D1870" s="3" t="str">
        <x:v>present</x:v>
      </x:c>
      <x:c r="E1870" s="5" t="str">
        <x:f>VLOOKUP(B1870,Sections!$A$5:$I$45,3,FALSE)</x:f>
        <x:v>2024-2</x:v>
      </x:c>
    </x:row>
    <x:row r="1871" ht="21" customHeight="1">
      <x:c r="A1871" s="3" t="str">
        <x:v>2201015</x:v>
      </x:c>
      <x:c r="B1871" s="3" t="str">
        <x:v>SEC018</x:v>
      </x:c>
      <x:c r="C1871" s="3" t="n">
        <x:v>7</x:v>
      </x:c>
      <x:c r="D1871" s="3" t="str">
        <x:v>present</x:v>
      </x:c>
      <x:c r="E1871" s="5" t="str">
        <x:f>VLOOKUP(B1871,Sections!$A$5:$I$45,3,FALSE)</x:f>
        <x:v>2024-2</x:v>
      </x:c>
    </x:row>
    <x:row r="1872" ht="21" customHeight="1">
      <x:c r="A1872" s="3" t="str">
        <x:v>2201015</x:v>
      </x:c>
      <x:c r="B1872" s="3" t="str">
        <x:v>SEC018</x:v>
      </x:c>
      <x:c r="C1872" s="3" t="n">
        <x:v>8</x:v>
      </x:c>
      <x:c r="D1872" s="3" t="str">
        <x:v>absent</x:v>
      </x:c>
      <x:c r="E1872" s="5" t="str">
        <x:f>VLOOKUP(B1872,Sections!$A$5:$I$45,3,FALSE)</x:f>
        <x:v>2024-2</x:v>
      </x:c>
    </x:row>
    <x:row r="1873" ht="21" customHeight="1">
      <x:c r="A1873" s="3" t="str">
        <x:v>2201015</x:v>
      </x:c>
      <x:c r="B1873" s="3" t="str">
        <x:v>SEC018</x:v>
      </x:c>
      <x:c r="C1873" s="3" t="n">
        <x:v>9</x:v>
      </x:c>
      <x:c r="D1873" s="3" t="str">
        <x:v>absent</x:v>
      </x:c>
      <x:c r="E1873" s="5" t="str">
        <x:f>VLOOKUP(B1873,Sections!$A$5:$I$45,3,FALSE)</x:f>
        <x:v>2024-2</x:v>
      </x:c>
    </x:row>
    <x:row r="1874" ht="21" customHeight="1">
      <x:c r="A1874" s="3" t="str">
        <x:v>2201015</x:v>
      </x:c>
      <x:c r="B1874" s="3" t="str">
        <x:v>SEC018</x:v>
      </x:c>
      <x:c r="C1874" s="3" t="n">
        <x:v>10</x:v>
      </x:c>
      <x:c r="D1874" s="3" t="str">
        <x:v>present</x:v>
      </x:c>
      <x:c r="E1874" s="5" t="str">
        <x:f>VLOOKUP(B1874,Sections!$A$5:$I$45,3,FALSE)</x:f>
        <x:v>2024-2</x:v>
      </x:c>
    </x:row>
    <x:row r="1875" ht="21" customHeight="1">
      <x:c r="A1875" s="3" t="str">
        <x:v>2201015</x:v>
      </x:c>
      <x:c r="B1875" s="3" t="str">
        <x:v>SEC018</x:v>
      </x:c>
      <x:c r="C1875" s="3" t="n">
        <x:v>11</x:v>
      </x:c>
      <x:c r="D1875" s="3" t="str">
        <x:v>late</x:v>
      </x:c>
      <x:c r="E1875" s="5" t="str">
        <x:f>VLOOKUP(B1875,Sections!$A$5:$I$45,3,FALSE)</x:f>
        <x:v>2024-2</x:v>
      </x:c>
    </x:row>
    <x:row r="1876" ht="21" customHeight="1">
      <x:c r="A1876" s="3" t="str">
        <x:v>2201015</x:v>
      </x:c>
      <x:c r="B1876" s="3" t="str">
        <x:v>SEC018</x:v>
      </x:c>
      <x:c r="C1876" s="3" t="n">
        <x:v>12</x:v>
      </x:c>
      <x:c r="D1876" s="3" t="str">
        <x:v>present</x:v>
      </x:c>
      <x:c r="E1876" s="5" t="str">
        <x:f>VLOOKUP(B1876,Sections!$A$5:$I$45,3,FALSE)</x:f>
        <x:v>2024-2</x:v>
      </x:c>
    </x:row>
    <x:row r="1877" ht="21" customHeight="1">
      <x:c r="A1877" s="3" t="str">
        <x:v>2201015</x:v>
      </x:c>
      <x:c r="B1877" s="3" t="str">
        <x:v>SEC018</x:v>
      </x:c>
      <x:c r="C1877" s="3" t="n">
        <x:v>13</x:v>
      </x:c>
      <x:c r="D1877" s="3" t="str">
        <x:v>present</x:v>
      </x:c>
      <x:c r="E1877" s="5" t="str">
        <x:f>VLOOKUP(B1877,Sections!$A$5:$I$45,3,FALSE)</x:f>
        <x:v>2024-2</x:v>
      </x:c>
    </x:row>
    <x:row r="1878" ht="21" customHeight="1">
      <x:c r="A1878" s="3" t="str">
        <x:v>2201015</x:v>
      </x:c>
      <x:c r="B1878" s="3" t="str">
        <x:v>SEC018</x:v>
      </x:c>
      <x:c r="C1878" s="3" t="n">
        <x:v>14</x:v>
      </x:c>
      <x:c r="D1878" s="3" t="str">
        <x:v>present</x:v>
      </x:c>
      <x:c r="E1878" s="5" t="str">
        <x:f>VLOOKUP(B1878,Sections!$A$5:$I$45,3,FALSE)</x:f>
        <x:v>2024-2</x:v>
      </x:c>
    </x:row>
    <x:row r="1879" ht="21" customHeight="1">
      <x:c r="A1879" s="3" t="str">
        <x:v>2201015</x:v>
      </x:c>
      <x:c r="B1879" s="3" t="str">
        <x:v>SEC018</x:v>
      </x:c>
      <x:c r="C1879" s="3" t="n">
        <x:v>15</x:v>
      </x:c>
      <x:c r="D1879" s="3" t="str">
        <x:v>present</x:v>
      </x:c>
      <x:c r="E1879" s="5" t="str">
        <x:f>VLOOKUP(B1879,Sections!$A$5:$I$45,3,FALSE)</x:f>
        <x:v>2024-2</x:v>
      </x:c>
    </x:row>
    <x:row r="1880" ht="21" customHeight="1">
      <x:c r="A1880" s="3" t="str">
        <x:v>2201016</x:v>
      </x:c>
      <x:c r="B1880" s="3" t="str">
        <x:v>SEC018</x:v>
      </x:c>
      <x:c r="C1880" s="3" t="n">
        <x:v>1</x:v>
      </x:c>
      <x:c r="D1880" s="3" t="str">
        <x:v>present</x:v>
      </x:c>
      <x:c r="E1880" s="5" t="str">
        <x:f>VLOOKUP(B1880,Sections!$A$5:$I$45,3,FALSE)</x:f>
        <x:v>2024-2</x:v>
      </x:c>
    </x:row>
    <x:row r="1881" ht="21" customHeight="1">
      <x:c r="A1881" s="3" t="str">
        <x:v>2201016</x:v>
      </x:c>
      <x:c r="B1881" s="3" t="str">
        <x:v>SEC018</x:v>
      </x:c>
      <x:c r="C1881" s="3" t="n">
        <x:v>2</x:v>
      </x:c>
      <x:c r="D1881" s="3" t="str">
        <x:v>present</x:v>
      </x:c>
      <x:c r="E1881" s="5" t="str">
        <x:f>VLOOKUP(B1881,Sections!$A$5:$I$45,3,FALSE)</x:f>
        <x:v>2024-2</x:v>
      </x:c>
    </x:row>
    <x:row r="1882" ht="21" customHeight="1">
      <x:c r="A1882" s="3" t="str">
        <x:v>2201016</x:v>
      </x:c>
      <x:c r="B1882" s="3" t="str">
        <x:v>SEC018</x:v>
      </x:c>
      <x:c r="C1882" s="3" t="n">
        <x:v>3</x:v>
      </x:c>
      <x:c r="D1882" s="3" t="str">
        <x:v>present</x:v>
      </x:c>
      <x:c r="E1882" s="5" t="str">
        <x:f>VLOOKUP(B1882,Sections!$A$5:$I$45,3,FALSE)</x:f>
        <x:v>2024-2</x:v>
      </x:c>
    </x:row>
    <x:row r="1883" ht="21" customHeight="1">
      <x:c r="A1883" s="3" t="str">
        <x:v>2201016</x:v>
      </x:c>
      <x:c r="B1883" s="3" t="str">
        <x:v>SEC018</x:v>
      </x:c>
      <x:c r="C1883" s="3" t="n">
        <x:v>4</x:v>
      </x:c>
      <x:c r="D1883" s="3" t="str">
        <x:v>present</x:v>
      </x:c>
      <x:c r="E1883" s="5" t="str">
        <x:f>VLOOKUP(B1883,Sections!$A$5:$I$45,3,FALSE)</x:f>
        <x:v>2024-2</x:v>
      </x:c>
    </x:row>
    <x:row r="1884" ht="21" customHeight="1">
      <x:c r="A1884" s="3" t="str">
        <x:v>2201016</x:v>
      </x:c>
      <x:c r="B1884" s="3" t="str">
        <x:v>SEC018</x:v>
      </x:c>
      <x:c r="C1884" s="3" t="n">
        <x:v>5</x:v>
      </x:c>
      <x:c r="D1884" s="3" t="str">
        <x:v>present</x:v>
      </x:c>
      <x:c r="E1884" s="5" t="str">
        <x:f>VLOOKUP(B1884,Sections!$A$5:$I$45,3,FALSE)</x:f>
        <x:v>2024-2</x:v>
      </x:c>
    </x:row>
    <x:row r="1885" ht="21" customHeight="1">
      <x:c r="A1885" s="3" t="str">
        <x:v>2201016</x:v>
      </x:c>
      <x:c r="B1885" s="3" t="str">
        <x:v>SEC018</x:v>
      </x:c>
      <x:c r="C1885" s="3" t="n">
        <x:v>6</x:v>
      </x:c>
      <x:c r="D1885" s="3" t="str">
        <x:v>present</x:v>
      </x:c>
      <x:c r="E1885" s="5" t="str">
        <x:f>VLOOKUP(B1885,Sections!$A$5:$I$45,3,FALSE)</x:f>
        <x:v>2024-2</x:v>
      </x:c>
    </x:row>
    <x:row r="1886" ht="21" customHeight="1">
      <x:c r="A1886" s="3" t="str">
        <x:v>2201016</x:v>
      </x:c>
      <x:c r="B1886" s="3" t="str">
        <x:v>SEC018</x:v>
      </x:c>
      <x:c r="C1886" s="3" t="n">
        <x:v>7</x:v>
      </x:c>
      <x:c r="D1886" s="3" t="str">
        <x:v>absent</x:v>
      </x:c>
      <x:c r="E1886" s="5" t="str">
        <x:f>VLOOKUP(B1886,Sections!$A$5:$I$45,3,FALSE)</x:f>
        <x:v>2024-2</x:v>
      </x:c>
    </x:row>
    <x:row r="1887" ht="21" customHeight="1">
      <x:c r="A1887" s="3" t="str">
        <x:v>2201016</x:v>
      </x:c>
      <x:c r="B1887" s="3" t="str">
        <x:v>SEC018</x:v>
      </x:c>
      <x:c r="C1887" s="3" t="n">
        <x:v>8</x:v>
      </x:c>
      <x:c r="D1887" s="3" t="str">
        <x:v>present</x:v>
      </x:c>
      <x:c r="E1887" s="5" t="str">
        <x:f>VLOOKUP(B1887,Sections!$A$5:$I$45,3,FALSE)</x:f>
        <x:v>2024-2</x:v>
      </x:c>
    </x:row>
    <x:row r="1888" ht="21" customHeight="1">
      <x:c r="A1888" s="3" t="str">
        <x:v>2201016</x:v>
      </x:c>
      <x:c r="B1888" s="3" t="str">
        <x:v>SEC018</x:v>
      </x:c>
      <x:c r="C1888" s="3" t="n">
        <x:v>9</x:v>
      </x:c>
      <x:c r="D1888" s="3" t="str">
        <x:v>present</x:v>
      </x:c>
      <x:c r="E1888" s="5" t="str">
        <x:f>VLOOKUP(B1888,Sections!$A$5:$I$45,3,FALSE)</x:f>
        <x:v>2024-2</x:v>
      </x:c>
    </x:row>
    <x:row r="1889" ht="21" customHeight="1">
      <x:c r="A1889" s="3" t="str">
        <x:v>2201016</x:v>
      </x:c>
      <x:c r="B1889" s="3" t="str">
        <x:v>SEC018</x:v>
      </x:c>
      <x:c r="C1889" s="3" t="n">
        <x:v>10</x:v>
      </x:c>
      <x:c r="D1889" s="3" t="str">
        <x:v>present</x:v>
      </x:c>
      <x:c r="E1889" s="5" t="str">
        <x:f>VLOOKUP(B1889,Sections!$A$5:$I$45,3,FALSE)</x:f>
        <x:v>2024-2</x:v>
      </x:c>
    </x:row>
    <x:row r="1890" ht="21" customHeight="1">
      <x:c r="A1890" s="3" t="str">
        <x:v>2201016</x:v>
      </x:c>
      <x:c r="B1890" s="3" t="str">
        <x:v>SEC018</x:v>
      </x:c>
      <x:c r="C1890" s="3" t="n">
        <x:v>11</x:v>
      </x:c>
      <x:c r="D1890" s="3" t="str">
        <x:v>present</x:v>
      </x:c>
      <x:c r="E1890" s="5" t="str">
        <x:f>VLOOKUP(B1890,Sections!$A$5:$I$45,3,FALSE)</x:f>
        <x:v>2024-2</x:v>
      </x:c>
    </x:row>
    <x:row r="1891" ht="21" customHeight="1">
      <x:c r="A1891" s="3" t="str">
        <x:v>2201016</x:v>
      </x:c>
      <x:c r="B1891" s="3" t="str">
        <x:v>SEC018</x:v>
      </x:c>
      <x:c r="C1891" s="3" t="n">
        <x:v>12</x:v>
      </x:c>
      <x:c r="D1891" s="3" t="str">
        <x:v>present</x:v>
      </x:c>
      <x:c r="E1891" s="5" t="str">
        <x:f>VLOOKUP(B1891,Sections!$A$5:$I$45,3,FALSE)</x:f>
        <x:v>2024-2</x:v>
      </x:c>
    </x:row>
    <x:row r="1892" ht="21" customHeight="1">
      <x:c r="A1892" s="3" t="str">
        <x:v>2201016</x:v>
      </x:c>
      <x:c r="B1892" s="3" t="str">
        <x:v>SEC018</x:v>
      </x:c>
      <x:c r="C1892" s="3" t="n">
        <x:v>13</x:v>
      </x:c>
      <x:c r="D1892" s="3" t="str">
        <x:v>present</x:v>
      </x:c>
      <x:c r="E1892" s="5" t="str">
        <x:f>VLOOKUP(B1892,Sections!$A$5:$I$45,3,FALSE)</x:f>
        <x:v>2024-2</x:v>
      </x:c>
    </x:row>
    <x:row r="1893" ht="21" customHeight="1">
      <x:c r="A1893" s="3" t="str">
        <x:v>2201016</x:v>
      </x:c>
      <x:c r="B1893" s="3" t="str">
        <x:v>SEC018</x:v>
      </x:c>
      <x:c r="C1893" s="3" t="n">
        <x:v>14</x:v>
      </x:c>
      <x:c r="D1893" s="3" t="str">
        <x:v>present</x:v>
      </x:c>
      <x:c r="E1893" s="5" t="str">
        <x:f>VLOOKUP(B1893,Sections!$A$5:$I$45,3,FALSE)</x:f>
        <x:v>2024-2</x:v>
      </x:c>
    </x:row>
    <x:row r="1894" ht="21" customHeight="1">
      <x:c r="A1894" s="3" t="str">
        <x:v>2201016</x:v>
      </x:c>
      <x:c r="B1894" s="3" t="str">
        <x:v>SEC018</x:v>
      </x:c>
      <x:c r="C1894" s="3" t="n">
        <x:v>15</x:v>
      </x:c>
      <x:c r="D1894" s="3" t="str">
        <x:v>present</x:v>
      </x:c>
      <x:c r="E1894" s="5" t="str">
        <x:f>VLOOKUP(B1894,Sections!$A$5:$I$45,3,FALSE)</x:f>
        <x:v>2024-2</x:v>
      </x:c>
    </x:row>
    <x:row r="1895" ht="21" customHeight="1">
      <x:c r="A1895" s="3" t="str">
        <x:v>2201017</x:v>
      </x:c>
      <x:c r="B1895" s="3" t="str">
        <x:v>SEC018</x:v>
      </x:c>
      <x:c r="C1895" s="3" t="n">
        <x:v>1</x:v>
      </x:c>
      <x:c r="D1895" s="3" t="str">
        <x:v>present</x:v>
      </x:c>
      <x:c r="E1895" s="5" t="str">
        <x:f>VLOOKUP(B1895,Sections!$A$5:$I$45,3,FALSE)</x:f>
        <x:v>2024-2</x:v>
      </x:c>
    </x:row>
    <x:row r="1896" ht="21" customHeight="1">
      <x:c r="A1896" s="3" t="str">
        <x:v>2201017</x:v>
      </x:c>
      <x:c r="B1896" s="3" t="str">
        <x:v>SEC018</x:v>
      </x:c>
      <x:c r="C1896" s="3" t="n">
        <x:v>2</x:v>
      </x:c>
      <x:c r="D1896" s="3" t="str">
        <x:v>present</x:v>
      </x:c>
      <x:c r="E1896" s="5" t="str">
        <x:f>VLOOKUP(B1896,Sections!$A$5:$I$45,3,FALSE)</x:f>
        <x:v>2024-2</x:v>
      </x:c>
    </x:row>
    <x:row r="1897" ht="21" customHeight="1">
      <x:c r="A1897" s="3" t="str">
        <x:v>2201017</x:v>
      </x:c>
      <x:c r="B1897" s="3" t="str">
        <x:v>SEC018</x:v>
      </x:c>
      <x:c r="C1897" s="3" t="n">
        <x:v>3</x:v>
      </x:c>
      <x:c r="D1897" s="3" t="str">
        <x:v>absent</x:v>
      </x:c>
      <x:c r="E1897" s="5" t="str">
        <x:f>VLOOKUP(B1897,Sections!$A$5:$I$45,3,FALSE)</x:f>
        <x:v>2024-2</x:v>
      </x:c>
    </x:row>
    <x:row r="1898" ht="21" customHeight="1">
      <x:c r="A1898" s="3" t="str">
        <x:v>2201017</x:v>
      </x:c>
      <x:c r="B1898" s="3" t="str">
        <x:v>SEC018</x:v>
      </x:c>
      <x:c r="C1898" s="3" t="n">
        <x:v>4</x:v>
      </x:c>
      <x:c r="D1898" s="3" t="str">
        <x:v>present</x:v>
      </x:c>
      <x:c r="E1898" s="5" t="str">
        <x:f>VLOOKUP(B1898,Sections!$A$5:$I$45,3,FALSE)</x:f>
        <x:v>2024-2</x:v>
      </x:c>
    </x:row>
    <x:row r="1899" ht="21" customHeight="1">
      <x:c r="A1899" s="3" t="str">
        <x:v>2201017</x:v>
      </x:c>
      <x:c r="B1899" s="3" t="str">
        <x:v>SEC018</x:v>
      </x:c>
      <x:c r="C1899" s="3" t="n">
        <x:v>5</x:v>
      </x:c>
      <x:c r="D1899" s="3" t="str">
        <x:v>present</x:v>
      </x:c>
      <x:c r="E1899" s="5" t="str">
        <x:f>VLOOKUP(B1899,Sections!$A$5:$I$45,3,FALSE)</x:f>
        <x:v>2024-2</x:v>
      </x:c>
    </x:row>
    <x:row r="1900" ht="21" customHeight="1">
      <x:c r="A1900" s="3" t="str">
        <x:v>2201017</x:v>
      </x:c>
      <x:c r="B1900" s="3" t="str">
        <x:v>SEC018</x:v>
      </x:c>
      <x:c r="C1900" s="3" t="n">
        <x:v>6</x:v>
      </x:c>
      <x:c r="D1900" s="3" t="str">
        <x:v>present</x:v>
      </x:c>
      <x:c r="E1900" s="5" t="str">
        <x:f>VLOOKUP(B1900,Sections!$A$5:$I$45,3,FALSE)</x:f>
        <x:v>2024-2</x:v>
      </x:c>
    </x:row>
    <x:row r="1901" ht="21" customHeight="1">
      <x:c r="A1901" s="3" t="str">
        <x:v>2201017</x:v>
      </x:c>
      <x:c r="B1901" s="3" t="str">
        <x:v>SEC018</x:v>
      </x:c>
      <x:c r="C1901" s="3" t="n">
        <x:v>7</x:v>
      </x:c>
      <x:c r="D1901" s="3" t="str">
        <x:v>late</x:v>
      </x:c>
      <x:c r="E1901" s="5" t="str">
        <x:f>VLOOKUP(B1901,Sections!$A$5:$I$45,3,FALSE)</x:f>
        <x:v>2024-2</x:v>
      </x:c>
    </x:row>
    <x:row r="1902" ht="21" customHeight="1">
      <x:c r="A1902" s="3" t="str">
        <x:v>2201017</x:v>
      </x:c>
      <x:c r="B1902" s="3" t="str">
        <x:v>SEC018</x:v>
      </x:c>
      <x:c r="C1902" s="3" t="n">
        <x:v>8</x:v>
      </x:c>
      <x:c r="D1902" s="3" t="str">
        <x:v>present</x:v>
      </x:c>
      <x:c r="E1902" s="5" t="str">
        <x:f>VLOOKUP(B1902,Sections!$A$5:$I$45,3,FALSE)</x:f>
        <x:v>2024-2</x:v>
      </x:c>
    </x:row>
    <x:row r="1903" ht="21" customHeight="1">
      <x:c r="A1903" s="3" t="str">
        <x:v>2201017</x:v>
      </x:c>
      <x:c r="B1903" s="3" t="str">
        <x:v>SEC018</x:v>
      </x:c>
      <x:c r="C1903" s="3" t="n">
        <x:v>9</x:v>
      </x:c>
      <x:c r="D1903" s="3" t="str">
        <x:v>present</x:v>
      </x:c>
      <x:c r="E1903" s="5" t="str">
        <x:f>VLOOKUP(B1903,Sections!$A$5:$I$45,3,FALSE)</x:f>
        <x:v>2024-2</x:v>
      </x:c>
    </x:row>
    <x:row r="1904" ht="21" customHeight="1">
      <x:c r="A1904" s="3" t="str">
        <x:v>2201017</x:v>
      </x:c>
      <x:c r="B1904" s="3" t="str">
        <x:v>SEC018</x:v>
      </x:c>
      <x:c r="C1904" s="3" t="n">
        <x:v>10</x:v>
      </x:c>
      <x:c r="D1904" s="3" t="str">
        <x:v>late</x:v>
      </x:c>
      <x:c r="E1904" s="5" t="str">
        <x:f>VLOOKUP(B1904,Sections!$A$5:$I$45,3,FALSE)</x:f>
        <x:v>2024-2</x:v>
      </x:c>
    </x:row>
    <x:row r="1905" ht="21" customHeight="1">
      <x:c r="A1905" s="3" t="str">
        <x:v>2201017</x:v>
      </x:c>
      <x:c r="B1905" s="3" t="str">
        <x:v>SEC018</x:v>
      </x:c>
      <x:c r="C1905" s="3" t="n">
        <x:v>11</x:v>
      </x:c>
      <x:c r="D1905" s="3" t="str">
        <x:v>present</x:v>
      </x:c>
      <x:c r="E1905" s="5" t="str">
        <x:f>VLOOKUP(B1905,Sections!$A$5:$I$45,3,FALSE)</x:f>
        <x:v>2024-2</x:v>
      </x:c>
    </x:row>
    <x:row r="1906" ht="21" customHeight="1">
      <x:c r="A1906" s="3" t="str">
        <x:v>2201017</x:v>
      </x:c>
      <x:c r="B1906" s="3" t="str">
        <x:v>SEC018</x:v>
      </x:c>
      <x:c r="C1906" s="3" t="n">
        <x:v>12</x:v>
      </x:c>
      <x:c r="D1906" s="3" t="str">
        <x:v>present</x:v>
      </x:c>
      <x:c r="E1906" s="5" t="str">
        <x:f>VLOOKUP(B1906,Sections!$A$5:$I$45,3,FALSE)</x:f>
        <x:v>2024-2</x:v>
      </x:c>
    </x:row>
    <x:row r="1907" ht="21" customHeight="1">
      <x:c r="A1907" s="3" t="str">
        <x:v>2201017</x:v>
      </x:c>
      <x:c r="B1907" s="3" t="str">
        <x:v>SEC018</x:v>
      </x:c>
      <x:c r="C1907" s="3" t="n">
        <x:v>13</x:v>
      </x:c>
      <x:c r="D1907" s="3" t="str">
        <x:v>absent</x:v>
      </x:c>
      <x:c r="E1907" s="5" t="str">
        <x:f>VLOOKUP(B1907,Sections!$A$5:$I$45,3,FALSE)</x:f>
        <x:v>2024-2</x:v>
      </x:c>
    </x:row>
    <x:row r="1908" ht="21" customHeight="1">
      <x:c r="A1908" s="3" t="str">
        <x:v>2201017</x:v>
      </x:c>
      <x:c r="B1908" s="3" t="str">
        <x:v>SEC018</x:v>
      </x:c>
      <x:c r="C1908" s="3" t="n">
        <x:v>14</x:v>
      </x:c>
      <x:c r="D1908" s="3" t="str">
        <x:v>present</x:v>
      </x:c>
      <x:c r="E1908" s="5" t="str">
        <x:f>VLOOKUP(B1908,Sections!$A$5:$I$45,3,FALSE)</x:f>
        <x:v>2024-2</x:v>
      </x:c>
    </x:row>
    <x:row r="1909" ht="21" customHeight="1">
      <x:c r="A1909" s="3" t="str">
        <x:v>2201017</x:v>
      </x:c>
      <x:c r="B1909" s="3" t="str">
        <x:v>SEC018</x:v>
      </x:c>
      <x:c r="C1909" s="3" t="n">
        <x:v>15</x:v>
      </x:c>
      <x:c r="D1909" s="3" t="str">
        <x:v>late</x:v>
      </x:c>
      <x:c r="E1909" s="5" t="str">
        <x:f>VLOOKUP(B1909,Sections!$A$5:$I$45,3,FALSE)</x:f>
        <x:v>2024-2</x:v>
      </x:c>
    </x:row>
    <x:row r="1910" ht="21" customHeight="1">
      <x:c r="A1910" s="3" t="str">
        <x:v>2201018</x:v>
      </x:c>
      <x:c r="B1910" s="3" t="str">
        <x:v>SEC018</x:v>
      </x:c>
      <x:c r="C1910" s="3" t="n">
        <x:v>1</x:v>
      </x:c>
      <x:c r="D1910" s="3" t="str">
        <x:v>present</x:v>
      </x:c>
      <x:c r="E1910" s="5" t="str">
        <x:f>VLOOKUP(B1910,Sections!$A$5:$I$45,3,FALSE)</x:f>
        <x:v>2024-2</x:v>
      </x:c>
    </x:row>
    <x:row r="1911" ht="21" customHeight="1">
      <x:c r="A1911" s="3" t="str">
        <x:v>2201018</x:v>
      </x:c>
      <x:c r="B1911" s="3" t="str">
        <x:v>SEC018</x:v>
      </x:c>
      <x:c r="C1911" s="3" t="n">
        <x:v>2</x:v>
      </x:c>
      <x:c r="D1911" s="3" t="str">
        <x:v>absent</x:v>
      </x:c>
      <x:c r="E1911" s="5" t="str">
        <x:f>VLOOKUP(B1911,Sections!$A$5:$I$45,3,FALSE)</x:f>
        <x:v>2024-2</x:v>
      </x:c>
    </x:row>
    <x:row r="1912" ht="21" customHeight="1">
      <x:c r="A1912" s="3" t="str">
        <x:v>2201018</x:v>
      </x:c>
      <x:c r="B1912" s="3" t="str">
        <x:v>SEC018</x:v>
      </x:c>
      <x:c r="C1912" s="3" t="n">
        <x:v>3</x:v>
      </x:c>
      <x:c r="D1912" s="3" t="str">
        <x:v>present</x:v>
      </x:c>
      <x:c r="E1912" s="5" t="str">
        <x:f>VLOOKUP(B1912,Sections!$A$5:$I$45,3,FALSE)</x:f>
        <x:v>2024-2</x:v>
      </x:c>
    </x:row>
    <x:row r="1913" ht="21" customHeight="1">
      <x:c r="A1913" s="3" t="str">
        <x:v>2201018</x:v>
      </x:c>
      <x:c r="B1913" s="3" t="str">
        <x:v>SEC018</x:v>
      </x:c>
      <x:c r="C1913" s="3" t="n">
        <x:v>4</x:v>
      </x:c>
      <x:c r="D1913" s="3" t="str">
        <x:v>excused</x:v>
      </x:c>
      <x:c r="E1913" s="5" t="str">
        <x:f>VLOOKUP(B1913,Sections!$A$5:$I$45,3,FALSE)</x:f>
        <x:v>2024-2</x:v>
      </x:c>
    </x:row>
    <x:row r="1914" ht="21" customHeight="1">
      <x:c r="A1914" s="3" t="str">
        <x:v>2201018</x:v>
      </x:c>
      <x:c r="B1914" s="3" t="str">
        <x:v>SEC018</x:v>
      </x:c>
      <x:c r="C1914" s="3" t="n">
        <x:v>5</x:v>
      </x:c>
      <x:c r="D1914" s="3" t="str">
        <x:v>absent</x:v>
      </x:c>
      <x:c r="E1914" s="5" t="str">
        <x:f>VLOOKUP(B1914,Sections!$A$5:$I$45,3,FALSE)</x:f>
        <x:v>2024-2</x:v>
      </x:c>
    </x:row>
    <x:row r="1915" ht="21" customHeight="1">
      <x:c r="A1915" s="3" t="str">
        <x:v>2201018</x:v>
      </x:c>
      <x:c r="B1915" s="3" t="str">
        <x:v>SEC018</x:v>
      </x:c>
      <x:c r="C1915" s="3" t="n">
        <x:v>6</x:v>
      </x:c>
      <x:c r="D1915" s="3" t="str">
        <x:v>present</x:v>
      </x:c>
      <x:c r="E1915" s="5" t="str">
        <x:f>VLOOKUP(B1915,Sections!$A$5:$I$45,3,FALSE)</x:f>
        <x:v>2024-2</x:v>
      </x:c>
    </x:row>
    <x:row r="1916" ht="21" customHeight="1">
      <x:c r="A1916" s="3" t="str">
        <x:v>2201018</x:v>
      </x:c>
      <x:c r="B1916" s="3" t="str">
        <x:v>SEC018</x:v>
      </x:c>
      <x:c r="C1916" s="3" t="n">
        <x:v>7</x:v>
      </x:c>
      <x:c r="D1916" s="3" t="str">
        <x:v>present</x:v>
      </x:c>
      <x:c r="E1916" s="5" t="str">
        <x:f>VLOOKUP(B1916,Sections!$A$5:$I$45,3,FALSE)</x:f>
        <x:v>2024-2</x:v>
      </x:c>
    </x:row>
    <x:row r="1917" ht="21" customHeight="1">
      <x:c r="A1917" s="3" t="str">
        <x:v>2201018</x:v>
      </x:c>
      <x:c r="B1917" s="3" t="str">
        <x:v>SEC018</x:v>
      </x:c>
      <x:c r="C1917" s="3" t="n">
        <x:v>8</x:v>
      </x:c>
      <x:c r="D1917" s="3" t="str">
        <x:v>present</x:v>
      </x:c>
      <x:c r="E1917" s="5" t="str">
        <x:f>VLOOKUP(B1917,Sections!$A$5:$I$45,3,FALSE)</x:f>
        <x:v>2024-2</x:v>
      </x:c>
    </x:row>
    <x:row r="1918" ht="21" customHeight="1">
      <x:c r="A1918" s="3" t="str">
        <x:v>2201018</x:v>
      </x:c>
      <x:c r="B1918" s="3" t="str">
        <x:v>SEC018</x:v>
      </x:c>
      <x:c r="C1918" s="3" t="n">
        <x:v>9</x:v>
      </x:c>
      <x:c r="D1918" s="3" t="str">
        <x:v>present</x:v>
      </x:c>
      <x:c r="E1918" s="5" t="str">
        <x:f>VLOOKUP(B1918,Sections!$A$5:$I$45,3,FALSE)</x:f>
        <x:v>2024-2</x:v>
      </x:c>
    </x:row>
    <x:row r="1919" ht="21" customHeight="1">
      <x:c r="A1919" s="3" t="str">
        <x:v>2201018</x:v>
      </x:c>
      <x:c r="B1919" s="3" t="str">
        <x:v>SEC018</x:v>
      </x:c>
      <x:c r="C1919" s="3" t="n">
        <x:v>10</x:v>
      </x:c>
      <x:c r="D1919" s="3" t="str">
        <x:v>present</x:v>
      </x:c>
      <x:c r="E1919" s="5" t="str">
        <x:f>VLOOKUP(B1919,Sections!$A$5:$I$45,3,FALSE)</x:f>
        <x:v>2024-2</x:v>
      </x:c>
    </x:row>
    <x:row r="1920" ht="21" customHeight="1">
      <x:c r="A1920" s="3" t="str">
        <x:v>2201018</x:v>
      </x:c>
      <x:c r="B1920" s="3" t="str">
        <x:v>SEC018</x:v>
      </x:c>
      <x:c r="C1920" s="3" t="n">
        <x:v>11</x:v>
      </x:c>
      <x:c r="D1920" s="3" t="str">
        <x:v>present</x:v>
      </x:c>
      <x:c r="E1920" s="5" t="str">
        <x:f>VLOOKUP(B1920,Sections!$A$5:$I$45,3,FALSE)</x:f>
        <x:v>2024-2</x:v>
      </x:c>
    </x:row>
    <x:row r="1921" ht="21" customHeight="1">
      <x:c r="A1921" s="3" t="str">
        <x:v>2201018</x:v>
      </x:c>
      <x:c r="B1921" s="3" t="str">
        <x:v>SEC018</x:v>
      </x:c>
      <x:c r="C1921" s="3" t="n">
        <x:v>12</x:v>
      </x:c>
      <x:c r="D1921" s="3" t="str">
        <x:v>present</x:v>
      </x:c>
      <x:c r="E1921" s="5" t="str">
        <x:f>VLOOKUP(B1921,Sections!$A$5:$I$45,3,FALSE)</x:f>
        <x:v>2024-2</x:v>
      </x:c>
    </x:row>
    <x:row r="1922" ht="21" customHeight="1">
      <x:c r="A1922" s="3" t="str">
        <x:v>2201018</x:v>
      </x:c>
      <x:c r="B1922" s="3" t="str">
        <x:v>SEC018</x:v>
      </x:c>
      <x:c r="C1922" s="3" t="n">
        <x:v>13</x:v>
      </x:c>
      <x:c r="D1922" s="3" t="str">
        <x:v>present</x:v>
      </x:c>
      <x:c r="E1922" s="5" t="str">
        <x:f>VLOOKUP(B1922,Sections!$A$5:$I$45,3,FALSE)</x:f>
        <x:v>2024-2</x:v>
      </x:c>
    </x:row>
    <x:row r="1923" ht="21" customHeight="1">
      <x:c r="A1923" s="3" t="str">
        <x:v>2201018</x:v>
      </x:c>
      <x:c r="B1923" s="3" t="str">
        <x:v>SEC018</x:v>
      </x:c>
      <x:c r="C1923" s="3" t="n">
        <x:v>14</x:v>
      </x:c>
      <x:c r="D1923" s="3" t="str">
        <x:v>present</x:v>
      </x:c>
      <x:c r="E1923" s="5" t="str">
        <x:f>VLOOKUP(B1923,Sections!$A$5:$I$45,3,FALSE)</x:f>
        <x:v>2024-2</x:v>
      </x:c>
    </x:row>
    <x:row r="1924" ht="21" customHeight="1">
      <x:c r="A1924" s="3" t="str">
        <x:v>2201018</x:v>
      </x:c>
      <x:c r="B1924" s="3" t="str">
        <x:v>SEC018</x:v>
      </x:c>
      <x:c r="C1924" s="3" t="n">
        <x:v>15</x:v>
      </x:c>
      <x:c r="D1924" s="3" t="str">
        <x:v>present</x:v>
      </x:c>
      <x:c r="E1924" s="5" t="str">
        <x:f>VLOOKUP(B1924,Sections!$A$5:$I$45,3,FALSE)</x:f>
        <x:v>2024-2</x:v>
      </x:c>
    </x:row>
    <x:row r="1925" ht="21" customHeight="1">
      <x:c r="A1925" s="3" t="str">
        <x:v>2201019</x:v>
      </x:c>
      <x:c r="B1925" s="3" t="str">
        <x:v>SEC018</x:v>
      </x:c>
      <x:c r="C1925" s="3" t="n">
        <x:v>1</x:v>
      </x:c>
      <x:c r="D1925" s="3" t="str">
        <x:v>present</x:v>
      </x:c>
      <x:c r="E1925" s="5" t="str">
        <x:f>VLOOKUP(B1925,Sections!$A$5:$I$45,3,FALSE)</x:f>
        <x:v>2024-2</x:v>
      </x:c>
    </x:row>
    <x:row r="1926" ht="21" customHeight="1">
      <x:c r="A1926" s="3" t="str">
        <x:v>2201019</x:v>
      </x:c>
      <x:c r="B1926" s="3" t="str">
        <x:v>SEC018</x:v>
      </x:c>
      <x:c r="C1926" s="3" t="n">
        <x:v>2</x:v>
      </x:c>
      <x:c r="D1926" s="3" t="str">
        <x:v>present</x:v>
      </x:c>
      <x:c r="E1926" s="5" t="str">
        <x:f>VLOOKUP(B1926,Sections!$A$5:$I$45,3,FALSE)</x:f>
        <x:v>2024-2</x:v>
      </x:c>
    </x:row>
    <x:row r="1927" ht="21" customHeight="1">
      <x:c r="A1927" s="3" t="str">
        <x:v>2201019</x:v>
      </x:c>
      <x:c r="B1927" s="3" t="str">
        <x:v>SEC018</x:v>
      </x:c>
      <x:c r="C1927" s="3" t="n">
        <x:v>3</x:v>
      </x:c>
      <x:c r="D1927" s="3" t="str">
        <x:v>present</x:v>
      </x:c>
      <x:c r="E1927" s="5" t="str">
        <x:f>VLOOKUP(B1927,Sections!$A$5:$I$45,3,FALSE)</x:f>
        <x:v>2024-2</x:v>
      </x:c>
    </x:row>
    <x:row r="1928" ht="21" customHeight="1">
      <x:c r="A1928" s="3" t="str">
        <x:v>2201019</x:v>
      </x:c>
      <x:c r="B1928" s="3" t="str">
        <x:v>SEC018</x:v>
      </x:c>
      <x:c r="C1928" s="3" t="n">
        <x:v>4</x:v>
      </x:c>
      <x:c r="D1928" s="3" t="str">
        <x:v>present</x:v>
      </x:c>
      <x:c r="E1928" s="5" t="str">
        <x:f>VLOOKUP(B1928,Sections!$A$5:$I$45,3,FALSE)</x:f>
        <x:v>2024-2</x:v>
      </x:c>
    </x:row>
    <x:row r="1929" ht="21" customHeight="1">
      <x:c r="A1929" s="3" t="str">
        <x:v>2201019</x:v>
      </x:c>
      <x:c r="B1929" s="3" t="str">
        <x:v>SEC018</x:v>
      </x:c>
      <x:c r="C1929" s="3" t="n">
        <x:v>5</x:v>
      </x:c>
      <x:c r="D1929" s="3" t="str">
        <x:v>present</x:v>
      </x:c>
      <x:c r="E1929" s="5" t="str">
        <x:f>VLOOKUP(B1929,Sections!$A$5:$I$45,3,FALSE)</x:f>
        <x:v>2024-2</x:v>
      </x:c>
    </x:row>
    <x:row r="1930" ht="21" customHeight="1">
      <x:c r="A1930" s="3" t="str">
        <x:v>2201019</x:v>
      </x:c>
      <x:c r="B1930" s="3" t="str">
        <x:v>SEC018</x:v>
      </x:c>
      <x:c r="C1930" s="3" t="n">
        <x:v>6</x:v>
      </x:c>
      <x:c r="D1930" s="3" t="str">
        <x:v>present</x:v>
      </x:c>
      <x:c r="E1930" s="5" t="str">
        <x:f>VLOOKUP(B1930,Sections!$A$5:$I$45,3,FALSE)</x:f>
        <x:v>2024-2</x:v>
      </x:c>
    </x:row>
    <x:row r="1931" ht="21" customHeight="1">
      <x:c r="A1931" s="3" t="str">
        <x:v>2201019</x:v>
      </x:c>
      <x:c r="B1931" s="3" t="str">
        <x:v>SEC018</x:v>
      </x:c>
      <x:c r="C1931" s="3" t="n">
        <x:v>7</x:v>
      </x:c>
      <x:c r="D1931" s="3" t="str">
        <x:v>absent</x:v>
      </x:c>
      <x:c r="E1931" s="5" t="str">
        <x:f>VLOOKUP(B1931,Sections!$A$5:$I$45,3,FALSE)</x:f>
        <x:v>2024-2</x:v>
      </x:c>
    </x:row>
    <x:row r="1932" ht="21" customHeight="1">
      <x:c r="A1932" s="3" t="str">
        <x:v>2201019</x:v>
      </x:c>
      <x:c r="B1932" s="3" t="str">
        <x:v>SEC018</x:v>
      </x:c>
      <x:c r="C1932" s="3" t="n">
        <x:v>8</x:v>
      </x:c>
      <x:c r="D1932" s="3" t="str">
        <x:v>present</x:v>
      </x:c>
      <x:c r="E1932" s="5" t="str">
        <x:f>VLOOKUP(B1932,Sections!$A$5:$I$45,3,FALSE)</x:f>
        <x:v>2024-2</x:v>
      </x:c>
    </x:row>
    <x:row r="1933" ht="21" customHeight="1">
      <x:c r="A1933" s="3" t="str">
        <x:v>2201019</x:v>
      </x:c>
      <x:c r="B1933" s="3" t="str">
        <x:v>SEC018</x:v>
      </x:c>
      <x:c r="C1933" s="3" t="n">
        <x:v>9</x:v>
      </x:c>
      <x:c r="D1933" s="3" t="str">
        <x:v>present</x:v>
      </x:c>
      <x:c r="E1933" s="5" t="str">
        <x:f>VLOOKUP(B1933,Sections!$A$5:$I$45,3,FALSE)</x:f>
        <x:v>2024-2</x:v>
      </x:c>
    </x:row>
    <x:row r="1934" ht="21" customHeight="1">
      <x:c r="A1934" s="3" t="str">
        <x:v>2201019</x:v>
      </x:c>
      <x:c r="B1934" s="3" t="str">
        <x:v>SEC018</x:v>
      </x:c>
      <x:c r="C1934" s="3" t="n">
        <x:v>10</x:v>
      </x:c>
      <x:c r="D1934" s="3" t="str">
        <x:v>present</x:v>
      </x:c>
      <x:c r="E1934" s="5" t="str">
        <x:f>VLOOKUP(B1934,Sections!$A$5:$I$45,3,FALSE)</x:f>
        <x:v>2024-2</x:v>
      </x:c>
    </x:row>
    <x:row r="1935" ht="21" customHeight="1">
      <x:c r="A1935" s="3" t="str">
        <x:v>2201019</x:v>
      </x:c>
      <x:c r="B1935" s="3" t="str">
        <x:v>SEC018</x:v>
      </x:c>
      <x:c r="C1935" s="3" t="n">
        <x:v>11</x:v>
      </x:c>
      <x:c r="D1935" s="3" t="str">
        <x:v>present</x:v>
      </x:c>
      <x:c r="E1935" s="5" t="str">
        <x:f>VLOOKUP(B1935,Sections!$A$5:$I$45,3,FALSE)</x:f>
        <x:v>2024-2</x:v>
      </x:c>
    </x:row>
    <x:row r="1936" ht="21" customHeight="1">
      <x:c r="A1936" s="3" t="str">
        <x:v>2201019</x:v>
      </x:c>
      <x:c r="B1936" s="3" t="str">
        <x:v>SEC018</x:v>
      </x:c>
      <x:c r="C1936" s="3" t="n">
        <x:v>12</x:v>
      </x:c>
      <x:c r="D1936" s="3" t="str">
        <x:v>late</x:v>
      </x:c>
      <x:c r="E1936" s="5" t="str">
        <x:f>VLOOKUP(B1936,Sections!$A$5:$I$45,3,FALSE)</x:f>
        <x:v>2024-2</x:v>
      </x:c>
    </x:row>
    <x:row r="1937" ht="21" customHeight="1">
      <x:c r="A1937" s="3" t="str">
        <x:v>2201019</x:v>
      </x:c>
      <x:c r="B1937" s="3" t="str">
        <x:v>SEC018</x:v>
      </x:c>
      <x:c r="C1937" s="3" t="n">
        <x:v>13</x:v>
      </x:c>
      <x:c r="D1937" s="3" t="str">
        <x:v>present</x:v>
      </x:c>
      <x:c r="E1937" s="5" t="str">
        <x:f>VLOOKUP(B1937,Sections!$A$5:$I$45,3,FALSE)</x:f>
        <x:v>2024-2</x:v>
      </x:c>
    </x:row>
    <x:row r="1938" ht="21" customHeight="1">
      <x:c r="A1938" s="3" t="str">
        <x:v>2201019</x:v>
      </x:c>
      <x:c r="B1938" s="3" t="str">
        <x:v>SEC018</x:v>
      </x:c>
      <x:c r="C1938" s="3" t="n">
        <x:v>14</x:v>
      </x:c>
      <x:c r="D1938" s="3" t="str">
        <x:v>present</x:v>
      </x:c>
      <x:c r="E1938" s="5" t="str">
        <x:f>VLOOKUP(B1938,Sections!$A$5:$I$45,3,FALSE)</x:f>
        <x:v>2024-2</x:v>
      </x:c>
    </x:row>
    <x:row r="1939" ht="21" customHeight="1">
      <x:c r="A1939" s="3" t="str">
        <x:v>2201019</x:v>
      </x:c>
      <x:c r="B1939" s="3" t="str">
        <x:v>SEC018</x:v>
      </x:c>
      <x:c r="C1939" s="3" t="n">
        <x:v>15</x:v>
      </x:c>
      <x:c r="D1939" s="3" t="str">
        <x:v>present</x:v>
      </x:c>
      <x:c r="E1939" s="5" t="str">
        <x:f>VLOOKUP(B1939,Sections!$A$5:$I$45,3,FALSE)</x:f>
        <x:v>2024-2</x:v>
      </x:c>
    </x:row>
    <x:row r="1940" ht="21" customHeight="1">
      <x:c r="A1940" s="3" t="str">
        <x:v>2201020</x:v>
      </x:c>
      <x:c r="B1940" s="3" t="str">
        <x:v>SEC018</x:v>
      </x:c>
      <x:c r="C1940" s="3" t="n">
        <x:v>1</x:v>
      </x:c>
      <x:c r="D1940" s="3" t="str">
        <x:v>present</x:v>
      </x:c>
      <x:c r="E1940" s="5" t="str">
        <x:f>VLOOKUP(B1940,Sections!$A$5:$I$45,3,FALSE)</x:f>
        <x:v>2024-2</x:v>
      </x:c>
    </x:row>
    <x:row r="1941" ht="21" customHeight="1">
      <x:c r="A1941" s="3" t="str">
        <x:v>2201020</x:v>
      </x:c>
      <x:c r="B1941" s="3" t="str">
        <x:v>SEC018</x:v>
      </x:c>
      <x:c r="C1941" s="3" t="n">
        <x:v>2</x:v>
      </x:c>
      <x:c r="D1941" s="3" t="str">
        <x:v>present</x:v>
      </x:c>
      <x:c r="E1941" s="5" t="str">
        <x:f>VLOOKUP(B1941,Sections!$A$5:$I$45,3,FALSE)</x:f>
        <x:v>2024-2</x:v>
      </x:c>
    </x:row>
    <x:row r="1942" ht="21" customHeight="1">
      <x:c r="A1942" s="3" t="str">
        <x:v>2201020</x:v>
      </x:c>
      <x:c r="B1942" s="3" t="str">
        <x:v>SEC018</x:v>
      </x:c>
      <x:c r="C1942" s="3" t="n">
        <x:v>3</x:v>
      </x:c>
      <x:c r="D1942" s="3" t="str">
        <x:v>present</x:v>
      </x:c>
      <x:c r="E1942" s="5" t="str">
        <x:f>VLOOKUP(B1942,Sections!$A$5:$I$45,3,FALSE)</x:f>
        <x:v>2024-2</x:v>
      </x:c>
    </x:row>
    <x:row r="1943" ht="21" customHeight="1">
      <x:c r="A1943" s="3" t="str">
        <x:v>2201020</x:v>
      </x:c>
      <x:c r="B1943" s="3" t="str">
        <x:v>SEC018</x:v>
      </x:c>
      <x:c r="C1943" s="3" t="n">
        <x:v>4</x:v>
      </x:c>
      <x:c r="D1943" s="3" t="str">
        <x:v>present</x:v>
      </x:c>
      <x:c r="E1943" s="5" t="str">
        <x:f>VLOOKUP(B1943,Sections!$A$5:$I$45,3,FALSE)</x:f>
        <x:v>2024-2</x:v>
      </x:c>
    </x:row>
    <x:row r="1944" ht="21" customHeight="1">
      <x:c r="A1944" s="3" t="str">
        <x:v>2201020</x:v>
      </x:c>
      <x:c r="B1944" s="3" t="str">
        <x:v>SEC018</x:v>
      </x:c>
      <x:c r="C1944" s="3" t="n">
        <x:v>5</x:v>
      </x:c>
      <x:c r="D1944" s="3" t="str">
        <x:v>present</x:v>
      </x:c>
      <x:c r="E1944" s="5" t="str">
        <x:f>VLOOKUP(B1944,Sections!$A$5:$I$45,3,FALSE)</x:f>
        <x:v>2024-2</x:v>
      </x:c>
    </x:row>
    <x:row r="1945" ht="21" customHeight="1">
      <x:c r="A1945" s="3" t="str">
        <x:v>2201020</x:v>
      </x:c>
      <x:c r="B1945" s="3" t="str">
        <x:v>SEC018</x:v>
      </x:c>
      <x:c r="C1945" s="3" t="n">
        <x:v>6</x:v>
      </x:c>
      <x:c r="D1945" s="3" t="str">
        <x:v>present</x:v>
      </x:c>
      <x:c r="E1945" s="5" t="str">
        <x:f>VLOOKUP(B1945,Sections!$A$5:$I$45,3,FALSE)</x:f>
        <x:v>2024-2</x:v>
      </x:c>
    </x:row>
    <x:row r="1946" ht="21" customHeight="1">
      <x:c r="A1946" s="3" t="str">
        <x:v>2201020</x:v>
      </x:c>
      <x:c r="B1946" s="3" t="str">
        <x:v>SEC018</x:v>
      </x:c>
      <x:c r="C1946" s="3" t="n">
        <x:v>7</x:v>
      </x:c>
      <x:c r="D1946" s="3" t="str">
        <x:v>absent</x:v>
      </x:c>
      <x:c r="E1946" s="5" t="str">
        <x:f>VLOOKUP(B1946,Sections!$A$5:$I$45,3,FALSE)</x:f>
        <x:v>2024-2</x:v>
      </x:c>
    </x:row>
    <x:row r="1947" ht="21" customHeight="1">
      <x:c r="A1947" s="3" t="str">
        <x:v>2201020</x:v>
      </x:c>
      <x:c r="B1947" s="3" t="str">
        <x:v>SEC018</x:v>
      </x:c>
      <x:c r="C1947" s="3" t="n">
        <x:v>8</x:v>
      </x:c>
      <x:c r="D1947" s="3" t="str">
        <x:v>present</x:v>
      </x:c>
      <x:c r="E1947" s="5" t="str">
        <x:f>VLOOKUP(B1947,Sections!$A$5:$I$45,3,FALSE)</x:f>
        <x:v>2024-2</x:v>
      </x:c>
    </x:row>
    <x:row r="1948" ht="21" customHeight="1">
      <x:c r="A1948" s="3" t="str">
        <x:v>2201020</x:v>
      </x:c>
      <x:c r="B1948" s="3" t="str">
        <x:v>SEC018</x:v>
      </x:c>
      <x:c r="C1948" s="3" t="n">
        <x:v>9</x:v>
      </x:c>
      <x:c r="D1948" s="3" t="str">
        <x:v>present</x:v>
      </x:c>
      <x:c r="E1948" s="5" t="str">
        <x:f>VLOOKUP(B1948,Sections!$A$5:$I$45,3,FALSE)</x:f>
        <x:v>2024-2</x:v>
      </x:c>
    </x:row>
    <x:row r="1949" ht="21" customHeight="1">
      <x:c r="A1949" s="3" t="str">
        <x:v>2201020</x:v>
      </x:c>
      <x:c r="B1949" s="3" t="str">
        <x:v>SEC018</x:v>
      </x:c>
      <x:c r="C1949" s="3" t="n">
        <x:v>10</x:v>
      </x:c>
      <x:c r="D1949" s="3" t="str">
        <x:v>present</x:v>
      </x:c>
      <x:c r="E1949" s="5" t="str">
        <x:f>VLOOKUP(B1949,Sections!$A$5:$I$45,3,FALSE)</x:f>
        <x:v>2024-2</x:v>
      </x:c>
    </x:row>
    <x:row r="1950" ht="21" customHeight="1">
      <x:c r="A1950" s="3" t="str">
        <x:v>2201020</x:v>
      </x:c>
      <x:c r="B1950" s="3" t="str">
        <x:v>SEC018</x:v>
      </x:c>
      <x:c r="C1950" s="3" t="n">
        <x:v>11</x:v>
      </x:c>
      <x:c r="D1950" s="3" t="str">
        <x:v>present</x:v>
      </x:c>
      <x:c r="E1950" s="5" t="str">
        <x:f>VLOOKUP(B1950,Sections!$A$5:$I$45,3,FALSE)</x:f>
        <x:v>2024-2</x:v>
      </x:c>
    </x:row>
    <x:row r="1951" ht="21" customHeight="1">
      <x:c r="A1951" s="3" t="str">
        <x:v>2201020</x:v>
      </x:c>
      <x:c r="B1951" s="3" t="str">
        <x:v>SEC018</x:v>
      </x:c>
      <x:c r="C1951" s="3" t="n">
        <x:v>12</x:v>
      </x:c>
      <x:c r="D1951" s="3" t="str">
        <x:v>late</x:v>
      </x:c>
      <x:c r="E1951" s="5" t="str">
        <x:f>VLOOKUP(B1951,Sections!$A$5:$I$45,3,FALSE)</x:f>
        <x:v>2024-2</x:v>
      </x:c>
    </x:row>
    <x:row r="1952" ht="21" customHeight="1">
      <x:c r="A1952" s="3" t="str">
        <x:v>2201020</x:v>
      </x:c>
      <x:c r="B1952" s="3" t="str">
        <x:v>SEC018</x:v>
      </x:c>
      <x:c r="C1952" s="3" t="n">
        <x:v>13</x:v>
      </x:c>
      <x:c r="D1952" s="3" t="str">
        <x:v>absent</x:v>
      </x:c>
      <x:c r="E1952" s="5" t="str">
        <x:f>VLOOKUP(B1952,Sections!$A$5:$I$45,3,FALSE)</x:f>
        <x:v>2024-2</x:v>
      </x:c>
    </x:row>
    <x:row r="1953" ht="21" customHeight="1">
      <x:c r="A1953" s="3" t="str">
        <x:v>2201020</x:v>
      </x:c>
      <x:c r="B1953" s="3" t="str">
        <x:v>SEC018</x:v>
      </x:c>
      <x:c r="C1953" s="3" t="n">
        <x:v>14</x:v>
      </x:c>
      <x:c r="D1953" s="3" t="str">
        <x:v>present</x:v>
      </x:c>
      <x:c r="E1953" s="5" t="str">
        <x:f>VLOOKUP(B1953,Sections!$A$5:$I$45,3,FALSE)</x:f>
        <x:v>2024-2</x:v>
      </x:c>
    </x:row>
    <x:row r="1954" ht="21" customHeight="1">
      <x:c r="A1954" s="3" t="str">
        <x:v>2201020</x:v>
      </x:c>
      <x:c r="B1954" s="3" t="str">
        <x:v>SEC018</x:v>
      </x:c>
      <x:c r="C1954" s="3" t="n">
        <x:v>15</x:v>
      </x:c>
      <x:c r="D1954" s="3" t="str">
        <x:v>absent</x:v>
      </x:c>
      <x:c r="E1954" s="5" t="str">
        <x:f>VLOOKUP(B1954,Sections!$A$5:$I$45,3,FALSE)</x:f>
        <x:v>2024-2</x:v>
      </x:c>
    </x:row>
    <x:row r="1955" ht="21" customHeight="1">
      <x:c r="A1955" s="3" t="str">
        <x:v>2201010</x:v>
      </x:c>
      <x:c r="B1955" s="3" t="str">
        <x:v>SEC019</x:v>
      </x:c>
      <x:c r="C1955" s="3" t="n">
        <x:v>1</x:v>
      </x:c>
      <x:c r="D1955" s="3" t="str">
        <x:v>present</x:v>
      </x:c>
      <x:c r="E1955" s="5" t="str">
        <x:f>VLOOKUP(B1955,Sections!$A$5:$I$45,3,FALSE)</x:f>
        <x:v>2025-1</x:v>
      </x:c>
    </x:row>
    <x:row r="1956" ht="21" customHeight="1">
      <x:c r="A1956" s="3" t="str">
        <x:v>2201010</x:v>
      </x:c>
      <x:c r="B1956" s="3" t="str">
        <x:v>SEC019</x:v>
      </x:c>
      <x:c r="C1956" s="3" t="n">
        <x:v>2</x:v>
      </x:c>
      <x:c r="D1956" s="3" t="str">
        <x:v>present</x:v>
      </x:c>
      <x:c r="E1956" s="5" t="str">
        <x:f>VLOOKUP(B1956,Sections!$A$5:$I$45,3,FALSE)</x:f>
        <x:v>2025-1</x:v>
      </x:c>
    </x:row>
    <x:row r="1957" ht="21" customHeight="1">
      <x:c r="A1957" s="3" t="str">
        <x:v>2201010</x:v>
      </x:c>
      <x:c r="B1957" s="3" t="str">
        <x:v>SEC019</x:v>
      </x:c>
      <x:c r="C1957" s="3" t="n">
        <x:v>3</x:v>
      </x:c>
      <x:c r="D1957" s="3" t="str">
        <x:v>absent</x:v>
      </x:c>
      <x:c r="E1957" s="5" t="str">
        <x:f>VLOOKUP(B1957,Sections!$A$5:$I$45,3,FALSE)</x:f>
        <x:v>2025-1</x:v>
      </x:c>
    </x:row>
    <x:row r="1958" ht="21" customHeight="1">
      <x:c r="A1958" s="3" t="str">
        <x:v>2201010</x:v>
      </x:c>
      <x:c r="B1958" s="3" t="str">
        <x:v>SEC019</x:v>
      </x:c>
      <x:c r="C1958" s="3" t="n">
        <x:v>4</x:v>
      </x:c>
      <x:c r="D1958" s="3" t="str">
        <x:v>absent</x:v>
      </x:c>
      <x:c r="E1958" s="5" t="str">
        <x:f>VLOOKUP(B1958,Sections!$A$5:$I$45,3,FALSE)</x:f>
        <x:v>2025-1</x:v>
      </x:c>
    </x:row>
    <x:row r="1959" ht="21" customHeight="1">
      <x:c r="A1959" s="3" t="str">
        <x:v>2201010</x:v>
      </x:c>
      <x:c r="B1959" s="3" t="str">
        <x:v>SEC019</x:v>
      </x:c>
      <x:c r="C1959" s="3" t="n">
        <x:v>5</x:v>
      </x:c>
      <x:c r="D1959" s="3" t="str">
        <x:v>absent</x:v>
      </x:c>
      <x:c r="E1959" s="5" t="str">
        <x:f>VLOOKUP(B1959,Sections!$A$5:$I$45,3,FALSE)</x:f>
        <x:v>2025-1</x:v>
      </x:c>
    </x:row>
    <x:row r="1960" ht="21" customHeight="1">
      <x:c r="A1960" s="3" t="str">
        <x:v>2201010</x:v>
      </x:c>
      <x:c r="B1960" s="3" t="str">
        <x:v>SEC019</x:v>
      </x:c>
      <x:c r="C1960" s="3" t="n">
        <x:v>6</x:v>
      </x:c>
      <x:c r="D1960" s="3" t="str">
        <x:v>present</x:v>
      </x:c>
      <x:c r="E1960" s="5" t="str">
        <x:f>VLOOKUP(B1960,Sections!$A$5:$I$45,3,FALSE)</x:f>
        <x:v>2025-1</x:v>
      </x:c>
    </x:row>
    <x:row r="1961" ht="21" customHeight="1">
      <x:c r="A1961" s="3" t="str">
        <x:v>2201010</x:v>
      </x:c>
      <x:c r="B1961" s="3" t="str">
        <x:v>SEC019</x:v>
      </x:c>
      <x:c r="C1961" s="3" t="n">
        <x:v>7</x:v>
      </x:c>
      <x:c r="D1961" s="3" t="str">
        <x:v>absent</x:v>
      </x:c>
      <x:c r="E1961" s="5" t="str">
        <x:f>VLOOKUP(B1961,Sections!$A$5:$I$45,3,FALSE)</x:f>
        <x:v>2025-1</x:v>
      </x:c>
    </x:row>
    <x:row r="1962" ht="21" customHeight="1">
      <x:c r="A1962" s="3" t="str">
        <x:v>2201010</x:v>
      </x:c>
      <x:c r="B1962" s="3" t="str">
        <x:v>SEC019</x:v>
      </x:c>
      <x:c r="C1962" s="3" t="n">
        <x:v>8</x:v>
      </x:c>
      <x:c r="D1962" s="3" t="str">
        <x:v>absent</x:v>
      </x:c>
      <x:c r="E1962" s="5" t="str">
        <x:f>VLOOKUP(B1962,Sections!$A$5:$I$45,3,FALSE)</x:f>
        <x:v>2025-1</x:v>
      </x:c>
    </x:row>
    <x:row r="1963" ht="21" customHeight="1">
      <x:c r="A1963" s="3" t="str">
        <x:v>2201010</x:v>
      </x:c>
      <x:c r="B1963" s="3" t="str">
        <x:v>SEC019</x:v>
      </x:c>
      <x:c r="C1963" s="3" t="n">
        <x:v>9</x:v>
      </x:c>
      <x:c r="D1963" s="3" t="str">
        <x:v>present</x:v>
      </x:c>
      <x:c r="E1963" s="5" t="str">
        <x:f>VLOOKUP(B1963,Sections!$A$5:$I$45,3,FALSE)</x:f>
        <x:v>2025-1</x:v>
      </x:c>
    </x:row>
    <x:row r="1964" ht="21" customHeight="1">
      <x:c r="A1964" s="3" t="str">
        <x:v>2201010</x:v>
      </x:c>
      <x:c r="B1964" s="3" t="str">
        <x:v>SEC019</x:v>
      </x:c>
      <x:c r="C1964" s="3" t="n">
        <x:v>10</x:v>
      </x:c>
      <x:c r="D1964" s="3" t="str">
        <x:v>absent</x:v>
      </x:c>
      <x:c r="E1964" s="5" t="str">
        <x:f>VLOOKUP(B1964,Sections!$A$5:$I$45,3,FALSE)</x:f>
        <x:v>2025-1</x:v>
      </x:c>
    </x:row>
    <x:row r="1965" ht="21" customHeight="1">
      <x:c r="A1965" s="3" t="str">
        <x:v>2201010</x:v>
      </x:c>
      <x:c r="B1965" s="3" t="str">
        <x:v>SEC019</x:v>
      </x:c>
      <x:c r="C1965" s="3" t="n">
        <x:v>11</x:v>
      </x:c>
      <x:c r="D1965" s="3" t="str">
        <x:v>present</x:v>
      </x:c>
      <x:c r="E1965" s="5" t="str">
        <x:f>VLOOKUP(B1965,Sections!$A$5:$I$45,3,FALSE)</x:f>
        <x:v>2025-1</x:v>
      </x:c>
    </x:row>
    <x:row r="1966" ht="21" customHeight="1">
      <x:c r="A1966" s="3" t="str">
        <x:v>2201010</x:v>
      </x:c>
      <x:c r="B1966" s="3" t="str">
        <x:v>SEC019</x:v>
      </x:c>
      <x:c r="C1966" s="3" t="n">
        <x:v>12</x:v>
      </x:c>
      <x:c r="D1966" s="3" t="str">
        <x:v>present</x:v>
      </x:c>
      <x:c r="E1966" s="5" t="str">
        <x:f>VLOOKUP(B1966,Sections!$A$5:$I$45,3,FALSE)</x:f>
        <x:v>2025-1</x:v>
      </x:c>
    </x:row>
    <x:row r="1967" ht="21" customHeight="1">
      <x:c r="A1967" s="3" t="str">
        <x:v>2201010</x:v>
      </x:c>
      <x:c r="B1967" s="3" t="str">
        <x:v>SEC019</x:v>
      </x:c>
      <x:c r="C1967" s="3" t="n">
        <x:v>13</x:v>
      </x:c>
      <x:c r="D1967" s="3" t="str">
        <x:v>late</x:v>
      </x:c>
      <x:c r="E1967" s="5" t="str">
        <x:f>VLOOKUP(B1967,Sections!$A$5:$I$45,3,FALSE)</x:f>
        <x:v>2025-1</x:v>
      </x:c>
    </x:row>
    <x:row r="1968" ht="21" customHeight="1">
      <x:c r="A1968" s="3" t="str">
        <x:v>2201010</x:v>
      </x:c>
      <x:c r="B1968" s="3" t="str">
        <x:v>SEC019</x:v>
      </x:c>
      <x:c r="C1968" s="3" t="n">
        <x:v>14</x:v>
      </x:c>
      <x:c r="D1968" s="3" t="str">
        <x:v>late</x:v>
      </x:c>
      <x:c r="E1968" s="5" t="str">
        <x:f>VLOOKUP(B1968,Sections!$A$5:$I$45,3,FALSE)</x:f>
        <x:v>2025-1</x:v>
      </x:c>
    </x:row>
    <x:row r="1969" ht="21" customHeight="1">
      <x:c r="A1969" s="3" t="str">
        <x:v>2201010</x:v>
      </x:c>
      <x:c r="B1969" s="3" t="str">
        <x:v>SEC019</x:v>
      </x:c>
      <x:c r="C1969" s="3" t="n">
        <x:v>15</x:v>
      </x:c>
      <x:c r="D1969" s="3" t="str">
        <x:v>present</x:v>
      </x:c>
      <x:c r="E1969" s="5" t="str">
        <x:f>VLOOKUP(B1969,Sections!$A$5:$I$45,3,FALSE)</x:f>
        <x:v>2025-1</x:v>
      </x:c>
    </x:row>
    <x:row r="1970" ht="21" customHeight="1">
      <x:c r="A1970" s="3" t="str">
        <x:v>2201015</x:v>
      </x:c>
      <x:c r="B1970" s="3" t="str">
        <x:v>SEC020</x:v>
      </x:c>
      <x:c r="C1970" s="3" t="n">
        <x:v>1</x:v>
      </x:c>
      <x:c r="D1970" s="3" t="str">
        <x:v>present</x:v>
      </x:c>
      <x:c r="E1970" s="5" t="str">
        <x:f>VLOOKUP(B1970,Sections!$A$5:$I$45,3,FALSE)</x:f>
        <x:v>2025-1</x:v>
      </x:c>
    </x:row>
    <x:row r="1971" ht="21" customHeight="1">
      <x:c r="A1971" s="3" t="str">
        <x:v>2201015</x:v>
      </x:c>
      <x:c r="B1971" s="3" t="str">
        <x:v>SEC020</x:v>
      </x:c>
      <x:c r="C1971" s="3" t="n">
        <x:v>2</x:v>
      </x:c>
      <x:c r="D1971" s="3" t="str">
        <x:v>present</x:v>
      </x:c>
      <x:c r="E1971" s="5" t="str">
        <x:f>VLOOKUP(B1971,Sections!$A$5:$I$45,3,FALSE)</x:f>
        <x:v>2025-1</x:v>
      </x:c>
    </x:row>
    <x:row r="1972" ht="21" customHeight="1">
      <x:c r="A1972" s="3" t="str">
        <x:v>2201015</x:v>
      </x:c>
      <x:c r="B1972" s="3" t="str">
        <x:v>SEC020</x:v>
      </x:c>
      <x:c r="C1972" s="3" t="n">
        <x:v>3</x:v>
      </x:c>
      <x:c r="D1972" s="3" t="str">
        <x:v>absent</x:v>
      </x:c>
      <x:c r="E1972" s="5" t="str">
        <x:f>VLOOKUP(B1972,Sections!$A$5:$I$45,3,FALSE)</x:f>
        <x:v>2025-1</x:v>
      </x:c>
    </x:row>
    <x:row r="1973" ht="21" customHeight="1">
      <x:c r="A1973" s="3" t="str">
        <x:v>2201015</x:v>
      </x:c>
      <x:c r="B1973" s="3" t="str">
        <x:v>SEC020</x:v>
      </x:c>
      <x:c r="C1973" s="3" t="n">
        <x:v>4</x:v>
      </x:c>
      <x:c r="D1973" s="3" t="str">
        <x:v>absent</x:v>
      </x:c>
      <x:c r="E1973" s="5" t="str">
        <x:f>VLOOKUP(B1973,Sections!$A$5:$I$45,3,FALSE)</x:f>
        <x:v>2025-1</x:v>
      </x:c>
    </x:row>
    <x:row r="1974" ht="21" customHeight="1">
      <x:c r="A1974" s="3" t="str">
        <x:v>2201015</x:v>
      </x:c>
      <x:c r="B1974" s="3" t="str">
        <x:v>SEC020</x:v>
      </x:c>
      <x:c r="C1974" s="3" t="n">
        <x:v>5</x:v>
      </x:c>
      <x:c r="D1974" s="3" t="str">
        <x:v>absent</x:v>
      </x:c>
      <x:c r="E1974" s="5" t="str">
        <x:f>VLOOKUP(B1974,Sections!$A$5:$I$45,3,FALSE)</x:f>
        <x:v>2025-1</x:v>
      </x:c>
    </x:row>
    <x:row r="1975" ht="21" customHeight="1">
      <x:c r="A1975" s="3" t="str">
        <x:v>2201015</x:v>
      </x:c>
      <x:c r="B1975" s="3" t="str">
        <x:v>SEC020</x:v>
      </x:c>
      <x:c r="C1975" s="3" t="n">
        <x:v>6</x:v>
      </x:c>
      <x:c r="D1975" s="3" t="str">
        <x:v>present</x:v>
      </x:c>
      <x:c r="E1975" s="5" t="str">
        <x:f>VLOOKUP(B1975,Sections!$A$5:$I$45,3,FALSE)</x:f>
        <x:v>2025-1</x:v>
      </x:c>
    </x:row>
    <x:row r="1976" ht="21" customHeight="1">
      <x:c r="A1976" s="3" t="str">
        <x:v>2201015</x:v>
      </x:c>
      <x:c r="B1976" s="3" t="str">
        <x:v>SEC020</x:v>
      </x:c>
      <x:c r="C1976" s="3" t="n">
        <x:v>7</x:v>
      </x:c>
      <x:c r="D1976" s="3" t="str">
        <x:v>present</x:v>
      </x:c>
      <x:c r="E1976" s="5" t="str">
        <x:f>VLOOKUP(B1976,Sections!$A$5:$I$45,3,FALSE)</x:f>
        <x:v>2025-1</x:v>
      </x:c>
    </x:row>
    <x:row r="1977" ht="21" customHeight="1">
      <x:c r="A1977" s="3" t="str">
        <x:v>2201015</x:v>
      </x:c>
      <x:c r="B1977" s="3" t="str">
        <x:v>SEC020</x:v>
      </x:c>
      <x:c r="C1977" s="3" t="n">
        <x:v>8</x:v>
      </x:c>
      <x:c r="D1977" s="3" t="str">
        <x:v>present</x:v>
      </x:c>
      <x:c r="E1977" s="5" t="str">
        <x:f>VLOOKUP(B1977,Sections!$A$5:$I$45,3,FALSE)</x:f>
        <x:v>2025-1</x:v>
      </x:c>
    </x:row>
    <x:row r="1978" ht="21" customHeight="1">
      <x:c r="A1978" s="3" t="str">
        <x:v>2201015</x:v>
      </x:c>
      <x:c r="B1978" s="3" t="str">
        <x:v>SEC020</x:v>
      </x:c>
      <x:c r="C1978" s="3" t="n">
        <x:v>9</x:v>
      </x:c>
      <x:c r="D1978" s="3" t="str">
        <x:v>present</x:v>
      </x:c>
      <x:c r="E1978" s="5" t="str">
        <x:f>VLOOKUP(B1978,Sections!$A$5:$I$45,3,FALSE)</x:f>
        <x:v>2025-1</x:v>
      </x:c>
    </x:row>
    <x:row r="1979" ht="21" customHeight="1">
      <x:c r="A1979" s="3" t="str">
        <x:v>2201015</x:v>
      </x:c>
      <x:c r="B1979" s="3" t="str">
        <x:v>SEC020</x:v>
      </x:c>
      <x:c r="C1979" s="3" t="n">
        <x:v>10</x:v>
      </x:c>
      <x:c r="D1979" s="3" t="str">
        <x:v>late</x:v>
      </x:c>
      <x:c r="E1979" s="5" t="str">
        <x:f>VLOOKUP(B1979,Sections!$A$5:$I$45,3,FALSE)</x:f>
        <x:v>2025-1</x:v>
      </x:c>
    </x:row>
    <x:row r="1980" ht="21" customHeight="1">
      <x:c r="A1980" s="3" t="str">
        <x:v>2201015</x:v>
      </x:c>
      <x:c r="B1980" s="3" t="str">
        <x:v>SEC020</x:v>
      </x:c>
      <x:c r="C1980" s="3" t="n">
        <x:v>11</x:v>
      </x:c>
      <x:c r="D1980" s="3" t="str">
        <x:v>excused</x:v>
      </x:c>
      <x:c r="E1980" s="5" t="str">
        <x:f>VLOOKUP(B1980,Sections!$A$5:$I$45,3,FALSE)</x:f>
        <x:v>2025-1</x:v>
      </x:c>
    </x:row>
    <x:row r="1981" ht="21" customHeight="1">
      <x:c r="A1981" s="3" t="str">
        <x:v>2201015</x:v>
      </x:c>
      <x:c r="B1981" s="3" t="str">
        <x:v>SEC020</x:v>
      </x:c>
      <x:c r="C1981" s="3" t="n">
        <x:v>12</x:v>
      </x:c>
      <x:c r="D1981" s="3" t="str">
        <x:v>present</x:v>
      </x:c>
      <x:c r="E1981" s="5" t="str">
        <x:f>VLOOKUP(B1981,Sections!$A$5:$I$45,3,FALSE)</x:f>
        <x:v>2025-1</x:v>
      </x:c>
    </x:row>
    <x:row r="1982" ht="21" customHeight="1">
      <x:c r="A1982" s="3" t="str">
        <x:v>2201015</x:v>
      </x:c>
      <x:c r="B1982" s="3" t="str">
        <x:v>SEC020</x:v>
      </x:c>
      <x:c r="C1982" s="3" t="n">
        <x:v>13</x:v>
      </x:c>
      <x:c r="D1982" s="3" t="str">
        <x:v>absent</x:v>
      </x:c>
      <x:c r="E1982" s="5" t="str">
        <x:f>VLOOKUP(B1982,Sections!$A$5:$I$45,3,FALSE)</x:f>
        <x:v>2025-1</x:v>
      </x:c>
    </x:row>
    <x:row r="1983" ht="21" customHeight="1">
      <x:c r="A1983" s="3" t="str">
        <x:v>2201015</x:v>
      </x:c>
      <x:c r="B1983" s="3" t="str">
        <x:v>SEC020</x:v>
      </x:c>
      <x:c r="C1983" s="3" t="n">
        <x:v>14</x:v>
      </x:c>
      <x:c r="D1983" s="3" t="str">
        <x:v>present</x:v>
      </x:c>
      <x:c r="E1983" s="5" t="str">
        <x:f>VLOOKUP(B1983,Sections!$A$5:$I$45,3,FALSE)</x:f>
        <x:v>2025-1</x:v>
      </x:c>
    </x:row>
    <x:row r="1984" ht="21" customHeight="1">
      <x:c r="A1984" s="3" t="str">
        <x:v>2201015</x:v>
      </x:c>
      <x:c r="B1984" s="3" t="str">
        <x:v>SEC020</x:v>
      </x:c>
      <x:c r="C1984" s="3" t="n">
        <x:v>15</x:v>
      </x:c>
      <x:c r="D1984" s="3" t="str">
        <x:v>absent</x:v>
      </x:c>
      <x:c r="E1984" s="5" t="str">
        <x:f>VLOOKUP(B1984,Sections!$A$5:$I$45,3,FALSE)</x:f>
        <x:v>2025-1</x:v>
      </x:c>
    </x:row>
    <x:row r="1985" ht="21" customHeight="1">
      <x:c r="A1985" s="3" t="str">
        <x:v>2201001</x:v>
      </x:c>
      <x:c r="B1985" s="3" t="str">
        <x:v>SEC021</x:v>
      </x:c>
      <x:c r="C1985" s="3" t="n">
        <x:v>1</x:v>
      </x:c>
      <x:c r="D1985" s="3" t="str">
        <x:v>present</x:v>
      </x:c>
      <x:c r="E1985" s="5" t="str">
        <x:f>VLOOKUP(B1985,Sections!$A$5:$I$45,3,FALSE)</x:f>
        <x:v>2024-2</x:v>
      </x:c>
    </x:row>
    <x:row r="1986" ht="21" customHeight="1">
      <x:c r="A1986" s="3" t="str">
        <x:v>2201001</x:v>
      </x:c>
      <x:c r="B1986" s="3" t="str">
        <x:v>SEC021</x:v>
      </x:c>
      <x:c r="C1986" s="3" t="n">
        <x:v>2</x:v>
      </x:c>
      <x:c r="D1986" s="3" t="str">
        <x:v>present</x:v>
      </x:c>
      <x:c r="E1986" s="5" t="str">
        <x:f>VLOOKUP(B1986,Sections!$A$5:$I$45,3,FALSE)</x:f>
        <x:v>2024-2</x:v>
      </x:c>
    </x:row>
    <x:row r="1987" ht="21" customHeight="1">
      <x:c r="A1987" s="3" t="str">
        <x:v>2201001</x:v>
      </x:c>
      <x:c r="B1987" s="3" t="str">
        <x:v>SEC021</x:v>
      </x:c>
      <x:c r="C1987" s="3" t="n">
        <x:v>3</x:v>
      </x:c>
      <x:c r="D1987" s="3" t="str">
        <x:v>present</x:v>
      </x:c>
      <x:c r="E1987" s="5" t="str">
        <x:f>VLOOKUP(B1987,Sections!$A$5:$I$45,3,FALSE)</x:f>
        <x:v>2024-2</x:v>
      </x:c>
    </x:row>
    <x:row r="1988" ht="21" customHeight="1">
      <x:c r="A1988" s="3" t="str">
        <x:v>2201001</x:v>
      </x:c>
      <x:c r="B1988" s="3" t="str">
        <x:v>SEC021</x:v>
      </x:c>
      <x:c r="C1988" s="3" t="n">
        <x:v>4</x:v>
      </x:c>
      <x:c r="D1988" s="3" t="str">
        <x:v>late</x:v>
      </x:c>
      <x:c r="E1988" s="5" t="str">
        <x:f>VLOOKUP(B1988,Sections!$A$5:$I$45,3,FALSE)</x:f>
        <x:v>2024-2</x:v>
      </x:c>
    </x:row>
    <x:row r="1989" ht="21" customHeight="1">
      <x:c r="A1989" s="3" t="str">
        <x:v>2201001</x:v>
      </x:c>
      <x:c r="B1989" s="3" t="str">
        <x:v>SEC021</x:v>
      </x:c>
      <x:c r="C1989" s="3" t="n">
        <x:v>5</x:v>
      </x:c>
      <x:c r="D1989" s="3" t="str">
        <x:v>present</x:v>
      </x:c>
      <x:c r="E1989" s="5" t="str">
        <x:f>VLOOKUP(B1989,Sections!$A$5:$I$45,3,FALSE)</x:f>
        <x:v>2024-2</x:v>
      </x:c>
    </x:row>
    <x:row r="1990" ht="21" customHeight="1">
      <x:c r="A1990" s="3" t="str">
        <x:v>2201001</x:v>
      </x:c>
      <x:c r="B1990" s="3" t="str">
        <x:v>SEC021</x:v>
      </x:c>
      <x:c r="C1990" s="3" t="n">
        <x:v>6</x:v>
      </x:c>
      <x:c r="D1990" s="3" t="str">
        <x:v>present</x:v>
      </x:c>
      <x:c r="E1990" s="5" t="str">
        <x:f>VLOOKUP(B1990,Sections!$A$5:$I$45,3,FALSE)</x:f>
        <x:v>2024-2</x:v>
      </x:c>
    </x:row>
    <x:row r="1991" ht="21" customHeight="1">
      <x:c r="A1991" s="3" t="str">
        <x:v>2201001</x:v>
      </x:c>
      <x:c r="B1991" s="3" t="str">
        <x:v>SEC021</x:v>
      </x:c>
      <x:c r="C1991" s="3" t="n">
        <x:v>7</x:v>
      </x:c>
      <x:c r="D1991" s="3" t="str">
        <x:v>absent</x:v>
      </x:c>
      <x:c r="E1991" s="5" t="str">
        <x:f>VLOOKUP(B1991,Sections!$A$5:$I$45,3,FALSE)</x:f>
        <x:v>2024-2</x:v>
      </x:c>
    </x:row>
    <x:row r="1992" ht="21" customHeight="1">
      <x:c r="A1992" s="3" t="str">
        <x:v>2201001</x:v>
      </x:c>
      <x:c r="B1992" s="3" t="str">
        <x:v>SEC021</x:v>
      </x:c>
      <x:c r="C1992" s="3" t="n">
        <x:v>8</x:v>
      </x:c>
      <x:c r="D1992" s="3" t="str">
        <x:v>present</x:v>
      </x:c>
      <x:c r="E1992" s="5" t="str">
        <x:f>VLOOKUP(B1992,Sections!$A$5:$I$45,3,FALSE)</x:f>
        <x:v>2024-2</x:v>
      </x:c>
    </x:row>
    <x:row r="1993" ht="21" customHeight="1">
      <x:c r="A1993" s="3" t="str">
        <x:v>2201001</x:v>
      </x:c>
      <x:c r="B1993" s="3" t="str">
        <x:v>SEC021</x:v>
      </x:c>
      <x:c r="C1993" s="3" t="n">
        <x:v>9</x:v>
      </x:c>
      <x:c r="D1993" s="3" t="str">
        <x:v>present</x:v>
      </x:c>
      <x:c r="E1993" s="5" t="str">
        <x:f>VLOOKUP(B1993,Sections!$A$5:$I$45,3,FALSE)</x:f>
        <x:v>2024-2</x:v>
      </x:c>
    </x:row>
    <x:row r="1994" ht="21" customHeight="1">
      <x:c r="A1994" s="3" t="str">
        <x:v>2201001</x:v>
      </x:c>
      <x:c r="B1994" s="3" t="str">
        <x:v>SEC021</x:v>
      </x:c>
      <x:c r="C1994" s="3" t="n">
        <x:v>10</x:v>
      </x:c>
      <x:c r="D1994" s="3" t="str">
        <x:v>present</x:v>
      </x:c>
      <x:c r="E1994" s="5" t="str">
        <x:f>VLOOKUP(B1994,Sections!$A$5:$I$45,3,FALSE)</x:f>
        <x:v>2024-2</x:v>
      </x:c>
    </x:row>
    <x:row r="1995" ht="21" customHeight="1">
      <x:c r="A1995" s="3" t="str">
        <x:v>2201001</x:v>
      </x:c>
      <x:c r="B1995" s="3" t="str">
        <x:v>SEC021</x:v>
      </x:c>
      <x:c r="C1995" s="3" t="n">
        <x:v>11</x:v>
      </x:c>
      <x:c r="D1995" s="3" t="str">
        <x:v>present</x:v>
      </x:c>
      <x:c r="E1995" s="5" t="str">
        <x:f>VLOOKUP(B1995,Sections!$A$5:$I$45,3,FALSE)</x:f>
        <x:v>2024-2</x:v>
      </x:c>
    </x:row>
    <x:row r="1996" ht="21" customHeight="1">
      <x:c r="A1996" s="3" t="str">
        <x:v>2201001</x:v>
      </x:c>
      <x:c r="B1996" s="3" t="str">
        <x:v>SEC021</x:v>
      </x:c>
      <x:c r="C1996" s="3" t="n">
        <x:v>12</x:v>
      </x:c>
      <x:c r="D1996" s="3" t="str">
        <x:v>present</x:v>
      </x:c>
      <x:c r="E1996" s="5" t="str">
        <x:f>VLOOKUP(B1996,Sections!$A$5:$I$45,3,FALSE)</x:f>
        <x:v>2024-2</x:v>
      </x:c>
    </x:row>
    <x:row r="1997" ht="21" customHeight="1">
      <x:c r="A1997" s="3" t="str">
        <x:v>2201001</x:v>
      </x:c>
      <x:c r="B1997" s="3" t="str">
        <x:v>SEC021</x:v>
      </x:c>
      <x:c r="C1997" s="3" t="n">
        <x:v>13</x:v>
      </x:c>
      <x:c r="D1997" s="3" t="str">
        <x:v>present</x:v>
      </x:c>
      <x:c r="E1997" s="5" t="str">
        <x:f>VLOOKUP(B1997,Sections!$A$5:$I$45,3,FALSE)</x:f>
        <x:v>2024-2</x:v>
      </x:c>
    </x:row>
    <x:row r="1998" ht="21" customHeight="1">
      <x:c r="A1998" s="3" t="str">
        <x:v>2201001</x:v>
      </x:c>
      <x:c r="B1998" s="3" t="str">
        <x:v>SEC021</x:v>
      </x:c>
      <x:c r="C1998" s="3" t="n">
        <x:v>14</x:v>
      </x:c>
      <x:c r="D1998" s="3" t="str">
        <x:v>present</x:v>
      </x:c>
      <x:c r="E1998" s="5" t="str">
        <x:f>VLOOKUP(B1998,Sections!$A$5:$I$45,3,FALSE)</x:f>
        <x:v>2024-2</x:v>
      </x:c>
    </x:row>
    <x:row r="1999" ht="21" customHeight="1">
      <x:c r="A1999" s="3" t="str">
        <x:v>2201001</x:v>
      </x:c>
      <x:c r="B1999" s="3" t="str">
        <x:v>SEC021</x:v>
      </x:c>
      <x:c r="C1999" s="3" t="n">
        <x:v>15</x:v>
      </x:c>
      <x:c r="D1999" s="3" t="str">
        <x:v>present</x:v>
      </x:c>
      <x:c r="E1999" s="5" t="str">
        <x:f>VLOOKUP(B1999,Sections!$A$5:$I$45,3,FALSE)</x:f>
        <x:v>2024-2</x:v>
      </x:c>
    </x:row>
    <x:row r="2000" ht="21" customHeight="1">
      <x:c r="A2000" s="3" t="str">
        <x:v>2201002</x:v>
      </x:c>
      <x:c r="B2000" s="3" t="str">
        <x:v>SEC021</x:v>
      </x:c>
      <x:c r="C2000" s="3" t="n">
        <x:v>1</x:v>
      </x:c>
      <x:c r="D2000" s="3" t="str">
        <x:v>present</x:v>
      </x:c>
      <x:c r="E2000" s="5" t="str">
        <x:f>VLOOKUP(B2000,Sections!$A$5:$I$45,3,FALSE)</x:f>
        <x:v>2024-2</x:v>
      </x:c>
    </x:row>
    <x:row r="2001" ht="21" customHeight="1">
      <x:c r="A2001" s="3" t="str">
        <x:v>2201002</x:v>
      </x:c>
      <x:c r="B2001" s="3" t="str">
        <x:v>SEC021</x:v>
      </x:c>
      <x:c r="C2001" s="3" t="n">
        <x:v>2</x:v>
      </x:c>
      <x:c r="D2001" s="3" t="str">
        <x:v>present</x:v>
      </x:c>
      <x:c r="E2001" s="5" t="str">
        <x:f>VLOOKUP(B2001,Sections!$A$5:$I$45,3,FALSE)</x:f>
        <x:v>2024-2</x:v>
      </x:c>
    </x:row>
    <x:row r="2002" ht="21" customHeight="1">
      <x:c r="A2002" s="3" t="str">
        <x:v>2201002</x:v>
      </x:c>
      <x:c r="B2002" s="3" t="str">
        <x:v>SEC021</x:v>
      </x:c>
      <x:c r="C2002" s="3" t="n">
        <x:v>3</x:v>
      </x:c>
      <x:c r="D2002" s="3" t="str">
        <x:v>present</x:v>
      </x:c>
      <x:c r="E2002" s="5" t="str">
        <x:f>VLOOKUP(B2002,Sections!$A$5:$I$45,3,FALSE)</x:f>
        <x:v>2024-2</x:v>
      </x:c>
    </x:row>
    <x:row r="2003" ht="21" customHeight="1">
      <x:c r="A2003" s="3" t="str">
        <x:v>2201002</x:v>
      </x:c>
      <x:c r="B2003" s="3" t="str">
        <x:v>SEC021</x:v>
      </x:c>
      <x:c r="C2003" s="3" t="n">
        <x:v>4</x:v>
      </x:c>
      <x:c r="D2003" s="3" t="str">
        <x:v>present</x:v>
      </x:c>
      <x:c r="E2003" s="5" t="str">
        <x:f>VLOOKUP(B2003,Sections!$A$5:$I$45,3,FALSE)</x:f>
        <x:v>2024-2</x:v>
      </x:c>
    </x:row>
    <x:row r="2004" ht="21" customHeight="1">
      <x:c r="A2004" s="3" t="str">
        <x:v>2201002</x:v>
      </x:c>
      <x:c r="B2004" s="3" t="str">
        <x:v>SEC021</x:v>
      </x:c>
      <x:c r="C2004" s="3" t="n">
        <x:v>5</x:v>
      </x:c>
      <x:c r="D2004" s="3" t="str">
        <x:v>present</x:v>
      </x:c>
      <x:c r="E2004" s="5" t="str">
        <x:f>VLOOKUP(B2004,Sections!$A$5:$I$45,3,FALSE)</x:f>
        <x:v>2024-2</x:v>
      </x:c>
    </x:row>
    <x:row r="2005" ht="21" customHeight="1">
      <x:c r="A2005" s="3" t="str">
        <x:v>2201002</x:v>
      </x:c>
      <x:c r="B2005" s="3" t="str">
        <x:v>SEC021</x:v>
      </x:c>
      <x:c r="C2005" s="3" t="n">
        <x:v>6</x:v>
      </x:c>
      <x:c r="D2005" s="3" t="str">
        <x:v>present</x:v>
      </x:c>
      <x:c r="E2005" s="5" t="str">
        <x:f>VLOOKUP(B2005,Sections!$A$5:$I$45,3,FALSE)</x:f>
        <x:v>2024-2</x:v>
      </x:c>
    </x:row>
    <x:row r="2006" ht="21" customHeight="1">
      <x:c r="A2006" s="3" t="str">
        <x:v>2201002</x:v>
      </x:c>
      <x:c r="B2006" s="3" t="str">
        <x:v>SEC021</x:v>
      </x:c>
      <x:c r="C2006" s="3" t="n">
        <x:v>7</x:v>
      </x:c>
      <x:c r="D2006" s="3" t="str">
        <x:v>present</x:v>
      </x:c>
      <x:c r="E2006" s="5" t="str">
        <x:f>VLOOKUP(B2006,Sections!$A$5:$I$45,3,FALSE)</x:f>
        <x:v>2024-2</x:v>
      </x:c>
    </x:row>
    <x:row r="2007" ht="21" customHeight="1">
      <x:c r="A2007" s="3" t="str">
        <x:v>2201002</x:v>
      </x:c>
      <x:c r="B2007" s="3" t="str">
        <x:v>SEC021</x:v>
      </x:c>
      <x:c r="C2007" s="3" t="n">
        <x:v>8</x:v>
      </x:c>
      <x:c r="D2007" s="3" t="str">
        <x:v>present</x:v>
      </x:c>
      <x:c r="E2007" s="5" t="str">
        <x:f>VLOOKUP(B2007,Sections!$A$5:$I$45,3,FALSE)</x:f>
        <x:v>2024-2</x:v>
      </x:c>
    </x:row>
    <x:row r="2008" ht="21" customHeight="1">
      <x:c r="A2008" s="3" t="str">
        <x:v>2201002</x:v>
      </x:c>
      <x:c r="B2008" s="3" t="str">
        <x:v>SEC021</x:v>
      </x:c>
      <x:c r="C2008" s="3" t="n">
        <x:v>9</x:v>
      </x:c>
      <x:c r="D2008" s="3" t="str">
        <x:v>present</x:v>
      </x:c>
      <x:c r="E2008" s="5" t="str">
        <x:f>VLOOKUP(B2008,Sections!$A$5:$I$45,3,FALSE)</x:f>
        <x:v>2024-2</x:v>
      </x:c>
    </x:row>
    <x:row r="2009" ht="21" customHeight="1">
      <x:c r="A2009" s="3" t="str">
        <x:v>2201002</x:v>
      </x:c>
      <x:c r="B2009" s="3" t="str">
        <x:v>SEC021</x:v>
      </x:c>
      <x:c r="C2009" s="3" t="n">
        <x:v>10</x:v>
      </x:c>
      <x:c r="D2009" s="3" t="str">
        <x:v>present</x:v>
      </x:c>
      <x:c r="E2009" s="5" t="str">
        <x:f>VLOOKUP(B2009,Sections!$A$5:$I$45,3,FALSE)</x:f>
        <x:v>2024-2</x:v>
      </x:c>
    </x:row>
    <x:row r="2010" ht="21" customHeight="1">
      <x:c r="A2010" s="3" t="str">
        <x:v>2201002</x:v>
      </x:c>
      <x:c r="B2010" s="3" t="str">
        <x:v>SEC021</x:v>
      </x:c>
      <x:c r="C2010" s="3" t="n">
        <x:v>11</x:v>
      </x:c>
      <x:c r="D2010" s="3" t="str">
        <x:v>absent</x:v>
      </x:c>
      <x:c r="E2010" s="5" t="str">
        <x:f>VLOOKUP(B2010,Sections!$A$5:$I$45,3,FALSE)</x:f>
        <x:v>2024-2</x:v>
      </x:c>
    </x:row>
    <x:row r="2011" ht="21" customHeight="1">
      <x:c r="A2011" s="3" t="str">
        <x:v>2201002</x:v>
      </x:c>
      <x:c r="B2011" s="3" t="str">
        <x:v>SEC021</x:v>
      </x:c>
      <x:c r="C2011" s="3" t="n">
        <x:v>12</x:v>
      </x:c>
      <x:c r="D2011" s="3" t="str">
        <x:v>present</x:v>
      </x:c>
      <x:c r="E2011" s="5" t="str">
        <x:f>VLOOKUP(B2011,Sections!$A$5:$I$45,3,FALSE)</x:f>
        <x:v>2024-2</x:v>
      </x:c>
    </x:row>
    <x:row r="2012" ht="21" customHeight="1">
      <x:c r="A2012" s="3" t="str">
        <x:v>2201002</x:v>
      </x:c>
      <x:c r="B2012" s="3" t="str">
        <x:v>SEC021</x:v>
      </x:c>
      <x:c r="C2012" s="3" t="n">
        <x:v>13</x:v>
      </x:c>
      <x:c r="D2012" s="3" t="str">
        <x:v>present</x:v>
      </x:c>
      <x:c r="E2012" s="5" t="str">
        <x:f>VLOOKUP(B2012,Sections!$A$5:$I$45,3,FALSE)</x:f>
        <x:v>2024-2</x:v>
      </x:c>
    </x:row>
    <x:row r="2013" ht="21" customHeight="1">
      <x:c r="A2013" s="3" t="str">
        <x:v>2201002</x:v>
      </x:c>
      <x:c r="B2013" s="3" t="str">
        <x:v>SEC021</x:v>
      </x:c>
      <x:c r="C2013" s="3" t="n">
        <x:v>14</x:v>
      </x:c>
      <x:c r="D2013" s="3" t="str">
        <x:v>present</x:v>
      </x:c>
      <x:c r="E2013" s="5" t="str">
        <x:f>VLOOKUP(B2013,Sections!$A$5:$I$45,3,FALSE)</x:f>
        <x:v>2024-2</x:v>
      </x:c>
    </x:row>
    <x:row r="2014" ht="21" customHeight="1">
      <x:c r="A2014" s="3" t="str">
        <x:v>2201002</x:v>
      </x:c>
      <x:c r="B2014" s="3" t="str">
        <x:v>SEC021</x:v>
      </x:c>
      <x:c r="C2014" s="3" t="n">
        <x:v>15</x:v>
      </x:c>
      <x:c r="D2014" s="3" t="str">
        <x:v>present</x:v>
      </x:c>
      <x:c r="E2014" s="5" t="str">
        <x:f>VLOOKUP(B2014,Sections!$A$5:$I$45,3,FALSE)</x:f>
        <x:v>2024-2</x:v>
      </x:c>
    </x:row>
    <x:row r="2015" ht="21" customHeight="1">
      <x:c r="A2015" s="3" t="str">
        <x:v>2201003</x:v>
      </x:c>
      <x:c r="B2015" s="3" t="str">
        <x:v>SEC021</x:v>
      </x:c>
      <x:c r="C2015" s="3" t="n">
        <x:v>1</x:v>
      </x:c>
      <x:c r="D2015" s="3" t="str">
        <x:v>present</x:v>
      </x:c>
      <x:c r="E2015" s="5" t="str">
        <x:f>VLOOKUP(B2015,Sections!$A$5:$I$45,3,FALSE)</x:f>
        <x:v>2024-2</x:v>
      </x:c>
    </x:row>
    <x:row r="2016" ht="21" customHeight="1">
      <x:c r="A2016" s="3" t="str">
        <x:v>2201003</x:v>
      </x:c>
      <x:c r="B2016" s="3" t="str">
        <x:v>SEC021</x:v>
      </x:c>
      <x:c r="C2016" s="3" t="n">
        <x:v>2</x:v>
      </x:c>
      <x:c r="D2016" s="3" t="str">
        <x:v>present</x:v>
      </x:c>
      <x:c r="E2016" s="5" t="str">
        <x:f>VLOOKUP(B2016,Sections!$A$5:$I$45,3,FALSE)</x:f>
        <x:v>2024-2</x:v>
      </x:c>
    </x:row>
    <x:row r="2017" ht="21" customHeight="1">
      <x:c r="A2017" s="3" t="str">
        <x:v>2201003</x:v>
      </x:c>
      <x:c r="B2017" s="3" t="str">
        <x:v>SEC021</x:v>
      </x:c>
      <x:c r="C2017" s="3" t="n">
        <x:v>3</x:v>
      </x:c>
      <x:c r="D2017" s="3" t="str">
        <x:v>present</x:v>
      </x:c>
      <x:c r="E2017" s="5" t="str">
        <x:f>VLOOKUP(B2017,Sections!$A$5:$I$45,3,FALSE)</x:f>
        <x:v>2024-2</x:v>
      </x:c>
    </x:row>
    <x:row r="2018" ht="21" customHeight="1">
      <x:c r="A2018" s="3" t="str">
        <x:v>2201003</x:v>
      </x:c>
      <x:c r="B2018" s="3" t="str">
        <x:v>SEC021</x:v>
      </x:c>
      <x:c r="C2018" s="3" t="n">
        <x:v>4</x:v>
      </x:c>
      <x:c r="D2018" s="3" t="str">
        <x:v>present</x:v>
      </x:c>
      <x:c r="E2018" s="5" t="str">
        <x:f>VLOOKUP(B2018,Sections!$A$5:$I$45,3,FALSE)</x:f>
        <x:v>2024-2</x:v>
      </x:c>
    </x:row>
    <x:row r="2019" ht="21" customHeight="1">
      <x:c r="A2019" s="3" t="str">
        <x:v>2201003</x:v>
      </x:c>
      <x:c r="B2019" s="3" t="str">
        <x:v>SEC021</x:v>
      </x:c>
      <x:c r="C2019" s="3" t="n">
        <x:v>5</x:v>
      </x:c>
      <x:c r="D2019" s="3" t="str">
        <x:v>present</x:v>
      </x:c>
      <x:c r="E2019" s="5" t="str">
        <x:f>VLOOKUP(B2019,Sections!$A$5:$I$45,3,FALSE)</x:f>
        <x:v>2024-2</x:v>
      </x:c>
    </x:row>
    <x:row r="2020" ht="21" customHeight="1">
      <x:c r="A2020" s="3" t="str">
        <x:v>2201003</x:v>
      </x:c>
      <x:c r="B2020" s="3" t="str">
        <x:v>SEC021</x:v>
      </x:c>
      <x:c r="C2020" s="3" t="n">
        <x:v>6</x:v>
      </x:c>
      <x:c r="D2020" s="3" t="str">
        <x:v>absent</x:v>
      </x:c>
      <x:c r="E2020" s="5" t="str">
        <x:f>VLOOKUP(B2020,Sections!$A$5:$I$45,3,FALSE)</x:f>
        <x:v>2024-2</x:v>
      </x:c>
    </x:row>
    <x:row r="2021" ht="21" customHeight="1">
      <x:c r="A2021" s="3" t="str">
        <x:v>2201003</x:v>
      </x:c>
      <x:c r="B2021" s="3" t="str">
        <x:v>SEC021</x:v>
      </x:c>
      <x:c r="C2021" s="3" t="n">
        <x:v>7</x:v>
      </x:c>
      <x:c r="D2021" s="3" t="str">
        <x:v>present</x:v>
      </x:c>
      <x:c r="E2021" s="5" t="str">
        <x:f>VLOOKUP(B2021,Sections!$A$5:$I$45,3,FALSE)</x:f>
        <x:v>2024-2</x:v>
      </x:c>
    </x:row>
    <x:row r="2022" ht="21" customHeight="1">
      <x:c r="A2022" s="3" t="str">
        <x:v>2201003</x:v>
      </x:c>
      <x:c r="B2022" s="3" t="str">
        <x:v>SEC021</x:v>
      </x:c>
      <x:c r="C2022" s="3" t="n">
        <x:v>8</x:v>
      </x:c>
      <x:c r="D2022" s="3" t="str">
        <x:v>present</x:v>
      </x:c>
      <x:c r="E2022" s="5" t="str">
        <x:f>VLOOKUP(B2022,Sections!$A$5:$I$45,3,FALSE)</x:f>
        <x:v>2024-2</x:v>
      </x:c>
    </x:row>
    <x:row r="2023" ht="21" customHeight="1">
      <x:c r="A2023" s="3" t="str">
        <x:v>2201003</x:v>
      </x:c>
      <x:c r="B2023" s="3" t="str">
        <x:v>SEC021</x:v>
      </x:c>
      <x:c r="C2023" s="3" t="n">
        <x:v>9</x:v>
      </x:c>
      <x:c r="D2023" s="3" t="str">
        <x:v>present</x:v>
      </x:c>
      <x:c r="E2023" s="5" t="str">
        <x:f>VLOOKUP(B2023,Sections!$A$5:$I$45,3,FALSE)</x:f>
        <x:v>2024-2</x:v>
      </x:c>
    </x:row>
    <x:row r="2024" ht="21" customHeight="1">
      <x:c r="A2024" s="3" t="str">
        <x:v>2201003</x:v>
      </x:c>
      <x:c r="B2024" s="3" t="str">
        <x:v>SEC021</x:v>
      </x:c>
      <x:c r="C2024" s="3" t="n">
        <x:v>10</x:v>
      </x:c>
      <x:c r="D2024" s="3" t="str">
        <x:v>present</x:v>
      </x:c>
      <x:c r="E2024" s="5" t="str">
        <x:f>VLOOKUP(B2024,Sections!$A$5:$I$45,3,FALSE)</x:f>
        <x:v>2024-2</x:v>
      </x:c>
    </x:row>
    <x:row r="2025" ht="21" customHeight="1">
      <x:c r="A2025" s="3" t="str">
        <x:v>2201003</x:v>
      </x:c>
      <x:c r="B2025" s="3" t="str">
        <x:v>SEC021</x:v>
      </x:c>
      <x:c r="C2025" s="3" t="n">
        <x:v>11</x:v>
      </x:c>
      <x:c r="D2025" s="3" t="str">
        <x:v>present</x:v>
      </x:c>
      <x:c r="E2025" s="5" t="str">
        <x:f>VLOOKUP(B2025,Sections!$A$5:$I$45,3,FALSE)</x:f>
        <x:v>2024-2</x:v>
      </x:c>
    </x:row>
    <x:row r="2026" ht="21" customHeight="1">
      <x:c r="A2026" s="3" t="str">
        <x:v>2201003</x:v>
      </x:c>
      <x:c r="B2026" s="3" t="str">
        <x:v>SEC021</x:v>
      </x:c>
      <x:c r="C2026" s="3" t="n">
        <x:v>12</x:v>
      </x:c>
      <x:c r="D2026" s="3" t="str">
        <x:v>present</x:v>
      </x:c>
      <x:c r="E2026" s="5" t="str">
        <x:f>VLOOKUP(B2026,Sections!$A$5:$I$45,3,FALSE)</x:f>
        <x:v>2024-2</x:v>
      </x:c>
    </x:row>
    <x:row r="2027" ht="21" customHeight="1">
      <x:c r="A2027" s="3" t="str">
        <x:v>2201003</x:v>
      </x:c>
      <x:c r="B2027" s="3" t="str">
        <x:v>SEC021</x:v>
      </x:c>
      <x:c r="C2027" s="3" t="n">
        <x:v>13</x:v>
      </x:c>
      <x:c r="D2027" s="3" t="str">
        <x:v>present</x:v>
      </x:c>
      <x:c r="E2027" s="5" t="str">
        <x:f>VLOOKUP(B2027,Sections!$A$5:$I$45,3,FALSE)</x:f>
        <x:v>2024-2</x:v>
      </x:c>
    </x:row>
    <x:row r="2028" ht="21" customHeight="1">
      <x:c r="A2028" s="3" t="str">
        <x:v>2201003</x:v>
      </x:c>
      <x:c r="B2028" s="3" t="str">
        <x:v>SEC021</x:v>
      </x:c>
      <x:c r="C2028" s="3" t="n">
        <x:v>14</x:v>
      </x:c>
      <x:c r="D2028" s="3" t="str">
        <x:v>absent</x:v>
      </x:c>
      <x:c r="E2028" s="5" t="str">
        <x:f>VLOOKUP(B2028,Sections!$A$5:$I$45,3,FALSE)</x:f>
        <x:v>2024-2</x:v>
      </x:c>
    </x:row>
    <x:row r="2029" ht="21" customHeight="1">
      <x:c r="A2029" s="3" t="str">
        <x:v>2201003</x:v>
      </x:c>
      <x:c r="B2029" s="3" t="str">
        <x:v>SEC021</x:v>
      </x:c>
      <x:c r="C2029" s="3" t="n">
        <x:v>15</x:v>
      </x:c>
      <x:c r="D2029" s="3" t="str">
        <x:v>present</x:v>
      </x:c>
      <x:c r="E2029" s="5" t="str">
        <x:f>VLOOKUP(B2029,Sections!$A$5:$I$45,3,FALSE)</x:f>
        <x:v>2024-2</x:v>
      </x:c>
    </x:row>
    <x:row r="2030" ht="21" customHeight="1">
      <x:c r="A2030" s="3" t="str">
        <x:v>2201004</x:v>
      </x:c>
      <x:c r="B2030" s="3" t="str">
        <x:v>SEC021</x:v>
      </x:c>
      <x:c r="C2030" s="3" t="n">
        <x:v>1</x:v>
      </x:c>
      <x:c r="D2030" s="3" t="str">
        <x:v>present</x:v>
      </x:c>
      <x:c r="E2030" s="5" t="str">
        <x:f>VLOOKUP(B2030,Sections!$A$5:$I$45,3,FALSE)</x:f>
        <x:v>2024-2</x:v>
      </x:c>
    </x:row>
    <x:row r="2031" ht="21" customHeight="1">
      <x:c r="A2031" s="3" t="str">
        <x:v>2201004</x:v>
      </x:c>
      <x:c r="B2031" s="3" t="str">
        <x:v>SEC021</x:v>
      </x:c>
      <x:c r="C2031" s="3" t="n">
        <x:v>2</x:v>
      </x:c>
      <x:c r="D2031" s="3" t="str">
        <x:v>present</x:v>
      </x:c>
      <x:c r="E2031" s="5" t="str">
        <x:f>VLOOKUP(B2031,Sections!$A$5:$I$45,3,FALSE)</x:f>
        <x:v>2024-2</x:v>
      </x:c>
    </x:row>
    <x:row r="2032" ht="21" customHeight="1">
      <x:c r="A2032" s="3" t="str">
        <x:v>2201004</x:v>
      </x:c>
      <x:c r="B2032" s="3" t="str">
        <x:v>SEC021</x:v>
      </x:c>
      <x:c r="C2032" s="3" t="n">
        <x:v>3</x:v>
      </x:c>
      <x:c r="D2032" s="3" t="str">
        <x:v>present</x:v>
      </x:c>
      <x:c r="E2032" s="5" t="str">
        <x:f>VLOOKUP(B2032,Sections!$A$5:$I$45,3,FALSE)</x:f>
        <x:v>2024-2</x:v>
      </x:c>
    </x:row>
    <x:row r="2033" ht="21" customHeight="1">
      <x:c r="A2033" s="3" t="str">
        <x:v>2201004</x:v>
      </x:c>
      <x:c r="B2033" s="3" t="str">
        <x:v>SEC021</x:v>
      </x:c>
      <x:c r="C2033" s="3" t="n">
        <x:v>4</x:v>
      </x:c>
      <x:c r="D2033" s="3" t="str">
        <x:v>present</x:v>
      </x:c>
      <x:c r="E2033" s="5" t="str">
        <x:f>VLOOKUP(B2033,Sections!$A$5:$I$45,3,FALSE)</x:f>
        <x:v>2024-2</x:v>
      </x:c>
    </x:row>
    <x:row r="2034" ht="21" customHeight="1">
      <x:c r="A2034" s="3" t="str">
        <x:v>2201004</x:v>
      </x:c>
      <x:c r="B2034" s="3" t="str">
        <x:v>SEC021</x:v>
      </x:c>
      <x:c r="C2034" s="3" t="n">
        <x:v>5</x:v>
      </x:c>
      <x:c r="D2034" s="3" t="str">
        <x:v>present</x:v>
      </x:c>
      <x:c r="E2034" s="5" t="str">
        <x:f>VLOOKUP(B2034,Sections!$A$5:$I$45,3,FALSE)</x:f>
        <x:v>2024-2</x:v>
      </x:c>
    </x:row>
    <x:row r="2035" ht="21" customHeight="1">
      <x:c r="A2035" s="3" t="str">
        <x:v>2201004</x:v>
      </x:c>
      <x:c r="B2035" s="3" t="str">
        <x:v>SEC021</x:v>
      </x:c>
      <x:c r="C2035" s="3" t="n">
        <x:v>6</x:v>
      </x:c>
      <x:c r="D2035" s="3" t="str">
        <x:v>present</x:v>
      </x:c>
      <x:c r="E2035" s="5" t="str">
        <x:f>VLOOKUP(B2035,Sections!$A$5:$I$45,3,FALSE)</x:f>
        <x:v>2024-2</x:v>
      </x:c>
    </x:row>
    <x:row r="2036" ht="21" customHeight="1">
      <x:c r="A2036" s="3" t="str">
        <x:v>2201004</x:v>
      </x:c>
      <x:c r="B2036" s="3" t="str">
        <x:v>SEC021</x:v>
      </x:c>
      <x:c r="C2036" s="3" t="n">
        <x:v>7</x:v>
      </x:c>
      <x:c r="D2036" s="3" t="str">
        <x:v>present</x:v>
      </x:c>
      <x:c r="E2036" s="5" t="str">
        <x:f>VLOOKUP(B2036,Sections!$A$5:$I$45,3,FALSE)</x:f>
        <x:v>2024-2</x:v>
      </x:c>
    </x:row>
    <x:row r="2037" ht="21" customHeight="1">
      <x:c r="A2037" s="3" t="str">
        <x:v>2201004</x:v>
      </x:c>
      <x:c r="B2037" s="3" t="str">
        <x:v>SEC021</x:v>
      </x:c>
      <x:c r="C2037" s="3" t="n">
        <x:v>8</x:v>
      </x:c>
      <x:c r="D2037" s="3" t="str">
        <x:v>present</x:v>
      </x:c>
      <x:c r="E2037" s="5" t="str">
        <x:f>VLOOKUP(B2037,Sections!$A$5:$I$45,3,FALSE)</x:f>
        <x:v>2024-2</x:v>
      </x:c>
    </x:row>
    <x:row r="2038" ht="21" customHeight="1">
      <x:c r="A2038" s="3" t="str">
        <x:v>2201004</x:v>
      </x:c>
      <x:c r="B2038" s="3" t="str">
        <x:v>SEC021</x:v>
      </x:c>
      <x:c r="C2038" s="3" t="n">
        <x:v>9</x:v>
      </x:c>
      <x:c r="D2038" s="3" t="str">
        <x:v>present</x:v>
      </x:c>
      <x:c r="E2038" s="5" t="str">
        <x:f>VLOOKUP(B2038,Sections!$A$5:$I$45,3,FALSE)</x:f>
        <x:v>2024-2</x:v>
      </x:c>
    </x:row>
    <x:row r="2039" ht="21" customHeight="1">
      <x:c r="A2039" s="3" t="str">
        <x:v>2201004</x:v>
      </x:c>
      <x:c r="B2039" s="3" t="str">
        <x:v>SEC021</x:v>
      </x:c>
      <x:c r="C2039" s="3" t="n">
        <x:v>10</x:v>
      </x:c>
      <x:c r="D2039" s="3" t="str">
        <x:v>present</x:v>
      </x:c>
      <x:c r="E2039" s="5" t="str">
        <x:f>VLOOKUP(B2039,Sections!$A$5:$I$45,3,FALSE)</x:f>
        <x:v>2024-2</x:v>
      </x:c>
    </x:row>
    <x:row r="2040" ht="21" customHeight="1">
      <x:c r="A2040" s="3" t="str">
        <x:v>2201004</x:v>
      </x:c>
      <x:c r="B2040" s="3" t="str">
        <x:v>SEC021</x:v>
      </x:c>
      <x:c r="C2040" s="3" t="n">
        <x:v>11</x:v>
      </x:c>
      <x:c r="D2040" s="3" t="str">
        <x:v>present</x:v>
      </x:c>
      <x:c r="E2040" s="5" t="str">
        <x:f>VLOOKUP(B2040,Sections!$A$5:$I$45,3,FALSE)</x:f>
        <x:v>2024-2</x:v>
      </x:c>
    </x:row>
    <x:row r="2041" ht="21" customHeight="1">
      <x:c r="A2041" s="3" t="str">
        <x:v>2201004</x:v>
      </x:c>
      <x:c r="B2041" s="3" t="str">
        <x:v>SEC021</x:v>
      </x:c>
      <x:c r="C2041" s="3" t="n">
        <x:v>12</x:v>
      </x:c>
      <x:c r="D2041" s="3" t="str">
        <x:v>present</x:v>
      </x:c>
      <x:c r="E2041" s="5" t="str">
        <x:f>VLOOKUP(B2041,Sections!$A$5:$I$45,3,FALSE)</x:f>
        <x:v>2024-2</x:v>
      </x:c>
    </x:row>
    <x:row r="2042" ht="21" customHeight="1">
      <x:c r="A2042" s="3" t="str">
        <x:v>2201004</x:v>
      </x:c>
      <x:c r="B2042" s="3" t="str">
        <x:v>SEC021</x:v>
      </x:c>
      <x:c r="C2042" s="3" t="n">
        <x:v>13</x:v>
      </x:c>
      <x:c r="D2042" s="3" t="str">
        <x:v>present</x:v>
      </x:c>
      <x:c r="E2042" s="5" t="str">
        <x:f>VLOOKUP(B2042,Sections!$A$5:$I$45,3,FALSE)</x:f>
        <x:v>2024-2</x:v>
      </x:c>
    </x:row>
    <x:row r="2043" ht="21" customHeight="1">
      <x:c r="A2043" s="3" t="str">
        <x:v>2201004</x:v>
      </x:c>
      <x:c r="B2043" s="3" t="str">
        <x:v>SEC021</x:v>
      </x:c>
      <x:c r="C2043" s="3" t="n">
        <x:v>14</x:v>
      </x:c>
      <x:c r="D2043" s="3" t="str">
        <x:v>present</x:v>
      </x:c>
      <x:c r="E2043" s="5" t="str">
        <x:f>VLOOKUP(B2043,Sections!$A$5:$I$45,3,FALSE)</x:f>
        <x:v>2024-2</x:v>
      </x:c>
    </x:row>
    <x:row r="2044" ht="21" customHeight="1">
      <x:c r="A2044" s="3" t="str">
        <x:v>2201004</x:v>
      </x:c>
      <x:c r="B2044" s="3" t="str">
        <x:v>SEC021</x:v>
      </x:c>
      <x:c r="C2044" s="3" t="n">
        <x:v>15</x:v>
      </x:c>
      <x:c r="D2044" s="3" t="str">
        <x:v>present</x:v>
      </x:c>
      <x:c r="E2044" s="5" t="str">
        <x:f>VLOOKUP(B2044,Sections!$A$5:$I$45,3,FALSE)</x:f>
        <x:v>2024-2</x:v>
      </x:c>
    </x:row>
    <x:row r="2045" ht="21" customHeight="1">
      <x:c r="A2045" s="3" t="str">
        <x:v>2201005</x:v>
      </x:c>
      <x:c r="B2045" s="3" t="str">
        <x:v>SEC021</x:v>
      </x:c>
      <x:c r="C2045" s="3" t="n">
        <x:v>1</x:v>
      </x:c>
      <x:c r="D2045" s="3" t="str">
        <x:v>late</x:v>
      </x:c>
      <x:c r="E2045" s="5" t="str">
        <x:f>VLOOKUP(B2045,Sections!$A$5:$I$45,3,FALSE)</x:f>
        <x:v>2024-2</x:v>
      </x:c>
    </x:row>
    <x:row r="2046" ht="21" customHeight="1">
      <x:c r="A2046" s="3" t="str">
        <x:v>2201005</x:v>
      </x:c>
      <x:c r="B2046" s="3" t="str">
        <x:v>SEC021</x:v>
      </x:c>
      <x:c r="C2046" s="3" t="n">
        <x:v>2</x:v>
      </x:c>
      <x:c r="D2046" s="3" t="str">
        <x:v>present</x:v>
      </x:c>
      <x:c r="E2046" s="5" t="str">
        <x:f>VLOOKUP(B2046,Sections!$A$5:$I$45,3,FALSE)</x:f>
        <x:v>2024-2</x:v>
      </x:c>
    </x:row>
    <x:row r="2047" ht="21" customHeight="1">
      <x:c r="A2047" s="3" t="str">
        <x:v>2201005</x:v>
      </x:c>
      <x:c r="B2047" s="3" t="str">
        <x:v>SEC021</x:v>
      </x:c>
      <x:c r="C2047" s="3" t="n">
        <x:v>3</x:v>
      </x:c>
      <x:c r="D2047" s="3" t="str">
        <x:v>present</x:v>
      </x:c>
      <x:c r="E2047" s="5" t="str">
        <x:f>VLOOKUP(B2047,Sections!$A$5:$I$45,3,FALSE)</x:f>
        <x:v>2024-2</x:v>
      </x:c>
    </x:row>
    <x:row r="2048" ht="21" customHeight="1">
      <x:c r="A2048" s="3" t="str">
        <x:v>2201005</x:v>
      </x:c>
      <x:c r="B2048" s="3" t="str">
        <x:v>SEC021</x:v>
      </x:c>
      <x:c r="C2048" s="3" t="n">
        <x:v>4</x:v>
      </x:c>
      <x:c r="D2048" s="3" t="str">
        <x:v>present</x:v>
      </x:c>
      <x:c r="E2048" s="5" t="str">
        <x:f>VLOOKUP(B2048,Sections!$A$5:$I$45,3,FALSE)</x:f>
        <x:v>2024-2</x:v>
      </x:c>
    </x:row>
    <x:row r="2049" ht="21" customHeight="1">
      <x:c r="A2049" s="3" t="str">
        <x:v>2201005</x:v>
      </x:c>
      <x:c r="B2049" s="3" t="str">
        <x:v>SEC021</x:v>
      </x:c>
      <x:c r="C2049" s="3" t="n">
        <x:v>5</x:v>
      </x:c>
      <x:c r="D2049" s="3" t="str">
        <x:v>absent</x:v>
      </x:c>
      <x:c r="E2049" s="5" t="str">
        <x:f>VLOOKUP(B2049,Sections!$A$5:$I$45,3,FALSE)</x:f>
        <x:v>2024-2</x:v>
      </x:c>
    </x:row>
    <x:row r="2050" ht="21" customHeight="1">
      <x:c r="A2050" s="3" t="str">
        <x:v>2201005</x:v>
      </x:c>
      <x:c r="B2050" s="3" t="str">
        <x:v>SEC021</x:v>
      </x:c>
      <x:c r="C2050" s="3" t="n">
        <x:v>6</x:v>
      </x:c>
      <x:c r="D2050" s="3" t="str">
        <x:v>absent</x:v>
      </x:c>
      <x:c r="E2050" s="5" t="str">
        <x:f>VLOOKUP(B2050,Sections!$A$5:$I$45,3,FALSE)</x:f>
        <x:v>2024-2</x:v>
      </x:c>
    </x:row>
    <x:row r="2051" ht="21" customHeight="1">
      <x:c r="A2051" s="3" t="str">
        <x:v>2201005</x:v>
      </x:c>
      <x:c r="B2051" s="3" t="str">
        <x:v>SEC021</x:v>
      </x:c>
      <x:c r="C2051" s="3" t="n">
        <x:v>7</x:v>
      </x:c>
      <x:c r="D2051" s="3" t="str">
        <x:v>present</x:v>
      </x:c>
      <x:c r="E2051" s="5" t="str">
        <x:f>VLOOKUP(B2051,Sections!$A$5:$I$45,3,FALSE)</x:f>
        <x:v>2024-2</x:v>
      </x:c>
    </x:row>
    <x:row r="2052" ht="21" customHeight="1">
      <x:c r="A2052" s="3" t="str">
        <x:v>2201005</x:v>
      </x:c>
      <x:c r="B2052" s="3" t="str">
        <x:v>SEC021</x:v>
      </x:c>
      <x:c r="C2052" s="3" t="n">
        <x:v>8</x:v>
      </x:c>
      <x:c r="D2052" s="3" t="str">
        <x:v>present</x:v>
      </x:c>
      <x:c r="E2052" s="5" t="str">
        <x:f>VLOOKUP(B2052,Sections!$A$5:$I$45,3,FALSE)</x:f>
        <x:v>2024-2</x:v>
      </x:c>
    </x:row>
    <x:row r="2053" ht="21" customHeight="1">
      <x:c r="A2053" s="3" t="str">
        <x:v>2201005</x:v>
      </x:c>
      <x:c r="B2053" s="3" t="str">
        <x:v>SEC021</x:v>
      </x:c>
      <x:c r="C2053" s="3" t="n">
        <x:v>9</x:v>
      </x:c>
      <x:c r="D2053" s="3" t="str">
        <x:v>present</x:v>
      </x:c>
      <x:c r="E2053" s="5" t="str">
        <x:f>VLOOKUP(B2053,Sections!$A$5:$I$45,3,FALSE)</x:f>
        <x:v>2024-2</x:v>
      </x:c>
    </x:row>
    <x:row r="2054" ht="21" customHeight="1">
      <x:c r="A2054" s="3" t="str">
        <x:v>2201005</x:v>
      </x:c>
      <x:c r="B2054" s="3" t="str">
        <x:v>SEC021</x:v>
      </x:c>
      <x:c r="C2054" s="3" t="n">
        <x:v>10</x:v>
      </x:c>
      <x:c r="D2054" s="3" t="str">
        <x:v>absent</x:v>
      </x:c>
      <x:c r="E2054" s="5" t="str">
        <x:f>VLOOKUP(B2054,Sections!$A$5:$I$45,3,FALSE)</x:f>
        <x:v>2024-2</x:v>
      </x:c>
    </x:row>
    <x:row r="2055" ht="21" customHeight="1">
      <x:c r="A2055" s="3" t="str">
        <x:v>2201005</x:v>
      </x:c>
      <x:c r="B2055" s="3" t="str">
        <x:v>SEC021</x:v>
      </x:c>
      <x:c r="C2055" s="3" t="n">
        <x:v>11</x:v>
      </x:c>
      <x:c r="D2055" s="3" t="str">
        <x:v>present</x:v>
      </x:c>
      <x:c r="E2055" s="5" t="str">
        <x:f>VLOOKUP(B2055,Sections!$A$5:$I$45,3,FALSE)</x:f>
        <x:v>2024-2</x:v>
      </x:c>
    </x:row>
    <x:row r="2056" ht="21" customHeight="1">
      <x:c r="A2056" s="3" t="str">
        <x:v>2201005</x:v>
      </x:c>
      <x:c r="B2056" s="3" t="str">
        <x:v>SEC021</x:v>
      </x:c>
      <x:c r="C2056" s="3" t="n">
        <x:v>12</x:v>
      </x:c>
      <x:c r="D2056" s="3" t="str">
        <x:v>present</x:v>
      </x:c>
      <x:c r="E2056" s="5" t="str">
        <x:f>VLOOKUP(B2056,Sections!$A$5:$I$45,3,FALSE)</x:f>
        <x:v>2024-2</x:v>
      </x:c>
    </x:row>
    <x:row r="2057" ht="21" customHeight="1">
      <x:c r="A2057" s="3" t="str">
        <x:v>2201005</x:v>
      </x:c>
      <x:c r="B2057" s="3" t="str">
        <x:v>SEC021</x:v>
      </x:c>
      <x:c r="C2057" s="3" t="n">
        <x:v>13</x:v>
      </x:c>
      <x:c r="D2057" s="3" t="str">
        <x:v>present</x:v>
      </x:c>
      <x:c r="E2057" s="5" t="str">
        <x:f>VLOOKUP(B2057,Sections!$A$5:$I$45,3,FALSE)</x:f>
        <x:v>2024-2</x:v>
      </x:c>
    </x:row>
    <x:row r="2058" ht="21" customHeight="1">
      <x:c r="A2058" s="3" t="str">
        <x:v>2201005</x:v>
      </x:c>
      <x:c r="B2058" s="3" t="str">
        <x:v>SEC021</x:v>
      </x:c>
      <x:c r="C2058" s="3" t="n">
        <x:v>14</x:v>
      </x:c>
      <x:c r="D2058" s="3" t="str">
        <x:v>present</x:v>
      </x:c>
      <x:c r="E2058" s="5" t="str">
        <x:f>VLOOKUP(B2058,Sections!$A$5:$I$45,3,FALSE)</x:f>
        <x:v>2024-2</x:v>
      </x:c>
    </x:row>
    <x:row r="2059" ht="21" customHeight="1">
      <x:c r="A2059" s="3" t="str">
        <x:v>2201005</x:v>
      </x:c>
      <x:c r="B2059" s="3" t="str">
        <x:v>SEC021</x:v>
      </x:c>
      <x:c r="C2059" s="3" t="n">
        <x:v>15</x:v>
      </x:c>
      <x:c r="D2059" s="3" t="str">
        <x:v>present</x:v>
      </x:c>
      <x:c r="E2059" s="5" t="str">
        <x:f>VLOOKUP(B2059,Sections!$A$5:$I$45,3,FALSE)</x:f>
        <x:v>2024-2</x:v>
      </x:c>
    </x:row>
    <x:row r="2060" ht="21" customHeight="1">
      <x:c r="A2060" s="3" t="str">
        <x:v>2201006</x:v>
      </x:c>
      <x:c r="B2060" s="3" t="str">
        <x:v>SEC021</x:v>
      </x:c>
      <x:c r="C2060" s="3" t="n">
        <x:v>1</x:v>
      </x:c>
      <x:c r="D2060" s="3" t="str">
        <x:v>present</x:v>
      </x:c>
      <x:c r="E2060" s="5" t="str">
        <x:f>VLOOKUP(B2060,Sections!$A$5:$I$45,3,FALSE)</x:f>
        <x:v>2024-2</x:v>
      </x:c>
    </x:row>
    <x:row r="2061" ht="21" customHeight="1">
      <x:c r="A2061" s="3" t="str">
        <x:v>2201006</x:v>
      </x:c>
      <x:c r="B2061" s="3" t="str">
        <x:v>SEC021</x:v>
      </x:c>
      <x:c r="C2061" s="3" t="n">
        <x:v>2</x:v>
      </x:c>
      <x:c r="D2061" s="3" t="str">
        <x:v>present</x:v>
      </x:c>
      <x:c r="E2061" s="5" t="str">
        <x:f>VLOOKUP(B2061,Sections!$A$5:$I$45,3,FALSE)</x:f>
        <x:v>2024-2</x:v>
      </x:c>
    </x:row>
    <x:row r="2062" ht="21" customHeight="1">
      <x:c r="A2062" s="3" t="str">
        <x:v>2201006</x:v>
      </x:c>
      <x:c r="B2062" s="3" t="str">
        <x:v>SEC021</x:v>
      </x:c>
      <x:c r="C2062" s="3" t="n">
        <x:v>3</x:v>
      </x:c>
      <x:c r="D2062" s="3" t="str">
        <x:v>present</x:v>
      </x:c>
      <x:c r="E2062" s="5" t="str">
        <x:f>VLOOKUP(B2062,Sections!$A$5:$I$45,3,FALSE)</x:f>
        <x:v>2024-2</x:v>
      </x:c>
    </x:row>
    <x:row r="2063" ht="21" customHeight="1">
      <x:c r="A2063" s="3" t="str">
        <x:v>2201006</x:v>
      </x:c>
      <x:c r="B2063" s="3" t="str">
        <x:v>SEC021</x:v>
      </x:c>
      <x:c r="C2063" s="3" t="n">
        <x:v>4</x:v>
      </x:c>
      <x:c r="D2063" s="3" t="str">
        <x:v>absent</x:v>
      </x:c>
      <x:c r="E2063" s="5" t="str">
        <x:f>VLOOKUP(B2063,Sections!$A$5:$I$45,3,FALSE)</x:f>
        <x:v>2024-2</x:v>
      </x:c>
    </x:row>
    <x:row r="2064" ht="21" customHeight="1">
      <x:c r="A2064" s="3" t="str">
        <x:v>2201006</x:v>
      </x:c>
      <x:c r="B2064" s="3" t="str">
        <x:v>SEC021</x:v>
      </x:c>
      <x:c r="C2064" s="3" t="n">
        <x:v>5</x:v>
      </x:c>
      <x:c r="D2064" s="3" t="str">
        <x:v>absent</x:v>
      </x:c>
      <x:c r="E2064" s="5" t="str">
        <x:f>VLOOKUP(B2064,Sections!$A$5:$I$45,3,FALSE)</x:f>
        <x:v>2024-2</x:v>
      </x:c>
    </x:row>
    <x:row r="2065" ht="21" customHeight="1">
      <x:c r="A2065" s="3" t="str">
        <x:v>2201006</x:v>
      </x:c>
      <x:c r="B2065" s="3" t="str">
        <x:v>SEC021</x:v>
      </x:c>
      <x:c r="C2065" s="3" t="n">
        <x:v>6</x:v>
      </x:c>
      <x:c r="D2065" s="3" t="str">
        <x:v>late</x:v>
      </x:c>
      <x:c r="E2065" s="5" t="str">
        <x:f>VLOOKUP(B2065,Sections!$A$5:$I$45,3,FALSE)</x:f>
        <x:v>2024-2</x:v>
      </x:c>
    </x:row>
    <x:row r="2066" ht="21" customHeight="1">
      <x:c r="A2066" s="3" t="str">
        <x:v>2201006</x:v>
      </x:c>
      <x:c r="B2066" s="3" t="str">
        <x:v>SEC021</x:v>
      </x:c>
      <x:c r="C2066" s="3" t="n">
        <x:v>7</x:v>
      </x:c>
      <x:c r="D2066" s="3" t="str">
        <x:v>present</x:v>
      </x:c>
      <x:c r="E2066" s="5" t="str">
        <x:f>VLOOKUP(B2066,Sections!$A$5:$I$45,3,FALSE)</x:f>
        <x:v>2024-2</x:v>
      </x:c>
    </x:row>
    <x:row r="2067" ht="21" customHeight="1">
      <x:c r="A2067" s="3" t="str">
        <x:v>2201006</x:v>
      </x:c>
      <x:c r="B2067" s="3" t="str">
        <x:v>SEC021</x:v>
      </x:c>
      <x:c r="C2067" s="3" t="n">
        <x:v>8</x:v>
      </x:c>
      <x:c r="D2067" s="3" t="str">
        <x:v>present</x:v>
      </x:c>
      <x:c r="E2067" s="5" t="str">
        <x:f>VLOOKUP(B2067,Sections!$A$5:$I$45,3,FALSE)</x:f>
        <x:v>2024-2</x:v>
      </x:c>
    </x:row>
    <x:row r="2068" ht="21" customHeight="1">
      <x:c r="A2068" s="3" t="str">
        <x:v>2201006</x:v>
      </x:c>
      <x:c r="B2068" s="3" t="str">
        <x:v>SEC021</x:v>
      </x:c>
      <x:c r="C2068" s="3" t="n">
        <x:v>9</x:v>
      </x:c>
      <x:c r="D2068" s="3" t="str">
        <x:v>present</x:v>
      </x:c>
      <x:c r="E2068" s="5" t="str">
        <x:f>VLOOKUP(B2068,Sections!$A$5:$I$45,3,FALSE)</x:f>
        <x:v>2024-2</x:v>
      </x:c>
    </x:row>
    <x:row r="2069" ht="21" customHeight="1">
      <x:c r="A2069" s="3" t="str">
        <x:v>2201006</x:v>
      </x:c>
      <x:c r="B2069" s="3" t="str">
        <x:v>SEC021</x:v>
      </x:c>
      <x:c r="C2069" s="3" t="n">
        <x:v>10</x:v>
      </x:c>
      <x:c r="D2069" s="3" t="str">
        <x:v>present</x:v>
      </x:c>
      <x:c r="E2069" s="5" t="str">
        <x:f>VLOOKUP(B2069,Sections!$A$5:$I$45,3,FALSE)</x:f>
        <x:v>2024-2</x:v>
      </x:c>
    </x:row>
    <x:row r="2070" ht="21" customHeight="1">
      <x:c r="A2070" s="3" t="str">
        <x:v>2201006</x:v>
      </x:c>
      <x:c r="B2070" s="3" t="str">
        <x:v>SEC021</x:v>
      </x:c>
      <x:c r="C2070" s="3" t="n">
        <x:v>11</x:v>
      </x:c>
      <x:c r="D2070" s="3" t="str">
        <x:v>present</x:v>
      </x:c>
      <x:c r="E2070" s="5" t="str">
        <x:f>VLOOKUP(B2070,Sections!$A$5:$I$45,3,FALSE)</x:f>
        <x:v>2024-2</x:v>
      </x:c>
    </x:row>
    <x:row r="2071" ht="21" customHeight="1">
      <x:c r="A2071" s="3" t="str">
        <x:v>2201006</x:v>
      </x:c>
      <x:c r="B2071" s="3" t="str">
        <x:v>SEC021</x:v>
      </x:c>
      <x:c r="C2071" s="3" t="n">
        <x:v>12</x:v>
      </x:c>
      <x:c r="D2071" s="3" t="str">
        <x:v>present</x:v>
      </x:c>
      <x:c r="E2071" s="5" t="str">
        <x:f>VLOOKUP(B2071,Sections!$A$5:$I$45,3,FALSE)</x:f>
        <x:v>2024-2</x:v>
      </x:c>
    </x:row>
    <x:row r="2072" ht="21" customHeight="1">
      <x:c r="A2072" s="3" t="str">
        <x:v>2201006</x:v>
      </x:c>
      <x:c r="B2072" s="3" t="str">
        <x:v>SEC021</x:v>
      </x:c>
      <x:c r="C2072" s="3" t="n">
        <x:v>13</x:v>
      </x:c>
      <x:c r="D2072" s="3" t="str">
        <x:v>present</x:v>
      </x:c>
      <x:c r="E2072" s="5" t="str">
        <x:f>VLOOKUP(B2072,Sections!$A$5:$I$45,3,FALSE)</x:f>
        <x:v>2024-2</x:v>
      </x:c>
    </x:row>
    <x:row r="2073" ht="21" customHeight="1">
      <x:c r="A2073" s="3" t="str">
        <x:v>2201006</x:v>
      </x:c>
      <x:c r="B2073" s="3" t="str">
        <x:v>SEC021</x:v>
      </x:c>
      <x:c r="C2073" s="3" t="n">
        <x:v>14</x:v>
      </x:c>
      <x:c r="D2073" s="3" t="str">
        <x:v>present</x:v>
      </x:c>
      <x:c r="E2073" s="5" t="str">
        <x:f>VLOOKUP(B2073,Sections!$A$5:$I$45,3,FALSE)</x:f>
        <x:v>2024-2</x:v>
      </x:c>
    </x:row>
    <x:row r="2074" ht="21" customHeight="1">
      <x:c r="A2074" s="3" t="str">
        <x:v>2201006</x:v>
      </x:c>
      <x:c r="B2074" s="3" t="str">
        <x:v>SEC021</x:v>
      </x:c>
      <x:c r="C2074" s="3" t="n">
        <x:v>15</x:v>
      </x:c>
      <x:c r="D2074" s="3" t="str">
        <x:v>present</x:v>
      </x:c>
      <x:c r="E2074" s="5" t="str">
        <x:f>VLOOKUP(B2074,Sections!$A$5:$I$45,3,FALSE)</x:f>
        <x:v>2024-2</x:v>
      </x:c>
    </x:row>
    <x:row r="2075" ht="21" customHeight="1">
      <x:c r="A2075" s="3" t="str">
        <x:v>2201007</x:v>
      </x:c>
      <x:c r="B2075" s="3" t="str">
        <x:v>SEC021</x:v>
      </x:c>
      <x:c r="C2075" s="3" t="n">
        <x:v>1</x:v>
      </x:c>
      <x:c r="D2075" s="3" t="str">
        <x:v>present</x:v>
      </x:c>
      <x:c r="E2075" s="5" t="str">
        <x:f>VLOOKUP(B2075,Sections!$A$5:$I$45,3,FALSE)</x:f>
        <x:v>2024-2</x:v>
      </x:c>
    </x:row>
    <x:row r="2076" ht="21" customHeight="1">
      <x:c r="A2076" s="3" t="str">
        <x:v>2201007</x:v>
      </x:c>
      <x:c r="B2076" s="3" t="str">
        <x:v>SEC021</x:v>
      </x:c>
      <x:c r="C2076" s="3" t="n">
        <x:v>2</x:v>
      </x:c>
      <x:c r="D2076" s="3" t="str">
        <x:v>present</x:v>
      </x:c>
      <x:c r="E2076" s="5" t="str">
        <x:f>VLOOKUP(B2076,Sections!$A$5:$I$45,3,FALSE)</x:f>
        <x:v>2024-2</x:v>
      </x:c>
    </x:row>
    <x:row r="2077" ht="21" customHeight="1">
      <x:c r="A2077" s="3" t="str">
        <x:v>2201007</x:v>
      </x:c>
      <x:c r="B2077" s="3" t="str">
        <x:v>SEC021</x:v>
      </x:c>
      <x:c r="C2077" s="3" t="n">
        <x:v>3</x:v>
      </x:c>
      <x:c r="D2077" s="3" t="str">
        <x:v>absent</x:v>
      </x:c>
      <x:c r="E2077" s="5" t="str">
        <x:f>VLOOKUP(B2077,Sections!$A$5:$I$45,3,FALSE)</x:f>
        <x:v>2024-2</x:v>
      </x:c>
    </x:row>
    <x:row r="2078" ht="21" customHeight="1">
      <x:c r="A2078" s="3" t="str">
        <x:v>2201007</x:v>
      </x:c>
      <x:c r="B2078" s="3" t="str">
        <x:v>SEC021</x:v>
      </x:c>
      <x:c r="C2078" s="3" t="n">
        <x:v>4</x:v>
      </x:c>
      <x:c r="D2078" s="3" t="str">
        <x:v>present</x:v>
      </x:c>
      <x:c r="E2078" s="5" t="str">
        <x:f>VLOOKUP(B2078,Sections!$A$5:$I$45,3,FALSE)</x:f>
        <x:v>2024-2</x:v>
      </x:c>
    </x:row>
    <x:row r="2079" ht="21" customHeight="1">
      <x:c r="A2079" s="3" t="str">
        <x:v>2201007</x:v>
      </x:c>
      <x:c r="B2079" s="3" t="str">
        <x:v>SEC021</x:v>
      </x:c>
      <x:c r="C2079" s="3" t="n">
        <x:v>5</x:v>
      </x:c>
      <x:c r="D2079" s="3" t="str">
        <x:v>present</x:v>
      </x:c>
      <x:c r="E2079" s="5" t="str">
        <x:f>VLOOKUP(B2079,Sections!$A$5:$I$45,3,FALSE)</x:f>
        <x:v>2024-2</x:v>
      </x:c>
    </x:row>
    <x:row r="2080" ht="21" customHeight="1">
      <x:c r="A2080" s="3" t="str">
        <x:v>2201007</x:v>
      </x:c>
      <x:c r="B2080" s="3" t="str">
        <x:v>SEC021</x:v>
      </x:c>
      <x:c r="C2080" s="3" t="n">
        <x:v>6</x:v>
      </x:c>
      <x:c r="D2080" s="3" t="str">
        <x:v>present</x:v>
      </x:c>
      <x:c r="E2080" s="5" t="str">
        <x:f>VLOOKUP(B2080,Sections!$A$5:$I$45,3,FALSE)</x:f>
        <x:v>2024-2</x:v>
      </x:c>
    </x:row>
    <x:row r="2081" ht="21" customHeight="1">
      <x:c r="A2081" s="3" t="str">
        <x:v>2201007</x:v>
      </x:c>
      <x:c r="B2081" s="3" t="str">
        <x:v>SEC021</x:v>
      </x:c>
      <x:c r="C2081" s="3" t="n">
        <x:v>7</x:v>
      </x:c>
      <x:c r="D2081" s="3" t="str">
        <x:v>present</x:v>
      </x:c>
      <x:c r="E2081" s="5" t="str">
        <x:f>VLOOKUP(B2081,Sections!$A$5:$I$45,3,FALSE)</x:f>
        <x:v>2024-2</x:v>
      </x:c>
    </x:row>
    <x:row r="2082" ht="21" customHeight="1">
      <x:c r="A2082" s="3" t="str">
        <x:v>2201007</x:v>
      </x:c>
      <x:c r="B2082" s="3" t="str">
        <x:v>SEC021</x:v>
      </x:c>
      <x:c r="C2082" s="3" t="n">
        <x:v>8</x:v>
      </x:c>
      <x:c r="D2082" s="3" t="str">
        <x:v>present</x:v>
      </x:c>
      <x:c r="E2082" s="5" t="str">
        <x:f>VLOOKUP(B2082,Sections!$A$5:$I$45,3,FALSE)</x:f>
        <x:v>2024-2</x:v>
      </x:c>
    </x:row>
    <x:row r="2083" ht="21" customHeight="1">
      <x:c r="A2083" s="3" t="str">
        <x:v>2201007</x:v>
      </x:c>
      <x:c r="B2083" s="3" t="str">
        <x:v>SEC021</x:v>
      </x:c>
      <x:c r="C2083" s="3" t="n">
        <x:v>9</x:v>
      </x:c>
      <x:c r="D2083" s="3" t="str">
        <x:v>present</x:v>
      </x:c>
      <x:c r="E2083" s="5" t="str">
        <x:f>VLOOKUP(B2083,Sections!$A$5:$I$45,3,FALSE)</x:f>
        <x:v>2024-2</x:v>
      </x:c>
    </x:row>
    <x:row r="2084" ht="21" customHeight="1">
      <x:c r="A2084" s="3" t="str">
        <x:v>2201007</x:v>
      </x:c>
      <x:c r="B2084" s="3" t="str">
        <x:v>SEC021</x:v>
      </x:c>
      <x:c r="C2084" s="3" t="n">
        <x:v>10</x:v>
      </x:c>
      <x:c r="D2084" s="3" t="str">
        <x:v>present</x:v>
      </x:c>
      <x:c r="E2084" s="5" t="str">
        <x:f>VLOOKUP(B2084,Sections!$A$5:$I$45,3,FALSE)</x:f>
        <x:v>2024-2</x:v>
      </x:c>
    </x:row>
    <x:row r="2085" ht="21" customHeight="1">
      <x:c r="A2085" s="3" t="str">
        <x:v>2201007</x:v>
      </x:c>
      <x:c r="B2085" s="3" t="str">
        <x:v>SEC021</x:v>
      </x:c>
      <x:c r="C2085" s="3" t="n">
        <x:v>11</x:v>
      </x:c>
      <x:c r="D2085" s="3" t="str">
        <x:v>present</x:v>
      </x:c>
      <x:c r="E2085" s="5" t="str">
        <x:f>VLOOKUP(B2085,Sections!$A$5:$I$45,3,FALSE)</x:f>
        <x:v>2024-2</x:v>
      </x:c>
    </x:row>
    <x:row r="2086" ht="21" customHeight="1">
      <x:c r="A2086" s="3" t="str">
        <x:v>2201007</x:v>
      </x:c>
      <x:c r="B2086" s="3" t="str">
        <x:v>SEC021</x:v>
      </x:c>
      <x:c r="C2086" s="3" t="n">
        <x:v>12</x:v>
      </x:c>
      <x:c r="D2086" s="3" t="str">
        <x:v>present</x:v>
      </x:c>
      <x:c r="E2086" s="5" t="str">
        <x:f>VLOOKUP(B2086,Sections!$A$5:$I$45,3,FALSE)</x:f>
        <x:v>2024-2</x:v>
      </x:c>
    </x:row>
    <x:row r="2087" ht="21" customHeight="1">
      <x:c r="A2087" s="3" t="str">
        <x:v>2201007</x:v>
      </x:c>
      <x:c r="B2087" s="3" t="str">
        <x:v>SEC021</x:v>
      </x:c>
      <x:c r="C2087" s="3" t="n">
        <x:v>13</x:v>
      </x:c>
      <x:c r="D2087" s="3" t="str">
        <x:v>present</x:v>
      </x:c>
      <x:c r="E2087" s="5" t="str">
        <x:f>VLOOKUP(B2087,Sections!$A$5:$I$45,3,FALSE)</x:f>
        <x:v>2024-2</x:v>
      </x:c>
    </x:row>
    <x:row r="2088" ht="21" customHeight="1">
      <x:c r="A2088" s="3" t="str">
        <x:v>2201007</x:v>
      </x:c>
      <x:c r="B2088" s="3" t="str">
        <x:v>SEC021</x:v>
      </x:c>
      <x:c r="C2088" s="3" t="n">
        <x:v>14</x:v>
      </x:c>
      <x:c r="D2088" s="3" t="str">
        <x:v>present</x:v>
      </x:c>
      <x:c r="E2088" s="5" t="str">
        <x:f>VLOOKUP(B2088,Sections!$A$5:$I$45,3,FALSE)</x:f>
        <x:v>2024-2</x:v>
      </x:c>
    </x:row>
    <x:row r="2089" ht="21" customHeight="1">
      <x:c r="A2089" s="3" t="str">
        <x:v>2201007</x:v>
      </x:c>
      <x:c r="B2089" s="3" t="str">
        <x:v>SEC021</x:v>
      </x:c>
      <x:c r="C2089" s="3" t="n">
        <x:v>15</x:v>
      </x:c>
      <x:c r="D2089" s="3" t="str">
        <x:v>present</x:v>
      </x:c>
      <x:c r="E2089" s="5" t="str">
        <x:f>VLOOKUP(B2089,Sections!$A$5:$I$45,3,FALSE)</x:f>
        <x:v>2024-2</x:v>
      </x:c>
    </x:row>
    <x:row r="2090" ht="21" customHeight="1">
      <x:c r="A2090" s="3" t="str">
        <x:v>2201008</x:v>
      </x:c>
      <x:c r="B2090" s="3" t="str">
        <x:v>SEC021</x:v>
      </x:c>
      <x:c r="C2090" s="3" t="n">
        <x:v>1</x:v>
      </x:c>
      <x:c r="D2090" s="3" t="str">
        <x:v>present</x:v>
      </x:c>
      <x:c r="E2090" s="5" t="str">
        <x:f>VLOOKUP(B2090,Sections!$A$5:$I$45,3,FALSE)</x:f>
        <x:v>2024-2</x:v>
      </x:c>
    </x:row>
    <x:row r="2091" ht="21" customHeight="1">
      <x:c r="A2091" s="3" t="str">
        <x:v>2201008</x:v>
      </x:c>
      <x:c r="B2091" s="3" t="str">
        <x:v>SEC021</x:v>
      </x:c>
      <x:c r="C2091" s="3" t="n">
        <x:v>2</x:v>
      </x:c>
      <x:c r="D2091" s="3" t="str">
        <x:v>present</x:v>
      </x:c>
      <x:c r="E2091" s="5" t="str">
        <x:f>VLOOKUP(B2091,Sections!$A$5:$I$45,3,FALSE)</x:f>
        <x:v>2024-2</x:v>
      </x:c>
    </x:row>
    <x:row r="2092" ht="21" customHeight="1">
      <x:c r="A2092" s="3" t="str">
        <x:v>2201008</x:v>
      </x:c>
      <x:c r="B2092" s="3" t="str">
        <x:v>SEC021</x:v>
      </x:c>
      <x:c r="C2092" s="3" t="n">
        <x:v>3</x:v>
      </x:c>
      <x:c r="D2092" s="3" t="str">
        <x:v>present</x:v>
      </x:c>
      <x:c r="E2092" s="5" t="str">
        <x:f>VLOOKUP(B2092,Sections!$A$5:$I$45,3,FALSE)</x:f>
        <x:v>2024-2</x:v>
      </x:c>
    </x:row>
    <x:row r="2093" ht="21" customHeight="1">
      <x:c r="A2093" s="3" t="str">
        <x:v>2201008</x:v>
      </x:c>
      <x:c r="B2093" s="3" t="str">
        <x:v>SEC021</x:v>
      </x:c>
      <x:c r="C2093" s="3" t="n">
        <x:v>4</x:v>
      </x:c>
      <x:c r="D2093" s="3" t="str">
        <x:v>present</x:v>
      </x:c>
      <x:c r="E2093" s="5" t="str">
        <x:f>VLOOKUP(B2093,Sections!$A$5:$I$45,3,FALSE)</x:f>
        <x:v>2024-2</x:v>
      </x:c>
    </x:row>
    <x:row r="2094" ht="21" customHeight="1">
      <x:c r="A2094" s="3" t="str">
        <x:v>2201008</x:v>
      </x:c>
      <x:c r="B2094" s="3" t="str">
        <x:v>SEC021</x:v>
      </x:c>
      <x:c r="C2094" s="3" t="n">
        <x:v>5</x:v>
      </x:c>
      <x:c r="D2094" s="3" t="str">
        <x:v>absent</x:v>
      </x:c>
      <x:c r="E2094" s="5" t="str">
        <x:f>VLOOKUP(B2094,Sections!$A$5:$I$45,3,FALSE)</x:f>
        <x:v>2024-2</x:v>
      </x:c>
    </x:row>
    <x:row r="2095" ht="21" customHeight="1">
      <x:c r="A2095" s="3" t="str">
        <x:v>2201008</x:v>
      </x:c>
      <x:c r="B2095" s="3" t="str">
        <x:v>SEC021</x:v>
      </x:c>
      <x:c r="C2095" s="3" t="n">
        <x:v>6</x:v>
      </x:c>
      <x:c r="D2095" s="3" t="str">
        <x:v>present</x:v>
      </x:c>
      <x:c r="E2095" s="5" t="str">
        <x:f>VLOOKUP(B2095,Sections!$A$5:$I$45,3,FALSE)</x:f>
        <x:v>2024-2</x:v>
      </x:c>
    </x:row>
    <x:row r="2096" ht="21" customHeight="1">
      <x:c r="A2096" s="3" t="str">
        <x:v>2201008</x:v>
      </x:c>
      <x:c r="B2096" s="3" t="str">
        <x:v>SEC021</x:v>
      </x:c>
      <x:c r="C2096" s="3" t="n">
        <x:v>7</x:v>
      </x:c>
      <x:c r="D2096" s="3" t="str">
        <x:v>absent</x:v>
      </x:c>
      <x:c r="E2096" s="5" t="str">
        <x:f>VLOOKUP(B2096,Sections!$A$5:$I$45,3,FALSE)</x:f>
        <x:v>2024-2</x:v>
      </x:c>
    </x:row>
    <x:row r="2097" ht="21" customHeight="1">
      <x:c r="A2097" s="3" t="str">
        <x:v>2201008</x:v>
      </x:c>
      <x:c r="B2097" s="3" t="str">
        <x:v>SEC021</x:v>
      </x:c>
      <x:c r="C2097" s="3" t="n">
        <x:v>8</x:v>
      </x:c>
      <x:c r="D2097" s="3" t="str">
        <x:v>present</x:v>
      </x:c>
      <x:c r="E2097" s="5" t="str">
        <x:f>VLOOKUP(B2097,Sections!$A$5:$I$45,3,FALSE)</x:f>
        <x:v>2024-2</x:v>
      </x:c>
    </x:row>
    <x:row r="2098" ht="21" customHeight="1">
      <x:c r="A2098" s="3" t="str">
        <x:v>2201008</x:v>
      </x:c>
      <x:c r="B2098" s="3" t="str">
        <x:v>SEC021</x:v>
      </x:c>
      <x:c r="C2098" s="3" t="n">
        <x:v>9</x:v>
      </x:c>
      <x:c r="D2098" s="3" t="str">
        <x:v>present</x:v>
      </x:c>
      <x:c r="E2098" s="5" t="str">
        <x:f>VLOOKUP(B2098,Sections!$A$5:$I$45,3,FALSE)</x:f>
        <x:v>2024-2</x:v>
      </x:c>
    </x:row>
    <x:row r="2099" ht="21" customHeight="1">
      <x:c r="A2099" s="3" t="str">
        <x:v>2201008</x:v>
      </x:c>
      <x:c r="B2099" s="3" t="str">
        <x:v>SEC021</x:v>
      </x:c>
      <x:c r="C2099" s="3" t="n">
        <x:v>10</x:v>
      </x:c>
      <x:c r="D2099" s="3" t="str">
        <x:v>present</x:v>
      </x:c>
      <x:c r="E2099" s="5" t="str">
        <x:f>VLOOKUP(B2099,Sections!$A$5:$I$45,3,FALSE)</x:f>
        <x:v>2024-2</x:v>
      </x:c>
    </x:row>
    <x:row r="2100" ht="21" customHeight="1">
      <x:c r="A2100" s="3" t="str">
        <x:v>2201008</x:v>
      </x:c>
      <x:c r="B2100" s="3" t="str">
        <x:v>SEC021</x:v>
      </x:c>
      <x:c r="C2100" s="3" t="n">
        <x:v>11</x:v>
      </x:c>
      <x:c r="D2100" s="3" t="str">
        <x:v>present</x:v>
      </x:c>
      <x:c r="E2100" s="5" t="str">
        <x:f>VLOOKUP(B2100,Sections!$A$5:$I$45,3,FALSE)</x:f>
        <x:v>2024-2</x:v>
      </x:c>
    </x:row>
    <x:row r="2101" ht="21" customHeight="1">
      <x:c r="A2101" s="3" t="str">
        <x:v>2201008</x:v>
      </x:c>
      <x:c r="B2101" s="3" t="str">
        <x:v>SEC021</x:v>
      </x:c>
      <x:c r="C2101" s="3" t="n">
        <x:v>12</x:v>
      </x:c>
      <x:c r="D2101" s="3" t="str">
        <x:v>present</x:v>
      </x:c>
      <x:c r="E2101" s="5" t="str">
        <x:f>VLOOKUP(B2101,Sections!$A$5:$I$45,3,FALSE)</x:f>
        <x:v>2024-2</x:v>
      </x:c>
    </x:row>
    <x:row r="2102" ht="21" customHeight="1">
      <x:c r="A2102" s="3" t="str">
        <x:v>2201008</x:v>
      </x:c>
      <x:c r="B2102" s="3" t="str">
        <x:v>SEC021</x:v>
      </x:c>
      <x:c r="C2102" s="3" t="n">
        <x:v>13</x:v>
      </x:c>
      <x:c r="D2102" s="3" t="str">
        <x:v>present</x:v>
      </x:c>
      <x:c r="E2102" s="5" t="str">
        <x:f>VLOOKUP(B2102,Sections!$A$5:$I$45,3,FALSE)</x:f>
        <x:v>2024-2</x:v>
      </x:c>
    </x:row>
    <x:row r="2103" ht="21" customHeight="1">
      <x:c r="A2103" s="3" t="str">
        <x:v>2201008</x:v>
      </x:c>
      <x:c r="B2103" s="3" t="str">
        <x:v>SEC021</x:v>
      </x:c>
      <x:c r="C2103" s="3" t="n">
        <x:v>14</x:v>
      </x:c>
      <x:c r="D2103" s="3" t="str">
        <x:v>present</x:v>
      </x:c>
      <x:c r="E2103" s="5" t="str">
        <x:f>VLOOKUP(B2103,Sections!$A$5:$I$45,3,FALSE)</x:f>
        <x:v>2024-2</x:v>
      </x:c>
    </x:row>
    <x:row r="2104" ht="21" customHeight="1">
      <x:c r="A2104" s="3" t="str">
        <x:v>2201008</x:v>
      </x:c>
      <x:c r="B2104" s="3" t="str">
        <x:v>SEC021</x:v>
      </x:c>
      <x:c r="C2104" s="3" t="n">
        <x:v>15</x:v>
      </x:c>
      <x:c r="D2104" s="3" t="str">
        <x:v>present</x:v>
      </x:c>
      <x:c r="E2104" s="5" t="str">
        <x:f>VLOOKUP(B2104,Sections!$A$5:$I$45,3,FALSE)</x:f>
        <x:v>2024-2</x:v>
      </x:c>
    </x:row>
    <x:row r="2105" ht="21" customHeight="1">
      <x:c r="A2105" s="3" t="str">
        <x:v>2201009</x:v>
      </x:c>
      <x:c r="B2105" s="3" t="str">
        <x:v>SEC021</x:v>
      </x:c>
      <x:c r="C2105" s="3" t="n">
        <x:v>1</x:v>
      </x:c>
      <x:c r="D2105" s="3" t="str">
        <x:v>present</x:v>
      </x:c>
      <x:c r="E2105" s="5" t="str">
        <x:f>VLOOKUP(B2105,Sections!$A$5:$I$45,3,FALSE)</x:f>
        <x:v>2024-2</x:v>
      </x:c>
    </x:row>
    <x:row r="2106" ht="21" customHeight="1">
      <x:c r="A2106" s="3" t="str">
        <x:v>2201009</x:v>
      </x:c>
      <x:c r="B2106" s="3" t="str">
        <x:v>SEC021</x:v>
      </x:c>
      <x:c r="C2106" s="3" t="n">
        <x:v>2</x:v>
      </x:c>
      <x:c r="D2106" s="3" t="str">
        <x:v>present</x:v>
      </x:c>
      <x:c r="E2106" s="5" t="str">
        <x:f>VLOOKUP(B2106,Sections!$A$5:$I$45,3,FALSE)</x:f>
        <x:v>2024-2</x:v>
      </x:c>
    </x:row>
    <x:row r="2107" ht="21" customHeight="1">
      <x:c r="A2107" s="3" t="str">
        <x:v>2201009</x:v>
      </x:c>
      <x:c r="B2107" s="3" t="str">
        <x:v>SEC021</x:v>
      </x:c>
      <x:c r="C2107" s="3" t="n">
        <x:v>3</x:v>
      </x:c>
      <x:c r="D2107" s="3" t="str">
        <x:v>excused</x:v>
      </x:c>
      <x:c r="E2107" s="5" t="str">
        <x:f>VLOOKUP(B2107,Sections!$A$5:$I$45,3,FALSE)</x:f>
        <x:v>2024-2</x:v>
      </x:c>
    </x:row>
    <x:row r="2108" ht="21" customHeight="1">
      <x:c r="A2108" s="3" t="str">
        <x:v>2201009</x:v>
      </x:c>
      <x:c r="B2108" s="3" t="str">
        <x:v>SEC021</x:v>
      </x:c>
      <x:c r="C2108" s="3" t="n">
        <x:v>4</x:v>
      </x:c>
      <x:c r="D2108" s="3" t="str">
        <x:v>present</x:v>
      </x:c>
      <x:c r="E2108" s="5" t="str">
        <x:f>VLOOKUP(B2108,Sections!$A$5:$I$45,3,FALSE)</x:f>
        <x:v>2024-2</x:v>
      </x:c>
    </x:row>
    <x:row r="2109" ht="21" customHeight="1">
      <x:c r="A2109" s="3" t="str">
        <x:v>2201009</x:v>
      </x:c>
      <x:c r="B2109" s="3" t="str">
        <x:v>SEC021</x:v>
      </x:c>
      <x:c r="C2109" s="3" t="n">
        <x:v>5</x:v>
      </x:c>
      <x:c r="D2109" s="3" t="str">
        <x:v>absent</x:v>
      </x:c>
      <x:c r="E2109" s="5" t="str">
        <x:f>VLOOKUP(B2109,Sections!$A$5:$I$45,3,FALSE)</x:f>
        <x:v>2024-2</x:v>
      </x:c>
    </x:row>
    <x:row r="2110" ht="21" customHeight="1">
      <x:c r="A2110" s="3" t="str">
        <x:v>2201009</x:v>
      </x:c>
      <x:c r="B2110" s="3" t="str">
        <x:v>SEC021</x:v>
      </x:c>
      <x:c r="C2110" s="3" t="n">
        <x:v>6</x:v>
      </x:c>
      <x:c r="D2110" s="3" t="str">
        <x:v>present</x:v>
      </x:c>
      <x:c r="E2110" s="5" t="str">
        <x:f>VLOOKUP(B2110,Sections!$A$5:$I$45,3,FALSE)</x:f>
        <x:v>2024-2</x:v>
      </x:c>
    </x:row>
    <x:row r="2111" ht="21" customHeight="1">
      <x:c r="A2111" s="3" t="str">
        <x:v>2201009</x:v>
      </x:c>
      <x:c r="B2111" s="3" t="str">
        <x:v>SEC021</x:v>
      </x:c>
      <x:c r="C2111" s="3" t="n">
        <x:v>7</x:v>
      </x:c>
      <x:c r="D2111" s="3" t="str">
        <x:v>present</x:v>
      </x:c>
      <x:c r="E2111" s="5" t="str">
        <x:f>VLOOKUP(B2111,Sections!$A$5:$I$45,3,FALSE)</x:f>
        <x:v>2024-2</x:v>
      </x:c>
    </x:row>
    <x:row r="2112" ht="21" customHeight="1">
      <x:c r="A2112" s="3" t="str">
        <x:v>2201009</x:v>
      </x:c>
      <x:c r="B2112" s="3" t="str">
        <x:v>SEC021</x:v>
      </x:c>
      <x:c r="C2112" s="3" t="n">
        <x:v>8</x:v>
      </x:c>
      <x:c r="D2112" s="3" t="str">
        <x:v>present</x:v>
      </x:c>
      <x:c r="E2112" s="5" t="str">
        <x:f>VLOOKUP(B2112,Sections!$A$5:$I$45,3,FALSE)</x:f>
        <x:v>2024-2</x:v>
      </x:c>
    </x:row>
    <x:row r="2113" ht="21" customHeight="1">
      <x:c r="A2113" s="3" t="str">
        <x:v>2201009</x:v>
      </x:c>
      <x:c r="B2113" s="3" t="str">
        <x:v>SEC021</x:v>
      </x:c>
      <x:c r="C2113" s="3" t="n">
        <x:v>9</x:v>
      </x:c>
      <x:c r="D2113" s="3" t="str">
        <x:v>present</x:v>
      </x:c>
      <x:c r="E2113" s="5" t="str">
        <x:f>VLOOKUP(B2113,Sections!$A$5:$I$45,3,FALSE)</x:f>
        <x:v>2024-2</x:v>
      </x:c>
    </x:row>
    <x:row r="2114" ht="21" customHeight="1">
      <x:c r="A2114" s="3" t="str">
        <x:v>2201009</x:v>
      </x:c>
      <x:c r="B2114" s="3" t="str">
        <x:v>SEC021</x:v>
      </x:c>
      <x:c r="C2114" s="3" t="n">
        <x:v>10</x:v>
      </x:c>
      <x:c r="D2114" s="3" t="str">
        <x:v>present</x:v>
      </x:c>
      <x:c r="E2114" s="5" t="str">
        <x:f>VLOOKUP(B2114,Sections!$A$5:$I$45,3,FALSE)</x:f>
        <x:v>2024-2</x:v>
      </x:c>
    </x:row>
    <x:row r="2115" ht="21" customHeight="1">
      <x:c r="A2115" s="3" t="str">
        <x:v>2201009</x:v>
      </x:c>
      <x:c r="B2115" s="3" t="str">
        <x:v>SEC021</x:v>
      </x:c>
      <x:c r="C2115" s="3" t="n">
        <x:v>11</x:v>
      </x:c>
      <x:c r="D2115" s="3" t="str">
        <x:v>absent</x:v>
      </x:c>
      <x:c r="E2115" s="5" t="str">
        <x:f>VLOOKUP(B2115,Sections!$A$5:$I$45,3,FALSE)</x:f>
        <x:v>2024-2</x:v>
      </x:c>
    </x:row>
    <x:row r="2116" ht="21" customHeight="1">
      <x:c r="A2116" s="3" t="str">
        <x:v>2201009</x:v>
      </x:c>
      <x:c r="B2116" s="3" t="str">
        <x:v>SEC021</x:v>
      </x:c>
      <x:c r="C2116" s="3" t="n">
        <x:v>12</x:v>
      </x:c>
      <x:c r="D2116" s="3" t="str">
        <x:v>present</x:v>
      </x:c>
      <x:c r="E2116" s="5" t="str">
        <x:f>VLOOKUP(B2116,Sections!$A$5:$I$45,3,FALSE)</x:f>
        <x:v>2024-2</x:v>
      </x:c>
    </x:row>
    <x:row r="2117" ht="21" customHeight="1">
      <x:c r="A2117" s="3" t="str">
        <x:v>2201009</x:v>
      </x:c>
      <x:c r="B2117" s="3" t="str">
        <x:v>SEC021</x:v>
      </x:c>
      <x:c r="C2117" s="3" t="n">
        <x:v>13</x:v>
      </x:c>
      <x:c r="D2117" s="3" t="str">
        <x:v>present</x:v>
      </x:c>
      <x:c r="E2117" s="5" t="str">
        <x:f>VLOOKUP(B2117,Sections!$A$5:$I$45,3,FALSE)</x:f>
        <x:v>2024-2</x:v>
      </x:c>
    </x:row>
    <x:row r="2118" ht="21" customHeight="1">
      <x:c r="A2118" s="3" t="str">
        <x:v>2201009</x:v>
      </x:c>
      <x:c r="B2118" s="3" t="str">
        <x:v>SEC021</x:v>
      </x:c>
      <x:c r="C2118" s="3" t="n">
        <x:v>14</x:v>
      </x:c>
      <x:c r="D2118" s="3" t="str">
        <x:v>present</x:v>
      </x:c>
      <x:c r="E2118" s="5" t="str">
        <x:f>VLOOKUP(B2118,Sections!$A$5:$I$45,3,FALSE)</x:f>
        <x:v>2024-2</x:v>
      </x:c>
    </x:row>
    <x:row r="2119" ht="21" customHeight="1">
      <x:c r="A2119" s="3" t="str">
        <x:v>2201009</x:v>
      </x:c>
      <x:c r="B2119" s="3" t="str">
        <x:v>SEC021</x:v>
      </x:c>
      <x:c r="C2119" s="3" t="n">
        <x:v>15</x:v>
      </x:c>
      <x:c r="D2119" s="3" t="str">
        <x:v>present</x:v>
      </x:c>
      <x:c r="E2119" s="5" t="str">
        <x:f>VLOOKUP(B2119,Sections!$A$5:$I$45,3,FALSE)</x:f>
        <x:v>2024-2</x:v>
      </x:c>
    </x:row>
    <x:row r="2120" ht="21" customHeight="1">
      <x:c r="A2120" s="3" t="str">
        <x:v>2201010</x:v>
      </x:c>
      <x:c r="B2120" s="3" t="str">
        <x:v>SEC021</x:v>
      </x:c>
      <x:c r="C2120" s="3" t="n">
        <x:v>1</x:v>
      </x:c>
      <x:c r="D2120" s="3" t="str">
        <x:v>present</x:v>
      </x:c>
      <x:c r="E2120" s="5" t="str">
        <x:f>VLOOKUP(B2120,Sections!$A$5:$I$45,3,FALSE)</x:f>
        <x:v>2024-2</x:v>
      </x:c>
    </x:row>
    <x:row r="2121" ht="21" customHeight="1">
      <x:c r="A2121" s="3" t="str">
        <x:v>2201010</x:v>
      </x:c>
      <x:c r="B2121" s="3" t="str">
        <x:v>SEC021</x:v>
      </x:c>
      <x:c r="C2121" s="3" t="n">
        <x:v>2</x:v>
      </x:c>
      <x:c r="D2121" s="3" t="str">
        <x:v>absent</x:v>
      </x:c>
      <x:c r="E2121" s="5" t="str">
        <x:f>VLOOKUP(B2121,Sections!$A$5:$I$45,3,FALSE)</x:f>
        <x:v>2024-2</x:v>
      </x:c>
    </x:row>
    <x:row r="2122" ht="21" customHeight="1">
      <x:c r="A2122" s="3" t="str">
        <x:v>2201010</x:v>
      </x:c>
      <x:c r="B2122" s="3" t="str">
        <x:v>SEC021</x:v>
      </x:c>
      <x:c r="C2122" s="3" t="n">
        <x:v>3</x:v>
      </x:c>
      <x:c r="D2122" s="3" t="str">
        <x:v>present</x:v>
      </x:c>
      <x:c r="E2122" s="5" t="str">
        <x:f>VLOOKUP(B2122,Sections!$A$5:$I$45,3,FALSE)</x:f>
        <x:v>2024-2</x:v>
      </x:c>
    </x:row>
    <x:row r="2123" ht="21" customHeight="1">
      <x:c r="A2123" s="3" t="str">
        <x:v>2201010</x:v>
      </x:c>
      <x:c r="B2123" s="3" t="str">
        <x:v>SEC021</x:v>
      </x:c>
      <x:c r="C2123" s="3" t="n">
        <x:v>4</x:v>
      </x:c>
      <x:c r="D2123" s="3" t="str">
        <x:v>present</x:v>
      </x:c>
      <x:c r="E2123" s="5" t="str">
        <x:f>VLOOKUP(B2123,Sections!$A$5:$I$45,3,FALSE)</x:f>
        <x:v>2024-2</x:v>
      </x:c>
    </x:row>
    <x:row r="2124" ht="21" customHeight="1">
      <x:c r="A2124" s="3" t="str">
        <x:v>2201010</x:v>
      </x:c>
      <x:c r="B2124" s="3" t="str">
        <x:v>SEC021</x:v>
      </x:c>
      <x:c r="C2124" s="3" t="n">
        <x:v>5</x:v>
      </x:c>
      <x:c r="D2124" s="3" t="str">
        <x:v>absent</x:v>
      </x:c>
      <x:c r="E2124" s="5" t="str">
        <x:f>VLOOKUP(B2124,Sections!$A$5:$I$45,3,FALSE)</x:f>
        <x:v>2024-2</x:v>
      </x:c>
    </x:row>
    <x:row r="2125" ht="21" customHeight="1">
      <x:c r="A2125" s="3" t="str">
        <x:v>2201010</x:v>
      </x:c>
      <x:c r="B2125" s="3" t="str">
        <x:v>SEC021</x:v>
      </x:c>
      <x:c r="C2125" s="3" t="n">
        <x:v>6</x:v>
      </x:c>
      <x:c r="D2125" s="3" t="str">
        <x:v>absent</x:v>
      </x:c>
      <x:c r="E2125" s="5" t="str">
        <x:f>VLOOKUP(B2125,Sections!$A$5:$I$45,3,FALSE)</x:f>
        <x:v>2024-2</x:v>
      </x:c>
    </x:row>
    <x:row r="2126" ht="21" customHeight="1">
      <x:c r="A2126" s="3" t="str">
        <x:v>2201010</x:v>
      </x:c>
      <x:c r="B2126" s="3" t="str">
        <x:v>SEC021</x:v>
      </x:c>
      <x:c r="C2126" s="3" t="n">
        <x:v>7</x:v>
      </x:c>
      <x:c r="D2126" s="3" t="str">
        <x:v>absent</x:v>
      </x:c>
      <x:c r="E2126" s="5" t="str">
        <x:f>VLOOKUP(B2126,Sections!$A$5:$I$45,3,FALSE)</x:f>
        <x:v>2024-2</x:v>
      </x:c>
    </x:row>
    <x:row r="2127" ht="21" customHeight="1">
      <x:c r="A2127" s="3" t="str">
        <x:v>2201010</x:v>
      </x:c>
      <x:c r="B2127" s="3" t="str">
        <x:v>SEC021</x:v>
      </x:c>
      <x:c r="C2127" s="3" t="n">
        <x:v>8</x:v>
      </x:c>
      <x:c r="D2127" s="3" t="str">
        <x:v>absent</x:v>
      </x:c>
      <x:c r="E2127" s="5" t="str">
        <x:f>VLOOKUP(B2127,Sections!$A$5:$I$45,3,FALSE)</x:f>
        <x:v>2024-2</x:v>
      </x:c>
    </x:row>
    <x:row r="2128" ht="21" customHeight="1">
      <x:c r="A2128" s="3" t="str">
        <x:v>2201010</x:v>
      </x:c>
      <x:c r="B2128" s="3" t="str">
        <x:v>SEC021</x:v>
      </x:c>
      <x:c r="C2128" s="3" t="n">
        <x:v>9</x:v>
      </x:c>
      <x:c r="D2128" s="3" t="str">
        <x:v>present</x:v>
      </x:c>
      <x:c r="E2128" s="5" t="str">
        <x:f>VLOOKUP(B2128,Sections!$A$5:$I$45,3,FALSE)</x:f>
        <x:v>2024-2</x:v>
      </x:c>
    </x:row>
    <x:row r="2129" ht="21" customHeight="1">
      <x:c r="A2129" s="3" t="str">
        <x:v>2201010</x:v>
      </x:c>
      <x:c r="B2129" s="3" t="str">
        <x:v>SEC021</x:v>
      </x:c>
      <x:c r="C2129" s="3" t="n">
        <x:v>10</x:v>
      </x:c>
      <x:c r="D2129" s="3" t="str">
        <x:v>present</x:v>
      </x:c>
      <x:c r="E2129" s="5" t="str">
        <x:f>VLOOKUP(B2129,Sections!$A$5:$I$45,3,FALSE)</x:f>
        <x:v>2024-2</x:v>
      </x:c>
    </x:row>
    <x:row r="2130" ht="21" customHeight="1">
      <x:c r="A2130" s="3" t="str">
        <x:v>2201010</x:v>
      </x:c>
      <x:c r="B2130" s="3" t="str">
        <x:v>SEC021</x:v>
      </x:c>
      <x:c r="C2130" s="3" t="n">
        <x:v>11</x:v>
      </x:c>
      <x:c r="D2130" s="3" t="str">
        <x:v>absent</x:v>
      </x:c>
      <x:c r="E2130" s="5" t="str">
        <x:f>VLOOKUP(B2130,Sections!$A$5:$I$45,3,FALSE)</x:f>
        <x:v>2024-2</x:v>
      </x:c>
    </x:row>
    <x:row r="2131" ht="21" customHeight="1">
      <x:c r="A2131" s="3" t="str">
        <x:v>2201010</x:v>
      </x:c>
      <x:c r="B2131" s="3" t="str">
        <x:v>SEC021</x:v>
      </x:c>
      <x:c r="C2131" s="3" t="n">
        <x:v>12</x:v>
      </x:c>
      <x:c r="D2131" s="3" t="str">
        <x:v>present</x:v>
      </x:c>
      <x:c r="E2131" s="5" t="str">
        <x:f>VLOOKUP(B2131,Sections!$A$5:$I$45,3,FALSE)</x:f>
        <x:v>2024-2</x:v>
      </x:c>
    </x:row>
    <x:row r="2132" ht="21" customHeight="1">
      <x:c r="A2132" s="3" t="str">
        <x:v>2201010</x:v>
      </x:c>
      <x:c r="B2132" s="3" t="str">
        <x:v>SEC021</x:v>
      </x:c>
      <x:c r="C2132" s="3" t="n">
        <x:v>13</x:v>
      </x:c>
      <x:c r="D2132" s="3" t="str">
        <x:v>present</x:v>
      </x:c>
      <x:c r="E2132" s="5" t="str">
        <x:f>VLOOKUP(B2132,Sections!$A$5:$I$45,3,FALSE)</x:f>
        <x:v>2024-2</x:v>
      </x:c>
    </x:row>
    <x:row r="2133" ht="21" customHeight="1">
      <x:c r="A2133" s="3" t="str">
        <x:v>2201010</x:v>
      </x:c>
      <x:c r="B2133" s="3" t="str">
        <x:v>SEC021</x:v>
      </x:c>
      <x:c r="C2133" s="3" t="n">
        <x:v>14</x:v>
      </x:c>
      <x:c r="D2133" s="3" t="str">
        <x:v>present</x:v>
      </x:c>
      <x:c r="E2133" s="5" t="str">
        <x:f>VLOOKUP(B2133,Sections!$A$5:$I$45,3,FALSE)</x:f>
        <x:v>2024-2</x:v>
      </x:c>
    </x:row>
    <x:row r="2134" ht="21" customHeight="1">
      <x:c r="A2134" s="3" t="str">
        <x:v>2201010</x:v>
      </x:c>
      <x:c r="B2134" s="3" t="str">
        <x:v>SEC021</x:v>
      </x:c>
      <x:c r="C2134" s="3" t="n">
        <x:v>15</x:v>
      </x:c>
      <x:c r="D2134" s="3" t="str">
        <x:v>late</x:v>
      </x:c>
      <x:c r="E2134" s="5" t="str">
        <x:f>VLOOKUP(B2134,Sections!$A$5:$I$45,3,FALSE)</x:f>
        <x:v>2024-2</x:v>
      </x:c>
    </x:row>
    <x:row r="2135" ht="21" customHeight="1">
      <x:c r="A2135" s="3" t="str">
        <x:v>2201011</x:v>
      </x:c>
      <x:c r="B2135" s="3" t="str">
        <x:v>SEC022</x:v>
      </x:c>
      <x:c r="C2135" s="3" t="n">
        <x:v>1</x:v>
      </x:c>
      <x:c r="D2135" s="3" t="str">
        <x:v>present</x:v>
      </x:c>
      <x:c r="E2135" s="5" t="str">
        <x:f>VLOOKUP(B2135,Sections!$A$5:$I$45,3,FALSE)</x:f>
        <x:v>2024-2</x:v>
      </x:c>
    </x:row>
    <x:row r="2136" ht="21" customHeight="1">
      <x:c r="A2136" s="3" t="str">
        <x:v>2201011</x:v>
      </x:c>
      <x:c r="B2136" s="3" t="str">
        <x:v>SEC022</x:v>
      </x:c>
      <x:c r="C2136" s="3" t="n">
        <x:v>2</x:v>
      </x:c>
      <x:c r="D2136" s="3" t="str">
        <x:v>present</x:v>
      </x:c>
      <x:c r="E2136" s="5" t="str">
        <x:f>VLOOKUP(B2136,Sections!$A$5:$I$45,3,FALSE)</x:f>
        <x:v>2024-2</x:v>
      </x:c>
    </x:row>
    <x:row r="2137" ht="21" customHeight="1">
      <x:c r="A2137" s="3" t="str">
        <x:v>2201011</x:v>
      </x:c>
      <x:c r="B2137" s="3" t="str">
        <x:v>SEC022</x:v>
      </x:c>
      <x:c r="C2137" s="3" t="n">
        <x:v>3</x:v>
      </x:c>
      <x:c r="D2137" s="3" t="str">
        <x:v>present</x:v>
      </x:c>
      <x:c r="E2137" s="5" t="str">
        <x:f>VLOOKUP(B2137,Sections!$A$5:$I$45,3,FALSE)</x:f>
        <x:v>2024-2</x:v>
      </x:c>
    </x:row>
    <x:row r="2138" ht="21" customHeight="1">
      <x:c r="A2138" s="3" t="str">
        <x:v>2201011</x:v>
      </x:c>
      <x:c r="B2138" s="3" t="str">
        <x:v>SEC022</x:v>
      </x:c>
      <x:c r="C2138" s="3" t="n">
        <x:v>4</x:v>
      </x:c>
      <x:c r="D2138" s="3" t="str">
        <x:v>present</x:v>
      </x:c>
      <x:c r="E2138" s="5" t="str">
        <x:f>VLOOKUP(B2138,Sections!$A$5:$I$45,3,FALSE)</x:f>
        <x:v>2024-2</x:v>
      </x:c>
    </x:row>
    <x:row r="2139" ht="21" customHeight="1">
      <x:c r="A2139" s="3" t="str">
        <x:v>2201011</x:v>
      </x:c>
      <x:c r="B2139" s="3" t="str">
        <x:v>SEC022</x:v>
      </x:c>
      <x:c r="C2139" s="3" t="n">
        <x:v>5</x:v>
      </x:c>
      <x:c r="D2139" s="3" t="str">
        <x:v>present</x:v>
      </x:c>
      <x:c r="E2139" s="5" t="str">
        <x:f>VLOOKUP(B2139,Sections!$A$5:$I$45,3,FALSE)</x:f>
        <x:v>2024-2</x:v>
      </x:c>
    </x:row>
    <x:row r="2140" ht="21" customHeight="1">
      <x:c r="A2140" s="3" t="str">
        <x:v>2201011</x:v>
      </x:c>
      <x:c r="B2140" s="3" t="str">
        <x:v>SEC022</x:v>
      </x:c>
      <x:c r="C2140" s="3" t="n">
        <x:v>6</x:v>
      </x:c>
      <x:c r="D2140" s="3" t="str">
        <x:v>late</x:v>
      </x:c>
      <x:c r="E2140" s="5" t="str">
        <x:f>VLOOKUP(B2140,Sections!$A$5:$I$45,3,FALSE)</x:f>
        <x:v>2024-2</x:v>
      </x:c>
    </x:row>
    <x:row r="2141" ht="21" customHeight="1">
      <x:c r="A2141" s="3" t="str">
        <x:v>2201011</x:v>
      </x:c>
      <x:c r="B2141" s="3" t="str">
        <x:v>SEC022</x:v>
      </x:c>
      <x:c r="C2141" s="3" t="n">
        <x:v>7</x:v>
      </x:c>
      <x:c r="D2141" s="3" t="str">
        <x:v>present</x:v>
      </x:c>
      <x:c r="E2141" s="5" t="str">
        <x:f>VLOOKUP(B2141,Sections!$A$5:$I$45,3,FALSE)</x:f>
        <x:v>2024-2</x:v>
      </x:c>
    </x:row>
    <x:row r="2142" ht="21" customHeight="1">
      <x:c r="A2142" s="3" t="str">
        <x:v>2201011</x:v>
      </x:c>
      <x:c r="B2142" s="3" t="str">
        <x:v>SEC022</x:v>
      </x:c>
      <x:c r="C2142" s="3" t="n">
        <x:v>8</x:v>
      </x:c>
      <x:c r="D2142" s="3" t="str">
        <x:v>present</x:v>
      </x:c>
      <x:c r="E2142" s="5" t="str">
        <x:f>VLOOKUP(B2142,Sections!$A$5:$I$45,3,FALSE)</x:f>
        <x:v>2024-2</x:v>
      </x:c>
    </x:row>
    <x:row r="2143" ht="21" customHeight="1">
      <x:c r="A2143" s="3" t="str">
        <x:v>2201011</x:v>
      </x:c>
      <x:c r="B2143" s="3" t="str">
        <x:v>SEC022</x:v>
      </x:c>
      <x:c r="C2143" s="3" t="n">
        <x:v>9</x:v>
      </x:c>
      <x:c r="D2143" s="3" t="str">
        <x:v>present</x:v>
      </x:c>
      <x:c r="E2143" s="5" t="str">
        <x:f>VLOOKUP(B2143,Sections!$A$5:$I$45,3,FALSE)</x:f>
        <x:v>2024-2</x:v>
      </x:c>
    </x:row>
    <x:row r="2144" ht="21" customHeight="1">
      <x:c r="A2144" s="3" t="str">
        <x:v>2201011</x:v>
      </x:c>
      <x:c r="B2144" s="3" t="str">
        <x:v>SEC022</x:v>
      </x:c>
      <x:c r="C2144" s="3" t="n">
        <x:v>10</x:v>
      </x:c>
      <x:c r="D2144" s="3" t="str">
        <x:v>present</x:v>
      </x:c>
      <x:c r="E2144" s="5" t="str">
        <x:f>VLOOKUP(B2144,Sections!$A$5:$I$45,3,FALSE)</x:f>
        <x:v>2024-2</x:v>
      </x:c>
    </x:row>
    <x:row r="2145" ht="21" customHeight="1">
      <x:c r="A2145" s="3" t="str">
        <x:v>2201011</x:v>
      </x:c>
      <x:c r="B2145" s="3" t="str">
        <x:v>SEC022</x:v>
      </x:c>
      <x:c r="C2145" s="3" t="n">
        <x:v>11</x:v>
      </x:c>
      <x:c r="D2145" s="3" t="str">
        <x:v>present</x:v>
      </x:c>
      <x:c r="E2145" s="5" t="str">
        <x:f>VLOOKUP(B2145,Sections!$A$5:$I$45,3,FALSE)</x:f>
        <x:v>2024-2</x:v>
      </x:c>
    </x:row>
    <x:row r="2146" ht="21" customHeight="1">
      <x:c r="A2146" s="3" t="str">
        <x:v>2201011</x:v>
      </x:c>
      <x:c r="B2146" s="3" t="str">
        <x:v>SEC022</x:v>
      </x:c>
      <x:c r="C2146" s="3" t="n">
        <x:v>12</x:v>
      </x:c>
      <x:c r="D2146" s="3" t="str">
        <x:v>present</x:v>
      </x:c>
      <x:c r="E2146" s="5" t="str">
        <x:f>VLOOKUP(B2146,Sections!$A$5:$I$45,3,FALSE)</x:f>
        <x:v>2024-2</x:v>
      </x:c>
    </x:row>
    <x:row r="2147" ht="21" customHeight="1">
      <x:c r="A2147" s="3" t="str">
        <x:v>2201011</x:v>
      </x:c>
      <x:c r="B2147" s="3" t="str">
        <x:v>SEC022</x:v>
      </x:c>
      <x:c r="C2147" s="3" t="n">
        <x:v>13</x:v>
      </x:c>
      <x:c r="D2147" s="3" t="str">
        <x:v>present</x:v>
      </x:c>
      <x:c r="E2147" s="5" t="str">
        <x:f>VLOOKUP(B2147,Sections!$A$5:$I$45,3,FALSE)</x:f>
        <x:v>2024-2</x:v>
      </x:c>
    </x:row>
    <x:row r="2148" ht="21" customHeight="1">
      <x:c r="A2148" s="3" t="str">
        <x:v>2201011</x:v>
      </x:c>
      <x:c r="B2148" s="3" t="str">
        <x:v>SEC022</x:v>
      </x:c>
      <x:c r="C2148" s="3" t="n">
        <x:v>14</x:v>
      </x:c>
      <x:c r="D2148" s="3" t="str">
        <x:v>present</x:v>
      </x:c>
      <x:c r="E2148" s="5" t="str">
        <x:f>VLOOKUP(B2148,Sections!$A$5:$I$45,3,FALSE)</x:f>
        <x:v>2024-2</x:v>
      </x:c>
    </x:row>
    <x:row r="2149" ht="21" customHeight="1">
      <x:c r="A2149" s="3" t="str">
        <x:v>2201011</x:v>
      </x:c>
      <x:c r="B2149" s="3" t="str">
        <x:v>SEC022</x:v>
      </x:c>
      <x:c r="C2149" s="3" t="n">
        <x:v>15</x:v>
      </x:c>
      <x:c r="D2149" s="3" t="str">
        <x:v>present</x:v>
      </x:c>
      <x:c r="E2149" s="5" t="str">
        <x:f>VLOOKUP(B2149,Sections!$A$5:$I$45,3,FALSE)</x:f>
        <x:v>2024-2</x:v>
      </x:c>
    </x:row>
    <x:row r="2150" ht="21" customHeight="1">
      <x:c r="A2150" s="3" t="str">
        <x:v>2201012</x:v>
      </x:c>
      <x:c r="B2150" s="3" t="str">
        <x:v>SEC022</x:v>
      </x:c>
      <x:c r="C2150" s="3" t="n">
        <x:v>1</x:v>
      </x:c>
      <x:c r="D2150" s="3" t="str">
        <x:v>present</x:v>
      </x:c>
      <x:c r="E2150" s="5" t="str">
        <x:f>VLOOKUP(B2150,Sections!$A$5:$I$45,3,FALSE)</x:f>
        <x:v>2024-2</x:v>
      </x:c>
    </x:row>
    <x:row r="2151" ht="21" customHeight="1">
      <x:c r="A2151" s="3" t="str">
        <x:v>2201012</x:v>
      </x:c>
      <x:c r="B2151" s="3" t="str">
        <x:v>SEC022</x:v>
      </x:c>
      <x:c r="C2151" s="3" t="n">
        <x:v>2</x:v>
      </x:c>
      <x:c r="D2151" s="3" t="str">
        <x:v>absent</x:v>
      </x:c>
      <x:c r="E2151" s="5" t="str">
        <x:f>VLOOKUP(B2151,Sections!$A$5:$I$45,3,FALSE)</x:f>
        <x:v>2024-2</x:v>
      </x:c>
    </x:row>
    <x:row r="2152" ht="21" customHeight="1">
      <x:c r="A2152" s="3" t="str">
        <x:v>2201012</x:v>
      </x:c>
      <x:c r="B2152" s="3" t="str">
        <x:v>SEC022</x:v>
      </x:c>
      <x:c r="C2152" s="3" t="n">
        <x:v>3</x:v>
      </x:c>
      <x:c r="D2152" s="3" t="str">
        <x:v>present</x:v>
      </x:c>
      <x:c r="E2152" s="5" t="str">
        <x:f>VLOOKUP(B2152,Sections!$A$5:$I$45,3,FALSE)</x:f>
        <x:v>2024-2</x:v>
      </x:c>
    </x:row>
    <x:row r="2153" ht="21" customHeight="1">
      <x:c r="A2153" s="3" t="str">
        <x:v>2201012</x:v>
      </x:c>
      <x:c r="B2153" s="3" t="str">
        <x:v>SEC022</x:v>
      </x:c>
      <x:c r="C2153" s="3" t="n">
        <x:v>4</x:v>
      </x:c>
      <x:c r="D2153" s="3" t="str">
        <x:v>present</x:v>
      </x:c>
      <x:c r="E2153" s="5" t="str">
        <x:f>VLOOKUP(B2153,Sections!$A$5:$I$45,3,FALSE)</x:f>
        <x:v>2024-2</x:v>
      </x:c>
    </x:row>
    <x:row r="2154" ht="21" customHeight="1">
      <x:c r="A2154" s="3" t="str">
        <x:v>2201012</x:v>
      </x:c>
      <x:c r="B2154" s="3" t="str">
        <x:v>SEC022</x:v>
      </x:c>
      <x:c r="C2154" s="3" t="n">
        <x:v>5</x:v>
      </x:c>
      <x:c r="D2154" s="3" t="str">
        <x:v>present</x:v>
      </x:c>
      <x:c r="E2154" s="5" t="str">
        <x:f>VLOOKUP(B2154,Sections!$A$5:$I$45,3,FALSE)</x:f>
        <x:v>2024-2</x:v>
      </x:c>
    </x:row>
    <x:row r="2155" ht="21" customHeight="1">
      <x:c r="A2155" s="3" t="str">
        <x:v>2201012</x:v>
      </x:c>
      <x:c r="B2155" s="3" t="str">
        <x:v>SEC022</x:v>
      </x:c>
      <x:c r="C2155" s="3" t="n">
        <x:v>6</x:v>
      </x:c>
      <x:c r="D2155" s="3" t="str">
        <x:v>present</x:v>
      </x:c>
      <x:c r="E2155" s="5" t="str">
        <x:f>VLOOKUP(B2155,Sections!$A$5:$I$45,3,FALSE)</x:f>
        <x:v>2024-2</x:v>
      </x:c>
    </x:row>
    <x:row r="2156" ht="21" customHeight="1">
      <x:c r="A2156" s="3" t="str">
        <x:v>2201012</x:v>
      </x:c>
      <x:c r="B2156" s="3" t="str">
        <x:v>SEC022</x:v>
      </x:c>
      <x:c r="C2156" s="3" t="n">
        <x:v>7</x:v>
      </x:c>
      <x:c r="D2156" s="3" t="str">
        <x:v>present</x:v>
      </x:c>
      <x:c r="E2156" s="5" t="str">
        <x:f>VLOOKUP(B2156,Sections!$A$5:$I$45,3,FALSE)</x:f>
        <x:v>2024-2</x:v>
      </x:c>
    </x:row>
    <x:row r="2157" ht="21" customHeight="1">
      <x:c r="A2157" s="3" t="str">
        <x:v>2201012</x:v>
      </x:c>
      <x:c r="B2157" s="3" t="str">
        <x:v>SEC022</x:v>
      </x:c>
      <x:c r="C2157" s="3" t="n">
        <x:v>8</x:v>
      </x:c>
      <x:c r="D2157" s="3" t="str">
        <x:v>present</x:v>
      </x:c>
      <x:c r="E2157" s="5" t="str">
        <x:f>VLOOKUP(B2157,Sections!$A$5:$I$45,3,FALSE)</x:f>
        <x:v>2024-2</x:v>
      </x:c>
    </x:row>
    <x:row r="2158" ht="21" customHeight="1">
      <x:c r="A2158" s="3" t="str">
        <x:v>2201012</x:v>
      </x:c>
      <x:c r="B2158" s="3" t="str">
        <x:v>SEC022</x:v>
      </x:c>
      <x:c r="C2158" s="3" t="n">
        <x:v>9</x:v>
      </x:c>
      <x:c r="D2158" s="3" t="str">
        <x:v>present</x:v>
      </x:c>
      <x:c r="E2158" s="5" t="str">
        <x:f>VLOOKUP(B2158,Sections!$A$5:$I$45,3,FALSE)</x:f>
        <x:v>2024-2</x:v>
      </x:c>
    </x:row>
    <x:row r="2159" ht="21" customHeight="1">
      <x:c r="A2159" s="3" t="str">
        <x:v>2201012</x:v>
      </x:c>
      <x:c r="B2159" s="3" t="str">
        <x:v>SEC022</x:v>
      </x:c>
      <x:c r="C2159" s="3" t="n">
        <x:v>10</x:v>
      </x:c>
      <x:c r="D2159" s="3" t="str">
        <x:v>present</x:v>
      </x:c>
      <x:c r="E2159" s="5" t="str">
        <x:f>VLOOKUP(B2159,Sections!$A$5:$I$45,3,FALSE)</x:f>
        <x:v>2024-2</x:v>
      </x:c>
    </x:row>
    <x:row r="2160" ht="21" customHeight="1">
      <x:c r="A2160" s="3" t="str">
        <x:v>2201012</x:v>
      </x:c>
      <x:c r="B2160" s="3" t="str">
        <x:v>SEC022</x:v>
      </x:c>
      <x:c r="C2160" s="3" t="n">
        <x:v>11</x:v>
      </x:c>
      <x:c r="D2160" s="3" t="str">
        <x:v>present</x:v>
      </x:c>
      <x:c r="E2160" s="5" t="str">
        <x:f>VLOOKUP(B2160,Sections!$A$5:$I$45,3,FALSE)</x:f>
        <x:v>2024-2</x:v>
      </x:c>
    </x:row>
    <x:row r="2161" ht="21" customHeight="1">
      <x:c r="A2161" s="3" t="str">
        <x:v>2201012</x:v>
      </x:c>
      <x:c r="B2161" s="3" t="str">
        <x:v>SEC022</x:v>
      </x:c>
      <x:c r="C2161" s="3" t="n">
        <x:v>12</x:v>
      </x:c>
      <x:c r="D2161" s="3" t="str">
        <x:v>present</x:v>
      </x:c>
      <x:c r="E2161" s="5" t="str">
        <x:f>VLOOKUP(B2161,Sections!$A$5:$I$45,3,FALSE)</x:f>
        <x:v>2024-2</x:v>
      </x:c>
    </x:row>
    <x:row r="2162" ht="21" customHeight="1">
      <x:c r="A2162" s="3" t="str">
        <x:v>2201012</x:v>
      </x:c>
      <x:c r="B2162" s="3" t="str">
        <x:v>SEC022</x:v>
      </x:c>
      <x:c r="C2162" s="3" t="n">
        <x:v>13</x:v>
      </x:c>
      <x:c r="D2162" s="3" t="str">
        <x:v>present</x:v>
      </x:c>
      <x:c r="E2162" s="5" t="str">
        <x:f>VLOOKUP(B2162,Sections!$A$5:$I$45,3,FALSE)</x:f>
        <x:v>2024-2</x:v>
      </x:c>
    </x:row>
    <x:row r="2163" ht="21" customHeight="1">
      <x:c r="A2163" s="3" t="str">
        <x:v>2201012</x:v>
      </x:c>
      <x:c r="B2163" s="3" t="str">
        <x:v>SEC022</x:v>
      </x:c>
      <x:c r="C2163" s="3" t="n">
        <x:v>14</x:v>
      </x:c>
      <x:c r="D2163" s="3" t="str">
        <x:v>present</x:v>
      </x:c>
      <x:c r="E2163" s="5" t="str">
        <x:f>VLOOKUP(B2163,Sections!$A$5:$I$45,3,FALSE)</x:f>
        <x:v>2024-2</x:v>
      </x:c>
    </x:row>
    <x:row r="2164" ht="21" customHeight="1">
      <x:c r="A2164" s="3" t="str">
        <x:v>2201012</x:v>
      </x:c>
      <x:c r="B2164" s="3" t="str">
        <x:v>SEC022</x:v>
      </x:c>
      <x:c r="C2164" s="3" t="n">
        <x:v>15</x:v>
      </x:c>
      <x:c r="D2164" s="3" t="str">
        <x:v>present</x:v>
      </x:c>
      <x:c r="E2164" s="5" t="str">
        <x:f>VLOOKUP(B2164,Sections!$A$5:$I$45,3,FALSE)</x:f>
        <x:v>2024-2</x:v>
      </x:c>
    </x:row>
    <x:row r="2165" ht="21" customHeight="1">
      <x:c r="A2165" s="3" t="str">
        <x:v>2201013</x:v>
      </x:c>
      <x:c r="B2165" s="3" t="str">
        <x:v>SEC022</x:v>
      </x:c>
      <x:c r="C2165" s="3" t="n">
        <x:v>1</x:v>
      </x:c>
      <x:c r="D2165" s="3" t="str">
        <x:v>absent</x:v>
      </x:c>
      <x:c r="E2165" s="5" t="str">
        <x:f>VLOOKUP(B2165,Sections!$A$5:$I$45,3,FALSE)</x:f>
        <x:v>2024-2</x:v>
      </x:c>
    </x:row>
    <x:row r="2166" ht="21" customHeight="1">
      <x:c r="A2166" s="3" t="str">
        <x:v>2201013</x:v>
      </x:c>
      <x:c r="B2166" s="3" t="str">
        <x:v>SEC022</x:v>
      </x:c>
      <x:c r="C2166" s="3" t="n">
        <x:v>2</x:v>
      </x:c>
      <x:c r="D2166" s="3" t="str">
        <x:v>present</x:v>
      </x:c>
      <x:c r="E2166" s="5" t="str">
        <x:f>VLOOKUP(B2166,Sections!$A$5:$I$45,3,FALSE)</x:f>
        <x:v>2024-2</x:v>
      </x:c>
    </x:row>
    <x:row r="2167" ht="21" customHeight="1">
      <x:c r="A2167" s="3" t="str">
        <x:v>2201013</x:v>
      </x:c>
      <x:c r="B2167" s="3" t="str">
        <x:v>SEC022</x:v>
      </x:c>
      <x:c r="C2167" s="3" t="n">
        <x:v>3</x:v>
      </x:c>
      <x:c r="D2167" s="3" t="str">
        <x:v>late</x:v>
      </x:c>
      <x:c r="E2167" s="5" t="str">
        <x:f>VLOOKUP(B2167,Sections!$A$5:$I$45,3,FALSE)</x:f>
        <x:v>2024-2</x:v>
      </x:c>
    </x:row>
    <x:row r="2168" ht="21" customHeight="1">
      <x:c r="A2168" s="3" t="str">
        <x:v>2201013</x:v>
      </x:c>
      <x:c r="B2168" s="3" t="str">
        <x:v>SEC022</x:v>
      </x:c>
      <x:c r="C2168" s="3" t="n">
        <x:v>4</x:v>
      </x:c>
      <x:c r="D2168" s="3" t="str">
        <x:v>present</x:v>
      </x:c>
      <x:c r="E2168" s="5" t="str">
        <x:f>VLOOKUP(B2168,Sections!$A$5:$I$45,3,FALSE)</x:f>
        <x:v>2024-2</x:v>
      </x:c>
    </x:row>
    <x:row r="2169" ht="21" customHeight="1">
      <x:c r="A2169" s="3" t="str">
        <x:v>2201013</x:v>
      </x:c>
      <x:c r="B2169" s="3" t="str">
        <x:v>SEC022</x:v>
      </x:c>
      <x:c r="C2169" s="3" t="n">
        <x:v>5</x:v>
      </x:c>
      <x:c r="D2169" s="3" t="str">
        <x:v>present</x:v>
      </x:c>
      <x:c r="E2169" s="5" t="str">
        <x:f>VLOOKUP(B2169,Sections!$A$5:$I$45,3,FALSE)</x:f>
        <x:v>2024-2</x:v>
      </x:c>
    </x:row>
    <x:row r="2170" ht="21" customHeight="1">
      <x:c r="A2170" s="3" t="str">
        <x:v>2201013</x:v>
      </x:c>
      <x:c r="B2170" s="3" t="str">
        <x:v>SEC022</x:v>
      </x:c>
      <x:c r="C2170" s="3" t="n">
        <x:v>6</x:v>
      </x:c>
      <x:c r="D2170" s="3" t="str">
        <x:v>present</x:v>
      </x:c>
      <x:c r="E2170" s="5" t="str">
        <x:f>VLOOKUP(B2170,Sections!$A$5:$I$45,3,FALSE)</x:f>
        <x:v>2024-2</x:v>
      </x:c>
    </x:row>
    <x:row r="2171" ht="21" customHeight="1">
      <x:c r="A2171" s="3" t="str">
        <x:v>2201013</x:v>
      </x:c>
      <x:c r="B2171" s="3" t="str">
        <x:v>SEC022</x:v>
      </x:c>
      <x:c r="C2171" s="3" t="n">
        <x:v>7</x:v>
      </x:c>
      <x:c r="D2171" s="3" t="str">
        <x:v>present</x:v>
      </x:c>
      <x:c r="E2171" s="5" t="str">
        <x:f>VLOOKUP(B2171,Sections!$A$5:$I$45,3,FALSE)</x:f>
        <x:v>2024-2</x:v>
      </x:c>
    </x:row>
    <x:row r="2172" ht="21" customHeight="1">
      <x:c r="A2172" s="3" t="str">
        <x:v>2201013</x:v>
      </x:c>
      <x:c r="B2172" s="3" t="str">
        <x:v>SEC022</x:v>
      </x:c>
      <x:c r="C2172" s="3" t="n">
        <x:v>8</x:v>
      </x:c>
      <x:c r="D2172" s="3" t="str">
        <x:v>present</x:v>
      </x:c>
      <x:c r="E2172" s="5" t="str">
        <x:f>VLOOKUP(B2172,Sections!$A$5:$I$45,3,FALSE)</x:f>
        <x:v>2024-2</x:v>
      </x:c>
    </x:row>
    <x:row r="2173" ht="21" customHeight="1">
      <x:c r="A2173" s="3" t="str">
        <x:v>2201013</x:v>
      </x:c>
      <x:c r="B2173" s="3" t="str">
        <x:v>SEC022</x:v>
      </x:c>
      <x:c r="C2173" s="3" t="n">
        <x:v>9</x:v>
      </x:c>
      <x:c r="D2173" s="3" t="str">
        <x:v>present</x:v>
      </x:c>
      <x:c r="E2173" s="5" t="str">
        <x:f>VLOOKUP(B2173,Sections!$A$5:$I$45,3,FALSE)</x:f>
        <x:v>2024-2</x:v>
      </x:c>
    </x:row>
    <x:row r="2174" ht="21" customHeight="1">
      <x:c r="A2174" s="3" t="str">
        <x:v>2201013</x:v>
      </x:c>
      <x:c r="B2174" s="3" t="str">
        <x:v>SEC022</x:v>
      </x:c>
      <x:c r="C2174" s="3" t="n">
        <x:v>10</x:v>
      </x:c>
      <x:c r="D2174" s="3" t="str">
        <x:v>present</x:v>
      </x:c>
      <x:c r="E2174" s="5" t="str">
        <x:f>VLOOKUP(B2174,Sections!$A$5:$I$45,3,FALSE)</x:f>
        <x:v>2024-2</x:v>
      </x:c>
    </x:row>
    <x:row r="2175" ht="21" customHeight="1">
      <x:c r="A2175" s="3" t="str">
        <x:v>2201013</x:v>
      </x:c>
      <x:c r="B2175" s="3" t="str">
        <x:v>SEC022</x:v>
      </x:c>
      <x:c r="C2175" s="3" t="n">
        <x:v>11</x:v>
      </x:c>
      <x:c r="D2175" s="3" t="str">
        <x:v>present</x:v>
      </x:c>
      <x:c r="E2175" s="5" t="str">
        <x:f>VLOOKUP(B2175,Sections!$A$5:$I$45,3,FALSE)</x:f>
        <x:v>2024-2</x:v>
      </x:c>
    </x:row>
    <x:row r="2176" ht="21" customHeight="1">
      <x:c r="A2176" s="3" t="str">
        <x:v>2201013</x:v>
      </x:c>
      <x:c r="B2176" s="3" t="str">
        <x:v>SEC022</x:v>
      </x:c>
      <x:c r="C2176" s="3" t="n">
        <x:v>12</x:v>
      </x:c>
      <x:c r="D2176" s="3" t="str">
        <x:v>present</x:v>
      </x:c>
      <x:c r="E2176" s="5" t="str">
        <x:f>VLOOKUP(B2176,Sections!$A$5:$I$45,3,FALSE)</x:f>
        <x:v>2024-2</x:v>
      </x:c>
    </x:row>
    <x:row r="2177" ht="21" customHeight="1">
      <x:c r="A2177" s="3" t="str">
        <x:v>2201013</x:v>
      </x:c>
      <x:c r="B2177" s="3" t="str">
        <x:v>SEC022</x:v>
      </x:c>
      <x:c r="C2177" s="3" t="n">
        <x:v>13</x:v>
      </x:c>
      <x:c r="D2177" s="3" t="str">
        <x:v>present</x:v>
      </x:c>
      <x:c r="E2177" s="5" t="str">
        <x:f>VLOOKUP(B2177,Sections!$A$5:$I$45,3,FALSE)</x:f>
        <x:v>2024-2</x:v>
      </x:c>
    </x:row>
    <x:row r="2178" ht="21" customHeight="1">
      <x:c r="A2178" s="3" t="str">
        <x:v>2201013</x:v>
      </x:c>
      <x:c r="B2178" s="3" t="str">
        <x:v>SEC022</x:v>
      </x:c>
      <x:c r="C2178" s="3" t="n">
        <x:v>14</x:v>
      </x:c>
      <x:c r="D2178" s="3" t="str">
        <x:v>present</x:v>
      </x:c>
      <x:c r="E2178" s="5" t="str">
        <x:f>VLOOKUP(B2178,Sections!$A$5:$I$45,3,FALSE)</x:f>
        <x:v>2024-2</x:v>
      </x:c>
    </x:row>
    <x:row r="2179" ht="21" customHeight="1">
      <x:c r="A2179" s="3" t="str">
        <x:v>2201013</x:v>
      </x:c>
      <x:c r="B2179" s="3" t="str">
        <x:v>SEC022</x:v>
      </x:c>
      <x:c r="C2179" s="3" t="n">
        <x:v>15</x:v>
      </x:c>
      <x:c r="D2179" s="3" t="str">
        <x:v>present</x:v>
      </x:c>
      <x:c r="E2179" s="5" t="str">
        <x:f>VLOOKUP(B2179,Sections!$A$5:$I$45,3,FALSE)</x:f>
        <x:v>2024-2</x:v>
      </x:c>
    </x:row>
    <x:row r="2180" ht="21" customHeight="1">
      <x:c r="A2180" s="3" t="str">
        <x:v>2201014</x:v>
      </x:c>
      <x:c r="B2180" s="3" t="str">
        <x:v>SEC022</x:v>
      </x:c>
      <x:c r="C2180" s="3" t="n">
        <x:v>1</x:v>
      </x:c>
      <x:c r="D2180" s="3" t="str">
        <x:v>present</x:v>
      </x:c>
      <x:c r="E2180" s="5" t="str">
        <x:f>VLOOKUP(B2180,Sections!$A$5:$I$45,3,FALSE)</x:f>
        <x:v>2024-2</x:v>
      </x:c>
    </x:row>
    <x:row r="2181" ht="21" customHeight="1">
      <x:c r="A2181" s="3" t="str">
        <x:v>2201014</x:v>
      </x:c>
      <x:c r="B2181" s="3" t="str">
        <x:v>SEC022</x:v>
      </x:c>
      <x:c r="C2181" s="3" t="n">
        <x:v>2</x:v>
      </x:c>
      <x:c r="D2181" s="3" t="str">
        <x:v>present</x:v>
      </x:c>
      <x:c r="E2181" s="5" t="str">
        <x:f>VLOOKUP(B2181,Sections!$A$5:$I$45,3,FALSE)</x:f>
        <x:v>2024-2</x:v>
      </x:c>
    </x:row>
    <x:row r="2182" ht="21" customHeight="1">
      <x:c r="A2182" s="3" t="str">
        <x:v>2201014</x:v>
      </x:c>
      <x:c r="B2182" s="3" t="str">
        <x:v>SEC022</x:v>
      </x:c>
      <x:c r="C2182" s="3" t="n">
        <x:v>3</x:v>
      </x:c>
      <x:c r="D2182" s="3" t="str">
        <x:v>present</x:v>
      </x:c>
      <x:c r="E2182" s="5" t="str">
        <x:f>VLOOKUP(B2182,Sections!$A$5:$I$45,3,FALSE)</x:f>
        <x:v>2024-2</x:v>
      </x:c>
    </x:row>
    <x:row r="2183" ht="21" customHeight="1">
      <x:c r="A2183" s="3" t="str">
        <x:v>2201014</x:v>
      </x:c>
      <x:c r="B2183" s="3" t="str">
        <x:v>SEC022</x:v>
      </x:c>
      <x:c r="C2183" s="3" t="n">
        <x:v>4</x:v>
      </x:c>
      <x:c r="D2183" s="3" t="str">
        <x:v>present</x:v>
      </x:c>
      <x:c r="E2183" s="5" t="str">
        <x:f>VLOOKUP(B2183,Sections!$A$5:$I$45,3,FALSE)</x:f>
        <x:v>2024-2</x:v>
      </x:c>
    </x:row>
    <x:row r="2184" ht="21" customHeight="1">
      <x:c r="A2184" s="3" t="str">
        <x:v>2201014</x:v>
      </x:c>
      <x:c r="B2184" s="3" t="str">
        <x:v>SEC022</x:v>
      </x:c>
      <x:c r="C2184" s="3" t="n">
        <x:v>5</x:v>
      </x:c>
      <x:c r="D2184" s="3" t="str">
        <x:v>present</x:v>
      </x:c>
      <x:c r="E2184" s="5" t="str">
        <x:f>VLOOKUP(B2184,Sections!$A$5:$I$45,3,FALSE)</x:f>
        <x:v>2024-2</x:v>
      </x:c>
    </x:row>
    <x:row r="2185" ht="21" customHeight="1">
      <x:c r="A2185" s="3" t="str">
        <x:v>2201014</x:v>
      </x:c>
      <x:c r="B2185" s="3" t="str">
        <x:v>SEC022</x:v>
      </x:c>
      <x:c r="C2185" s="3" t="n">
        <x:v>6</x:v>
      </x:c>
      <x:c r="D2185" s="3" t="str">
        <x:v>present</x:v>
      </x:c>
      <x:c r="E2185" s="5" t="str">
        <x:f>VLOOKUP(B2185,Sections!$A$5:$I$45,3,FALSE)</x:f>
        <x:v>2024-2</x:v>
      </x:c>
    </x:row>
    <x:row r="2186" ht="21" customHeight="1">
      <x:c r="A2186" s="3" t="str">
        <x:v>2201014</x:v>
      </x:c>
      <x:c r="B2186" s="3" t="str">
        <x:v>SEC022</x:v>
      </x:c>
      <x:c r="C2186" s="3" t="n">
        <x:v>7</x:v>
      </x:c>
      <x:c r="D2186" s="3" t="str">
        <x:v>present</x:v>
      </x:c>
      <x:c r="E2186" s="5" t="str">
        <x:f>VLOOKUP(B2186,Sections!$A$5:$I$45,3,FALSE)</x:f>
        <x:v>2024-2</x:v>
      </x:c>
    </x:row>
    <x:row r="2187" ht="21" customHeight="1">
      <x:c r="A2187" s="3" t="str">
        <x:v>2201014</x:v>
      </x:c>
      <x:c r="B2187" s="3" t="str">
        <x:v>SEC022</x:v>
      </x:c>
      <x:c r="C2187" s="3" t="n">
        <x:v>8</x:v>
      </x:c>
      <x:c r="D2187" s="3" t="str">
        <x:v>late</x:v>
      </x:c>
      <x:c r="E2187" s="5" t="str">
        <x:f>VLOOKUP(B2187,Sections!$A$5:$I$45,3,FALSE)</x:f>
        <x:v>2024-2</x:v>
      </x:c>
    </x:row>
    <x:row r="2188" ht="21" customHeight="1">
      <x:c r="A2188" s="3" t="str">
        <x:v>2201014</x:v>
      </x:c>
      <x:c r="B2188" s="3" t="str">
        <x:v>SEC022</x:v>
      </x:c>
      <x:c r="C2188" s="3" t="n">
        <x:v>9</x:v>
      </x:c>
      <x:c r="D2188" s="3" t="str">
        <x:v>present</x:v>
      </x:c>
      <x:c r="E2188" s="5" t="str">
        <x:f>VLOOKUP(B2188,Sections!$A$5:$I$45,3,FALSE)</x:f>
        <x:v>2024-2</x:v>
      </x:c>
    </x:row>
    <x:row r="2189" ht="21" customHeight="1">
      <x:c r="A2189" s="3" t="str">
        <x:v>2201014</x:v>
      </x:c>
      <x:c r="B2189" s="3" t="str">
        <x:v>SEC022</x:v>
      </x:c>
      <x:c r="C2189" s="3" t="n">
        <x:v>10</x:v>
      </x:c>
      <x:c r="D2189" s="3" t="str">
        <x:v>present</x:v>
      </x:c>
      <x:c r="E2189" s="5" t="str">
        <x:f>VLOOKUP(B2189,Sections!$A$5:$I$45,3,FALSE)</x:f>
        <x:v>2024-2</x:v>
      </x:c>
    </x:row>
    <x:row r="2190" ht="21" customHeight="1">
      <x:c r="A2190" s="3" t="str">
        <x:v>2201014</x:v>
      </x:c>
      <x:c r="B2190" s="3" t="str">
        <x:v>SEC022</x:v>
      </x:c>
      <x:c r="C2190" s="3" t="n">
        <x:v>11</x:v>
      </x:c>
      <x:c r="D2190" s="3" t="str">
        <x:v>present</x:v>
      </x:c>
      <x:c r="E2190" s="5" t="str">
        <x:f>VLOOKUP(B2190,Sections!$A$5:$I$45,3,FALSE)</x:f>
        <x:v>2024-2</x:v>
      </x:c>
    </x:row>
    <x:row r="2191" ht="21" customHeight="1">
      <x:c r="A2191" s="3" t="str">
        <x:v>2201014</x:v>
      </x:c>
      <x:c r="B2191" s="3" t="str">
        <x:v>SEC022</x:v>
      </x:c>
      <x:c r="C2191" s="3" t="n">
        <x:v>12</x:v>
      </x:c>
      <x:c r="D2191" s="3" t="str">
        <x:v>present</x:v>
      </x:c>
      <x:c r="E2191" s="5" t="str">
        <x:f>VLOOKUP(B2191,Sections!$A$5:$I$45,3,FALSE)</x:f>
        <x:v>2024-2</x:v>
      </x:c>
    </x:row>
    <x:row r="2192" ht="21" customHeight="1">
      <x:c r="A2192" s="3" t="str">
        <x:v>2201014</x:v>
      </x:c>
      <x:c r="B2192" s="3" t="str">
        <x:v>SEC022</x:v>
      </x:c>
      <x:c r="C2192" s="3" t="n">
        <x:v>13</x:v>
      </x:c>
      <x:c r="D2192" s="3" t="str">
        <x:v>present</x:v>
      </x:c>
      <x:c r="E2192" s="5" t="str">
        <x:f>VLOOKUP(B2192,Sections!$A$5:$I$45,3,FALSE)</x:f>
        <x:v>2024-2</x:v>
      </x:c>
    </x:row>
    <x:row r="2193" ht="21" customHeight="1">
      <x:c r="A2193" s="3" t="str">
        <x:v>2201014</x:v>
      </x:c>
      <x:c r="B2193" s="3" t="str">
        <x:v>SEC022</x:v>
      </x:c>
      <x:c r="C2193" s="3" t="n">
        <x:v>14</x:v>
      </x:c>
      <x:c r="D2193" s="3" t="str">
        <x:v>present</x:v>
      </x:c>
      <x:c r="E2193" s="5" t="str">
        <x:f>VLOOKUP(B2193,Sections!$A$5:$I$45,3,FALSE)</x:f>
        <x:v>2024-2</x:v>
      </x:c>
    </x:row>
    <x:row r="2194" ht="21" customHeight="1">
      <x:c r="A2194" s="3" t="str">
        <x:v>2201014</x:v>
      </x:c>
      <x:c r="B2194" s="3" t="str">
        <x:v>SEC022</x:v>
      </x:c>
      <x:c r="C2194" s="3" t="n">
        <x:v>15</x:v>
      </x:c>
      <x:c r="D2194" s="3" t="str">
        <x:v>present</x:v>
      </x:c>
      <x:c r="E2194" s="5" t="str">
        <x:f>VLOOKUP(B2194,Sections!$A$5:$I$45,3,FALSE)</x:f>
        <x:v>2024-2</x:v>
      </x:c>
    </x:row>
    <x:row r="2195" ht="21" customHeight="1">
      <x:c r="A2195" s="3" t="str">
        <x:v>2201015</x:v>
      </x:c>
      <x:c r="B2195" s="3" t="str">
        <x:v>SEC022</x:v>
      </x:c>
      <x:c r="C2195" s="3" t="n">
        <x:v>1</x:v>
      </x:c>
      <x:c r="D2195" s="3" t="str">
        <x:v>absent</x:v>
      </x:c>
      <x:c r="E2195" s="5" t="str">
        <x:f>VLOOKUP(B2195,Sections!$A$5:$I$45,3,FALSE)</x:f>
        <x:v>2024-2</x:v>
      </x:c>
    </x:row>
    <x:row r="2196" ht="21" customHeight="1">
      <x:c r="A2196" s="3" t="str">
        <x:v>2201015</x:v>
      </x:c>
      <x:c r="B2196" s="3" t="str">
        <x:v>SEC022</x:v>
      </x:c>
      <x:c r="C2196" s="3" t="n">
        <x:v>2</x:v>
      </x:c>
      <x:c r="D2196" s="3" t="str">
        <x:v>late</x:v>
      </x:c>
      <x:c r="E2196" s="5" t="str">
        <x:f>VLOOKUP(B2196,Sections!$A$5:$I$45,3,FALSE)</x:f>
        <x:v>2024-2</x:v>
      </x:c>
    </x:row>
    <x:row r="2197" ht="21" customHeight="1">
      <x:c r="A2197" s="3" t="str">
        <x:v>2201015</x:v>
      </x:c>
      <x:c r="B2197" s="3" t="str">
        <x:v>SEC022</x:v>
      </x:c>
      <x:c r="C2197" s="3" t="n">
        <x:v>3</x:v>
      </x:c>
      <x:c r="D2197" s="3" t="str">
        <x:v>present</x:v>
      </x:c>
      <x:c r="E2197" s="5" t="str">
        <x:f>VLOOKUP(B2197,Sections!$A$5:$I$45,3,FALSE)</x:f>
        <x:v>2024-2</x:v>
      </x:c>
    </x:row>
    <x:row r="2198" ht="21" customHeight="1">
      <x:c r="A2198" s="3" t="str">
        <x:v>2201015</x:v>
      </x:c>
      <x:c r="B2198" s="3" t="str">
        <x:v>SEC022</x:v>
      </x:c>
      <x:c r="C2198" s="3" t="n">
        <x:v>4</x:v>
      </x:c>
      <x:c r="D2198" s="3" t="str">
        <x:v>present</x:v>
      </x:c>
      <x:c r="E2198" s="5" t="str">
        <x:f>VLOOKUP(B2198,Sections!$A$5:$I$45,3,FALSE)</x:f>
        <x:v>2024-2</x:v>
      </x:c>
    </x:row>
    <x:row r="2199" ht="21" customHeight="1">
      <x:c r="A2199" s="3" t="str">
        <x:v>2201015</x:v>
      </x:c>
      <x:c r="B2199" s="3" t="str">
        <x:v>SEC022</x:v>
      </x:c>
      <x:c r="C2199" s="3" t="n">
        <x:v>5</x:v>
      </x:c>
      <x:c r="D2199" s="3" t="str">
        <x:v>excused</x:v>
      </x:c>
      <x:c r="E2199" s="5" t="str">
        <x:f>VLOOKUP(B2199,Sections!$A$5:$I$45,3,FALSE)</x:f>
        <x:v>2024-2</x:v>
      </x:c>
    </x:row>
    <x:row r="2200" ht="21" customHeight="1">
      <x:c r="A2200" s="3" t="str">
        <x:v>2201015</x:v>
      </x:c>
      <x:c r="B2200" s="3" t="str">
        <x:v>SEC022</x:v>
      </x:c>
      <x:c r="C2200" s="3" t="n">
        <x:v>6</x:v>
      </x:c>
      <x:c r="D2200" s="3" t="str">
        <x:v>present</x:v>
      </x:c>
      <x:c r="E2200" s="5" t="str">
        <x:f>VLOOKUP(B2200,Sections!$A$5:$I$45,3,FALSE)</x:f>
        <x:v>2024-2</x:v>
      </x:c>
    </x:row>
    <x:row r="2201" ht="21" customHeight="1">
      <x:c r="A2201" s="3" t="str">
        <x:v>2201015</x:v>
      </x:c>
      <x:c r="B2201" s="3" t="str">
        <x:v>SEC022</x:v>
      </x:c>
      <x:c r="C2201" s="3" t="n">
        <x:v>7</x:v>
      </x:c>
      <x:c r="D2201" s="3" t="str">
        <x:v>absent</x:v>
      </x:c>
      <x:c r="E2201" s="5" t="str">
        <x:f>VLOOKUP(B2201,Sections!$A$5:$I$45,3,FALSE)</x:f>
        <x:v>2024-2</x:v>
      </x:c>
    </x:row>
    <x:row r="2202" ht="21" customHeight="1">
      <x:c r="A2202" s="3" t="str">
        <x:v>2201015</x:v>
      </x:c>
      <x:c r="B2202" s="3" t="str">
        <x:v>SEC022</x:v>
      </x:c>
      <x:c r="C2202" s="3" t="n">
        <x:v>8</x:v>
      </x:c>
      <x:c r="D2202" s="3" t="str">
        <x:v>present</x:v>
      </x:c>
      <x:c r="E2202" s="5" t="str">
        <x:f>VLOOKUP(B2202,Sections!$A$5:$I$45,3,FALSE)</x:f>
        <x:v>2024-2</x:v>
      </x:c>
    </x:row>
    <x:row r="2203" ht="21" customHeight="1">
      <x:c r="A2203" s="3" t="str">
        <x:v>2201015</x:v>
      </x:c>
      <x:c r="B2203" s="3" t="str">
        <x:v>SEC022</x:v>
      </x:c>
      <x:c r="C2203" s="3" t="n">
        <x:v>9</x:v>
      </x:c>
      <x:c r="D2203" s="3" t="str">
        <x:v>absent</x:v>
      </x:c>
      <x:c r="E2203" s="5" t="str">
        <x:f>VLOOKUP(B2203,Sections!$A$5:$I$45,3,FALSE)</x:f>
        <x:v>2024-2</x:v>
      </x:c>
    </x:row>
    <x:row r="2204" ht="21" customHeight="1">
      <x:c r="A2204" s="3" t="str">
        <x:v>2201015</x:v>
      </x:c>
      <x:c r="B2204" s="3" t="str">
        <x:v>SEC022</x:v>
      </x:c>
      <x:c r="C2204" s="3" t="n">
        <x:v>10</x:v>
      </x:c>
      <x:c r="D2204" s="3" t="str">
        <x:v>present</x:v>
      </x:c>
      <x:c r="E2204" s="5" t="str">
        <x:f>VLOOKUP(B2204,Sections!$A$5:$I$45,3,FALSE)</x:f>
        <x:v>2024-2</x:v>
      </x:c>
    </x:row>
    <x:row r="2205" ht="21" customHeight="1">
      <x:c r="A2205" s="3" t="str">
        <x:v>2201015</x:v>
      </x:c>
      <x:c r="B2205" s="3" t="str">
        <x:v>SEC022</x:v>
      </x:c>
      <x:c r="C2205" s="3" t="n">
        <x:v>11</x:v>
      </x:c>
      <x:c r="D2205" s="3" t="str">
        <x:v>present</x:v>
      </x:c>
      <x:c r="E2205" s="5" t="str">
        <x:f>VLOOKUP(B2205,Sections!$A$5:$I$45,3,FALSE)</x:f>
        <x:v>2024-2</x:v>
      </x:c>
    </x:row>
    <x:row r="2206" ht="21" customHeight="1">
      <x:c r="A2206" s="3" t="str">
        <x:v>2201015</x:v>
      </x:c>
      <x:c r="B2206" s="3" t="str">
        <x:v>SEC022</x:v>
      </x:c>
      <x:c r="C2206" s="3" t="n">
        <x:v>12</x:v>
      </x:c>
      <x:c r="D2206" s="3" t="str">
        <x:v>present</x:v>
      </x:c>
      <x:c r="E2206" s="5" t="str">
        <x:f>VLOOKUP(B2206,Sections!$A$5:$I$45,3,FALSE)</x:f>
        <x:v>2024-2</x:v>
      </x:c>
    </x:row>
    <x:row r="2207" ht="21" customHeight="1">
      <x:c r="A2207" s="3" t="str">
        <x:v>2201015</x:v>
      </x:c>
      <x:c r="B2207" s="3" t="str">
        <x:v>SEC022</x:v>
      </x:c>
      <x:c r="C2207" s="3" t="n">
        <x:v>13</x:v>
      </x:c>
      <x:c r="D2207" s="3" t="str">
        <x:v>present</x:v>
      </x:c>
      <x:c r="E2207" s="5" t="str">
        <x:f>VLOOKUP(B2207,Sections!$A$5:$I$45,3,FALSE)</x:f>
        <x:v>2024-2</x:v>
      </x:c>
    </x:row>
    <x:row r="2208" ht="21" customHeight="1">
      <x:c r="A2208" s="3" t="str">
        <x:v>2201015</x:v>
      </x:c>
      <x:c r="B2208" s="3" t="str">
        <x:v>SEC022</x:v>
      </x:c>
      <x:c r="C2208" s="3" t="n">
        <x:v>14</x:v>
      </x:c>
      <x:c r="D2208" s="3" t="str">
        <x:v>late</x:v>
      </x:c>
      <x:c r="E2208" s="5" t="str">
        <x:f>VLOOKUP(B2208,Sections!$A$5:$I$45,3,FALSE)</x:f>
        <x:v>2024-2</x:v>
      </x:c>
    </x:row>
    <x:row r="2209" ht="21" customHeight="1">
      <x:c r="A2209" s="3" t="str">
        <x:v>2201015</x:v>
      </x:c>
      <x:c r="B2209" s="3" t="str">
        <x:v>SEC022</x:v>
      </x:c>
      <x:c r="C2209" s="3" t="n">
        <x:v>15</x:v>
      </x:c>
      <x:c r="D2209" s="3" t="str">
        <x:v>absent</x:v>
      </x:c>
      <x:c r="E2209" s="5" t="str">
        <x:f>VLOOKUP(B2209,Sections!$A$5:$I$45,3,FALSE)</x:f>
        <x:v>2024-2</x:v>
      </x:c>
    </x:row>
    <x:row r="2210" ht="21" customHeight="1">
      <x:c r="A2210" s="3" t="str">
        <x:v>2201016</x:v>
      </x:c>
      <x:c r="B2210" s="3" t="str">
        <x:v>SEC022</x:v>
      </x:c>
      <x:c r="C2210" s="3" t="n">
        <x:v>1</x:v>
      </x:c>
      <x:c r="D2210" s="3" t="str">
        <x:v>present</x:v>
      </x:c>
      <x:c r="E2210" s="5" t="str">
        <x:f>VLOOKUP(B2210,Sections!$A$5:$I$45,3,FALSE)</x:f>
        <x:v>2024-2</x:v>
      </x:c>
    </x:row>
    <x:row r="2211" ht="21" customHeight="1">
      <x:c r="A2211" s="3" t="str">
        <x:v>2201016</x:v>
      </x:c>
      <x:c r="B2211" s="3" t="str">
        <x:v>SEC022</x:v>
      </x:c>
      <x:c r="C2211" s="3" t="n">
        <x:v>2</x:v>
      </x:c>
      <x:c r="D2211" s="3" t="str">
        <x:v>present</x:v>
      </x:c>
      <x:c r="E2211" s="5" t="str">
        <x:f>VLOOKUP(B2211,Sections!$A$5:$I$45,3,FALSE)</x:f>
        <x:v>2024-2</x:v>
      </x:c>
    </x:row>
    <x:row r="2212" ht="21" customHeight="1">
      <x:c r="A2212" s="3" t="str">
        <x:v>2201016</x:v>
      </x:c>
      <x:c r="B2212" s="3" t="str">
        <x:v>SEC022</x:v>
      </x:c>
      <x:c r="C2212" s="3" t="n">
        <x:v>3</x:v>
      </x:c>
      <x:c r="D2212" s="3" t="str">
        <x:v>present</x:v>
      </x:c>
      <x:c r="E2212" s="5" t="str">
        <x:f>VLOOKUP(B2212,Sections!$A$5:$I$45,3,FALSE)</x:f>
        <x:v>2024-2</x:v>
      </x:c>
    </x:row>
    <x:row r="2213" ht="21" customHeight="1">
      <x:c r="A2213" s="3" t="str">
        <x:v>2201016</x:v>
      </x:c>
      <x:c r="B2213" s="3" t="str">
        <x:v>SEC022</x:v>
      </x:c>
      <x:c r="C2213" s="3" t="n">
        <x:v>4</x:v>
      </x:c>
      <x:c r="D2213" s="3" t="str">
        <x:v>present</x:v>
      </x:c>
      <x:c r="E2213" s="5" t="str">
        <x:f>VLOOKUP(B2213,Sections!$A$5:$I$45,3,FALSE)</x:f>
        <x:v>2024-2</x:v>
      </x:c>
    </x:row>
    <x:row r="2214" ht="21" customHeight="1">
      <x:c r="A2214" s="3" t="str">
        <x:v>2201016</x:v>
      </x:c>
      <x:c r="B2214" s="3" t="str">
        <x:v>SEC022</x:v>
      </x:c>
      <x:c r="C2214" s="3" t="n">
        <x:v>5</x:v>
      </x:c>
      <x:c r="D2214" s="3" t="str">
        <x:v>late</x:v>
      </x:c>
      <x:c r="E2214" s="5" t="str">
        <x:f>VLOOKUP(B2214,Sections!$A$5:$I$45,3,FALSE)</x:f>
        <x:v>2024-2</x:v>
      </x:c>
    </x:row>
    <x:row r="2215" ht="21" customHeight="1">
      <x:c r="A2215" s="3" t="str">
        <x:v>2201016</x:v>
      </x:c>
      <x:c r="B2215" s="3" t="str">
        <x:v>SEC022</x:v>
      </x:c>
      <x:c r="C2215" s="3" t="n">
        <x:v>6</x:v>
      </x:c>
      <x:c r="D2215" s="3" t="str">
        <x:v>present</x:v>
      </x:c>
      <x:c r="E2215" s="5" t="str">
        <x:f>VLOOKUP(B2215,Sections!$A$5:$I$45,3,FALSE)</x:f>
        <x:v>2024-2</x:v>
      </x:c>
    </x:row>
    <x:row r="2216" ht="21" customHeight="1">
      <x:c r="A2216" s="3" t="str">
        <x:v>2201016</x:v>
      </x:c>
      <x:c r="B2216" s="3" t="str">
        <x:v>SEC022</x:v>
      </x:c>
      <x:c r="C2216" s="3" t="n">
        <x:v>7</x:v>
      </x:c>
      <x:c r="D2216" s="3" t="str">
        <x:v>present</x:v>
      </x:c>
      <x:c r="E2216" s="5" t="str">
        <x:f>VLOOKUP(B2216,Sections!$A$5:$I$45,3,FALSE)</x:f>
        <x:v>2024-2</x:v>
      </x:c>
    </x:row>
    <x:row r="2217" ht="21" customHeight="1">
      <x:c r="A2217" s="3" t="str">
        <x:v>2201016</x:v>
      </x:c>
      <x:c r="B2217" s="3" t="str">
        <x:v>SEC022</x:v>
      </x:c>
      <x:c r="C2217" s="3" t="n">
        <x:v>8</x:v>
      </x:c>
      <x:c r="D2217" s="3" t="str">
        <x:v>present</x:v>
      </x:c>
      <x:c r="E2217" s="5" t="str">
        <x:f>VLOOKUP(B2217,Sections!$A$5:$I$45,3,FALSE)</x:f>
        <x:v>2024-2</x:v>
      </x:c>
    </x:row>
    <x:row r="2218" ht="21" customHeight="1">
      <x:c r="A2218" s="3" t="str">
        <x:v>2201016</x:v>
      </x:c>
      <x:c r="B2218" s="3" t="str">
        <x:v>SEC022</x:v>
      </x:c>
      <x:c r="C2218" s="3" t="n">
        <x:v>9</x:v>
      </x:c>
      <x:c r="D2218" s="3" t="str">
        <x:v>present</x:v>
      </x:c>
      <x:c r="E2218" s="5" t="str">
        <x:f>VLOOKUP(B2218,Sections!$A$5:$I$45,3,FALSE)</x:f>
        <x:v>2024-2</x:v>
      </x:c>
    </x:row>
    <x:row r="2219" ht="21" customHeight="1">
      <x:c r="A2219" s="3" t="str">
        <x:v>2201016</x:v>
      </x:c>
      <x:c r="B2219" s="3" t="str">
        <x:v>SEC022</x:v>
      </x:c>
      <x:c r="C2219" s="3" t="n">
        <x:v>10</x:v>
      </x:c>
      <x:c r="D2219" s="3" t="str">
        <x:v>present</x:v>
      </x:c>
      <x:c r="E2219" s="5" t="str">
        <x:f>VLOOKUP(B2219,Sections!$A$5:$I$45,3,FALSE)</x:f>
        <x:v>2024-2</x:v>
      </x:c>
    </x:row>
    <x:row r="2220" ht="21" customHeight="1">
      <x:c r="A2220" s="3" t="str">
        <x:v>2201016</x:v>
      </x:c>
      <x:c r="B2220" s="3" t="str">
        <x:v>SEC022</x:v>
      </x:c>
      <x:c r="C2220" s="3" t="n">
        <x:v>11</x:v>
      </x:c>
      <x:c r="D2220" s="3" t="str">
        <x:v>absent</x:v>
      </x:c>
      <x:c r="E2220" s="5" t="str">
        <x:f>VLOOKUP(B2220,Sections!$A$5:$I$45,3,FALSE)</x:f>
        <x:v>2024-2</x:v>
      </x:c>
    </x:row>
    <x:row r="2221" ht="21" customHeight="1">
      <x:c r="A2221" s="3" t="str">
        <x:v>2201016</x:v>
      </x:c>
      <x:c r="B2221" s="3" t="str">
        <x:v>SEC022</x:v>
      </x:c>
      <x:c r="C2221" s="3" t="n">
        <x:v>12</x:v>
      </x:c>
      <x:c r="D2221" s="3" t="str">
        <x:v>present</x:v>
      </x:c>
      <x:c r="E2221" s="5" t="str">
        <x:f>VLOOKUP(B2221,Sections!$A$5:$I$45,3,FALSE)</x:f>
        <x:v>2024-2</x:v>
      </x:c>
    </x:row>
    <x:row r="2222" ht="21" customHeight="1">
      <x:c r="A2222" s="3" t="str">
        <x:v>2201016</x:v>
      </x:c>
      <x:c r="B2222" s="3" t="str">
        <x:v>SEC022</x:v>
      </x:c>
      <x:c r="C2222" s="3" t="n">
        <x:v>13</x:v>
      </x:c>
      <x:c r="D2222" s="3" t="str">
        <x:v>present</x:v>
      </x:c>
      <x:c r="E2222" s="5" t="str">
        <x:f>VLOOKUP(B2222,Sections!$A$5:$I$45,3,FALSE)</x:f>
        <x:v>2024-2</x:v>
      </x:c>
    </x:row>
    <x:row r="2223" ht="21" customHeight="1">
      <x:c r="A2223" s="3" t="str">
        <x:v>2201016</x:v>
      </x:c>
      <x:c r="B2223" s="3" t="str">
        <x:v>SEC022</x:v>
      </x:c>
      <x:c r="C2223" s="3" t="n">
        <x:v>14</x:v>
      </x:c>
      <x:c r="D2223" s="3" t="str">
        <x:v>present</x:v>
      </x:c>
      <x:c r="E2223" s="5" t="str">
        <x:f>VLOOKUP(B2223,Sections!$A$5:$I$45,3,FALSE)</x:f>
        <x:v>2024-2</x:v>
      </x:c>
    </x:row>
    <x:row r="2224" ht="21" customHeight="1">
      <x:c r="A2224" s="3" t="str">
        <x:v>2201016</x:v>
      </x:c>
      <x:c r="B2224" s="3" t="str">
        <x:v>SEC022</x:v>
      </x:c>
      <x:c r="C2224" s="3" t="n">
        <x:v>15</x:v>
      </x:c>
      <x:c r="D2224" s="3" t="str">
        <x:v>present</x:v>
      </x:c>
      <x:c r="E2224" s="5" t="str">
        <x:f>VLOOKUP(B2224,Sections!$A$5:$I$45,3,FALSE)</x:f>
        <x:v>2024-2</x:v>
      </x:c>
    </x:row>
    <x:row r="2225" ht="21" customHeight="1">
      <x:c r="A2225" s="3" t="str">
        <x:v>2201017</x:v>
      </x:c>
      <x:c r="B2225" s="3" t="str">
        <x:v>SEC022</x:v>
      </x:c>
      <x:c r="C2225" s="3" t="n">
        <x:v>1</x:v>
      </x:c>
      <x:c r="D2225" s="3" t="str">
        <x:v>late</x:v>
      </x:c>
      <x:c r="E2225" s="5" t="str">
        <x:f>VLOOKUP(B2225,Sections!$A$5:$I$45,3,FALSE)</x:f>
        <x:v>2024-2</x:v>
      </x:c>
    </x:row>
    <x:row r="2226" ht="21" customHeight="1">
      <x:c r="A2226" s="3" t="str">
        <x:v>2201017</x:v>
      </x:c>
      <x:c r="B2226" s="3" t="str">
        <x:v>SEC022</x:v>
      </x:c>
      <x:c r="C2226" s="3" t="n">
        <x:v>2</x:v>
      </x:c>
      <x:c r="D2226" s="3" t="str">
        <x:v>present</x:v>
      </x:c>
      <x:c r="E2226" s="5" t="str">
        <x:f>VLOOKUP(B2226,Sections!$A$5:$I$45,3,FALSE)</x:f>
        <x:v>2024-2</x:v>
      </x:c>
    </x:row>
    <x:row r="2227" ht="21" customHeight="1">
      <x:c r="A2227" s="3" t="str">
        <x:v>2201017</x:v>
      </x:c>
      <x:c r="B2227" s="3" t="str">
        <x:v>SEC022</x:v>
      </x:c>
      <x:c r="C2227" s="3" t="n">
        <x:v>3</x:v>
      </x:c>
      <x:c r="D2227" s="3" t="str">
        <x:v>present</x:v>
      </x:c>
      <x:c r="E2227" s="5" t="str">
        <x:f>VLOOKUP(B2227,Sections!$A$5:$I$45,3,FALSE)</x:f>
        <x:v>2024-2</x:v>
      </x:c>
    </x:row>
    <x:row r="2228" ht="21" customHeight="1">
      <x:c r="A2228" s="3" t="str">
        <x:v>2201017</x:v>
      </x:c>
      <x:c r="B2228" s="3" t="str">
        <x:v>SEC022</x:v>
      </x:c>
      <x:c r="C2228" s="3" t="n">
        <x:v>4</x:v>
      </x:c>
      <x:c r="D2228" s="3" t="str">
        <x:v>present</x:v>
      </x:c>
      <x:c r="E2228" s="5" t="str">
        <x:f>VLOOKUP(B2228,Sections!$A$5:$I$45,3,FALSE)</x:f>
        <x:v>2024-2</x:v>
      </x:c>
    </x:row>
    <x:row r="2229" ht="21" customHeight="1">
      <x:c r="A2229" s="3" t="str">
        <x:v>2201017</x:v>
      </x:c>
      <x:c r="B2229" s="3" t="str">
        <x:v>SEC022</x:v>
      </x:c>
      <x:c r="C2229" s="3" t="n">
        <x:v>5</x:v>
      </x:c>
      <x:c r="D2229" s="3" t="str">
        <x:v>present</x:v>
      </x:c>
      <x:c r="E2229" s="5" t="str">
        <x:f>VLOOKUP(B2229,Sections!$A$5:$I$45,3,FALSE)</x:f>
        <x:v>2024-2</x:v>
      </x:c>
    </x:row>
    <x:row r="2230" ht="21" customHeight="1">
      <x:c r="A2230" s="3" t="str">
        <x:v>2201017</x:v>
      </x:c>
      <x:c r="B2230" s="3" t="str">
        <x:v>SEC022</x:v>
      </x:c>
      <x:c r="C2230" s="3" t="n">
        <x:v>6</x:v>
      </x:c>
      <x:c r="D2230" s="3" t="str">
        <x:v>present</x:v>
      </x:c>
      <x:c r="E2230" s="5" t="str">
        <x:f>VLOOKUP(B2230,Sections!$A$5:$I$45,3,FALSE)</x:f>
        <x:v>2024-2</x:v>
      </x:c>
    </x:row>
    <x:row r="2231" ht="21" customHeight="1">
      <x:c r="A2231" s="3" t="str">
        <x:v>2201017</x:v>
      </x:c>
      <x:c r="B2231" s="3" t="str">
        <x:v>SEC022</x:v>
      </x:c>
      <x:c r="C2231" s="3" t="n">
        <x:v>7</x:v>
      </x:c>
      <x:c r="D2231" s="3" t="str">
        <x:v>present</x:v>
      </x:c>
      <x:c r="E2231" s="5" t="str">
        <x:f>VLOOKUP(B2231,Sections!$A$5:$I$45,3,FALSE)</x:f>
        <x:v>2024-2</x:v>
      </x:c>
    </x:row>
    <x:row r="2232" ht="21" customHeight="1">
      <x:c r="A2232" s="3" t="str">
        <x:v>2201017</x:v>
      </x:c>
      <x:c r="B2232" s="3" t="str">
        <x:v>SEC022</x:v>
      </x:c>
      <x:c r="C2232" s="3" t="n">
        <x:v>8</x:v>
      </x:c>
      <x:c r="D2232" s="3" t="str">
        <x:v>present</x:v>
      </x:c>
      <x:c r="E2232" s="5" t="str">
        <x:f>VLOOKUP(B2232,Sections!$A$5:$I$45,3,FALSE)</x:f>
        <x:v>2024-2</x:v>
      </x:c>
    </x:row>
    <x:row r="2233" ht="21" customHeight="1">
      <x:c r="A2233" s="3" t="str">
        <x:v>2201017</x:v>
      </x:c>
      <x:c r="B2233" s="3" t="str">
        <x:v>SEC022</x:v>
      </x:c>
      <x:c r="C2233" s="3" t="n">
        <x:v>9</x:v>
      </x:c>
      <x:c r="D2233" s="3" t="str">
        <x:v>present</x:v>
      </x:c>
      <x:c r="E2233" s="5" t="str">
        <x:f>VLOOKUP(B2233,Sections!$A$5:$I$45,3,FALSE)</x:f>
        <x:v>2024-2</x:v>
      </x:c>
    </x:row>
    <x:row r="2234" ht="21" customHeight="1">
      <x:c r="A2234" s="3" t="str">
        <x:v>2201017</x:v>
      </x:c>
      <x:c r="B2234" s="3" t="str">
        <x:v>SEC022</x:v>
      </x:c>
      <x:c r="C2234" s="3" t="n">
        <x:v>10</x:v>
      </x:c>
      <x:c r="D2234" s="3" t="str">
        <x:v>present</x:v>
      </x:c>
      <x:c r="E2234" s="5" t="str">
        <x:f>VLOOKUP(B2234,Sections!$A$5:$I$45,3,FALSE)</x:f>
        <x:v>2024-2</x:v>
      </x:c>
    </x:row>
    <x:row r="2235" ht="21" customHeight="1">
      <x:c r="A2235" s="3" t="str">
        <x:v>2201017</x:v>
      </x:c>
      <x:c r="B2235" s="3" t="str">
        <x:v>SEC022</x:v>
      </x:c>
      <x:c r="C2235" s="3" t="n">
        <x:v>11</x:v>
      </x:c>
      <x:c r="D2235" s="3" t="str">
        <x:v>present</x:v>
      </x:c>
      <x:c r="E2235" s="5" t="str">
        <x:f>VLOOKUP(B2235,Sections!$A$5:$I$45,3,FALSE)</x:f>
        <x:v>2024-2</x:v>
      </x:c>
    </x:row>
    <x:row r="2236" ht="21" customHeight="1">
      <x:c r="A2236" s="3" t="str">
        <x:v>2201017</x:v>
      </x:c>
      <x:c r="B2236" s="3" t="str">
        <x:v>SEC022</x:v>
      </x:c>
      <x:c r="C2236" s="3" t="n">
        <x:v>12</x:v>
      </x:c>
      <x:c r="D2236" s="3" t="str">
        <x:v>present</x:v>
      </x:c>
      <x:c r="E2236" s="5" t="str">
        <x:f>VLOOKUP(B2236,Sections!$A$5:$I$45,3,FALSE)</x:f>
        <x:v>2024-2</x:v>
      </x:c>
    </x:row>
    <x:row r="2237" ht="21" customHeight="1">
      <x:c r="A2237" s="3" t="str">
        <x:v>2201017</x:v>
      </x:c>
      <x:c r="B2237" s="3" t="str">
        <x:v>SEC022</x:v>
      </x:c>
      <x:c r="C2237" s="3" t="n">
        <x:v>13</x:v>
      </x:c>
      <x:c r="D2237" s="3" t="str">
        <x:v>late</x:v>
      </x:c>
      <x:c r="E2237" s="5" t="str">
        <x:f>VLOOKUP(B2237,Sections!$A$5:$I$45,3,FALSE)</x:f>
        <x:v>2024-2</x:v>
      </x:c>
    </x:row>
    <x:row r="2238" ht="21" customHeight="1">
      <x:c r="A2238" s="3" t="str">
        <x:v>2201017</x:v>
      </x:c>
      <x:c r="B2238" s="3" t="str">
        <x:v>SEC022</x:v>
      </x:c>
      <x:c r="C2238" s="3" t="n">
        <x:v>14</x:v>
      </x:c>
      <x:c r="D2238" s="3" t="str">
        <x:v>present</x:v>
      </x:c>
      <x:c r="E2238" s="5" t="str">
        <x:f>VLOOKUP(B2238,Sections!$A$5:$I$45,3,FALSE)</x:f>
        <x:v>2024-2</x:v>
      </x:c>
    </x:row>
    <x:row r="2239" ht="21" customHeight="1">
      <x:c r="A2239" s="3" t="str">
        <x:v>2201017</x:v>
      </x:c>
      <x:c r="B2239" s="3" t="str">
        <x:v>SEC022</x:v>
      </x:c>
      <x:c r="C2239" s="3" t="n">
        <x:v>15</x:v>
      </x:c>
      <x:c r="D2239" s="3" t="str">
        <x:v>present</x:v>
      </x:c>
      <x:c r="E2239" s="5" t="str">
        <x:f>VLOOKUP(B2239,Sections!$A$5:$I$45,3,FALSE)</x:f>
        <x:v>2024-2</x:v>
      </x:c>
    </x:row>
    <x:row r="2240" ht="21" customHeight="1">
      <x:c r="A2240" s="3" t="str">
        <x:v>2201018</x:v>
      </x:c>
      <x:c r="B2240" s="3" t="str">
        <x:v>SEC022</x:v>
      </x:c>
      <x:c r="C2240" s="3" t="n">
        <x:v>1</x:v>
      </x:c>
      <x:c r="D2240" s="3" t="str">
        <x:v>present</x:v>
      </x:c>
      <x:c r="E2240" s="5" t="str">
        <x:f>VLOOKUP(B2240,Sections!$A$5:$I$45,3,FALSE)</x:f>
        <x:v>2024-2</x:v>
      </x:c>
    </x:row>
    <x:row r="2241" ht="21" customHeight="1">
      <x:c r="A2241" s="3" t="str">
        <x:v>2201018</x:v>
      </x:c>
      <x:c r="B2241" s="3" t="str">
        <x:v>SEC022</x:v>
      </x:c>
      <x:c r="C2241" s="3" t="n">
        <x:v>2</x:v>
      </x:c>
      <x:c r="D2241" s="3" t="str">
        <x:v>present</x:v>
      </x:c>
      <x:c r="E2241" s="5" t="str">
        <x:f>VLOOKUP(B2241,Sections!$A$5:$I$45,3,FALSE)</x:f>
        <x:v>2024-2</x:v>
      </x:c>
    </x:row>
    <x:row r="2242" ht="21" customHeight="1">
      <x:c r="A2242" s="3" t="str">
        <x:v>2201018</x:v>
      </x:c>
      <x:c r="B2242" s="3" t="str">
        <x:v>SEC022</x:v>
      </x:c>
      <x:c r="C2242" s="3" t="n">
        <x:v>3</x:v>
      </x:c>
      <x:c r="D2242" s="3" t="str">
        <x:v>present</x:v>
      </x:c>
      <x:c r="E2242" s="5" t="str">
        <x:f>VLOOKUP(B2242,Sections!$A$5:$I$45,3,FALSE)</x:f>
        <x:v>2024-2</x:v>
      </x:c>
    </x:row>
    <x:row r="2243" ht="21" customHeight="1">
      <x:c r="A2243" s="3" t="str">
        <x:v>2201018</x:v>
      </x:c>
      <x:c r="B2243" s="3" t="str">
        <x:v>SEC022</x:v>
      </x:c>
      <x:c r="C2243" s="3" t="n">
        <x:v>4</x:v>
      </x:c>
      <x:c r="D2243" s="3" t="str">
        <x:v>present</x:v>
      </x:c>
      <x:c r="E2243" s="5" t="str">
        <x:f>VLOOKUP(B2243,Sections!$A$5:$I$45,3,FALSE)</x:f>
        <x:v>2024-2</x:v>
      </x:c>
    </x:row>
    <x:row r="2244" ht="21" customHeight="1">
      <x:c r="A2244" s="3" t="str">
        <x:v>2201018</x:v>
      </x:c>
      <x:c r="B2244" s="3" t="str">
        <x:v>SEC022</x:v>
      </x:c>
      <x:c r="C2244" s="3" t="n">
        <x:v>5</x:v>
      </x:c>
      <x:c r="D2244" s="3" t="str">
        <x:v>present</x:v>
      </x:c>
      <x:c r="E2244" s="5" t="str">
        <x:f>VLOOKUP(B2244,Sections!$A$5:$I$45,3,FALSE)</x:f>
        <x:v>2024-2</x:v>
      </x:c>
    </x:row>
    <x:row r="2245" ht="21" customHeight="1">
      <x:c r="A2245" s="3" t="str">
        <x:v>2201018</x:v>
      </x:c>
      <x:c r="B2245" s="3" t="str">
        <x:v>SEC022</x:v>
      </x:c>
      <x:c r="C2245" s="3" t="n">
        <x:v>6</x:v>
      </x:c>
      <x:c r="D2245" s="3" t="str">
        <x:v>present</x:v>
      </x:c>
      <x:c r="E2245" s="5" t="str">
        <x:f>VLOOKUP(B2245,Sections!$A$5:$I$45,3,FALSE)</x:f>
        <x:v>2024-2</x:v>
      </x:c>
    </x:row>
    <x:row r="2246" ht="21" customHeight="1">
      <x:c r="A2246" s="3" t="str">
        <x:v>2201018</x:v>
      </x:c>
      <x:c r="B2246" s="3" t="str">
        <x:v>SEC022</x:v>
      </x:c>
      <x:c r="C2246" s="3" t="n">
        <x:v>7</x:v>
      </x:c>
      <x:c r="D2246" s="3" t="str">
        <x:v>present</x:v>
      </x:c>
      <x:c r="E2246" s="5" t="str">
        <x:f>VLOOKUP(B2246,Sections!$A$5:$I$45,3,FALSE)</x:f>
        <x:v>2024-2</x:v>
      </x:c>
    </x:row>
    <x:row r="2247" ht="21" customHeight="1">
      <x:c r="A2247" s="3" t="str">
        <x:v>2201018</x:v>
      </x:c>
      <x:c r="B2247" s="3" t="str">
        <x:v>SEC022</x:v>
      </x:c>
      <x:c r="C2247" s="3" t="n">
        <x:v>8</x:v>
      </x:c>
      <x:c r="D2247" s="3" t="str">
        <x:v>present</x:v>
      </x:c>
      <x:c r="E2247" s="5" t="str">
        <x:f>VLOOKUP(B2247,Sections!$A$5:$I$45,3,FALSE)</x:f>
        <x:v>2024-2</x:v>
      </x:c>
    </x:row>
    <x:row r="2248" ht="21" customHeight="1">
      <x:c r="A2248" s="3" t="str">
        <x:v>2201018</x:v>
      </x:c>
      <x:c r="B2248" s="3" t="str">
        <x:v>SEC022</x:v>
      </x:c>
      <x:c r="C2248" s="3" t="n">
        <x:v>9</x:v>
      </x:c>
      <x:c r="D2248" s="3" t="str">
        <x:v>absent</x:v>
      </x:c>
      <x:c r="E2248" s="5" t="str">
        <x:f>VLOOKUP(B2248,Sections!$A$5:$I$45,3,FALSE)</x:f>
        <x:v>2024-2</x:v>
      </x:c>
    </x:row>
    <x:row r="2249" ht="21" customHeight="1">
      <x:c r="A2249" s="3" t="str">
        <x:v>2201018</x:v>
      </x:c>
      <x:c r="B2249" s="3" t="str">
        <x:v>SEC022</x:v>
      </x:c>
      <x:c r="C2249" s="3" t="n">
        <x:v>10</x:v>
      </x:c>
      <x:c r="D2249" s="3" t="str">
        <x:v>present</x:v>
      </x:c>
      <x:c r="E2249" s="5" t="str">
        <x:f>VLOOKUP(B2249,Sections!$A$5:$I$45,3,FALSE)</x:f>
        <x:v>2024-2</x:v>
      </x:c>
    </x:row>
    <x:row r="2250" ht="21" customHeight="1">
      <x:c r="A2250" s="3" t="str">
        <x:v>2201018</x:v>
      </x:c>
      <x:c r="B2250" s="3" t="str">
        <x:v>SEC022</x:v>
      </x:c>
      <x:c r="C2250" s="3" t="n">
        <x:v>11</x:v>
      </x:c>
      <x:c r="D2250" s="3" t="str">
        <x:v>present</x:v>
      </x:c>
      <x:c r="E2250" s="5" t="str">
        <x:f>VLOOKUP(B2250,Sections!$A$5:$I$45,3,FALSE)</x:f>
        <x:v>2024-2</x:v>
      </x:c>
    </x:row>
    <x:row r="2251" ht="21" customHeight="1">
      <x:c r="A2251" s="3" t="str">
        <x:v>2201018</x:v>
      </x:c>
      <x:c r="B2251" s="3" t="str">
        <x:v>SEC022</x:v>
      </x:c>
      <x:c r="C2251" s="3" t="n">
        <x:v>12</x:v>
      </x:c>
      <x:c r="D2251" s="3" t="str">
        <x:v>present</x:v>
      </x:c>
      <x:c r="E2251" s="5" t="str">
        <x:f>VLOOKUP(B2251,Sections!$A$5:$I$45,3,FALSE)</x:f>
        <x:v>2024-2</x:v>
      </x:c>
    </x:row>
    <x:row r="2252" ht="21" customHeight="1">
      <x:c r="A2252" s="3" t="str">
        <x:v>2201018</x:v>
      </x:c>
      <x:c r="B2252" s="3" t="str">
        <x:v>SEC022</x:v>
      </x:c>
      <x:c r="C2252" s="3" t="n">
        <x:v>13</x:v>
      </x:c>
      <x:c r="D2252" s="3" t="str">
        <x:v>present</x:v>
      </x:c>
      <x:c r="E2252" s="5" t="str">
        <x:f>VLOOKUP(B2252,Sections!$A$5:$I$45,3,FALSE)</x:f>
        <x:v>2024-2</x:v>
      </x:c>
    </x:row>
    <x:row r="2253" ht="21" customHeight="1">
      <x:c r="A2253" s="3" t="str">
        <x:v>2201018</x:v>
      </x:c>
      <x:c r="B2253" s="3" t="str">
        <x:v>SEC022</x:v>
      </x:c>
      <x:c r="C2253" s="3" t="n">
        <x:v>14</x:v>
      </x:c>
      <x:c r="D2253" s="3" t="str">
        <x:v>present</x:v>
      </x:c>
      <x:c r="E2253" s="5" t="str">
        <x:f>VLOOKUP(B2253,Sections!$A$5:$I$45,3,FALSE)</x:f>
        <x:v>2024-2</x:v>
      </x:c>
    </x:row>
    <x:row r="2254" ht="21" customHeight="1">
      <x:c r="A2254" s="3" t="str">
        <x:v>2201018</x:v>
      </x:c>
      <x:c r="B2254" s="3" t="str">
        <x:v>SEC022</x:v>
      </x:c>
      <x:c r="C2254" s="3" t="n">
        <x:v>15</x:v>
      </x:c>
      <x:c r="D2254" s="3" t="str">
        <x:v>present</x:v>
      </x:c>
      <x:c r="E2254" s="5" t="str">
        <x:f>VLOOKUP(B2254,Sections!$A$5:$I$45,3,FALSE)</x:f>
        <x:v>2024-2</x:v>
      </x:c>
    </x:row>
    <x:row r="2255" ht="21" customHeight="1">
      <x:c r="A2255" s="3" t="str">
        <x:v>2201019</x:v>
      </x:c>
      <x:c r="B2255" s="3" t="str">
        <x:v>SEC022</x:v>
      </x:c>
      <x:c r="C2255" s="3" t="n">
        <x:v>1</x:v>
      </x:c>
      <x:c r="D2255" s="3" t="str">
        <x:v>present</x:v>
      </x:c>
      <x:c r="E2255" s="5" t="str">
        <x:f>VLOOKUP(B2255,Sections!$A$5:$I$45,3,FALSE)</x:f>
        <x:v>2024-2</x:v>
      </x:c>
    </x:row>
    <x:row r="2256" ht="21" customHeight="1">
      <x:c r="A2256" s="3" t="str">
        <x:v>2201019</x:v>
      </x:c>
      <x:c r="B2256" s="3" t="str">
        <x:v>SEC022</x:v>
      </x:c>
      <x:c r="C2256" s="3" t="n">
        <x:v>2</x:v>
      </x:c>
      <x:c r="D2256" s="3" t="str">
        <x:v>present</x:v>
      </x:c>
      <x:c r="E2256" s="5" t="str">
        <x:f>VLOOKUP(B2256,Sections!$A$5:$I$45,3,FALSE)</x:f>
        <x:v>2024-2</x:v>
      </x:c>
    </x:row>
    <x:row r="2257" ht="21" customHeight="1">
      <x:c r="A2257" s="3" t="str">
        <x:v>2201019</x:v>
      </x:c>
      <x:c r="B2257" s="3" t="str">
        <x:v>SEC022</x:v>
      </x:c>
      <x:c r="C2257" s="3" t="n">
        <x:v>3</x:v>
      </x:c>
      <x:c r="D2257" s="3" t="str">
        <x:v>present</x:v>
      </x:c>
      <x:c r="E2257" s="5" t="str">
        <x:f>VLOOKUP(B2257,Sections!$A$5:$I$45,3,FALSE)</x:f>
        <x:v>2024-2</x:v>
      </x:c>
    </x:row>
    <x:row r="2258" ht="21" customHeight="1">
      <x:c r="A2258" s="3" t="str">
        <x:v>2201019</x:v>
      </x:c>
      <x:c r="B2258" s="3" t="str">
        <x:v>SEC022</x:v>
      </x:c>
      <x:c r="C2258" s="3" t="n">
        <x:v>4</x:v>
      </x:c>
      <x:c r="D2258" s="3" t="str">
        <x:v>excused</x:v>
      </x:c>
      <x:c r="E2258" s="5" t="str">
        <x:f>VLOOKUP(B2258,Sections!$A$5:$I$45,3,FALSE)</x:f>
        <x:v>2024-2</x:v>
      </x:c>
    </x:row>
    <x:row r="2259" ht="21" customHeight="1">
      <x:c r="A2259" s="3" t="str">
        <x:v>2201019</x:v>
      </x:c>
      <x:c r="B2259" s="3" t="str">
        <x:v>SEC022</x:v>
      </x:c>
      <x:c r="C2259" s="3" t="n">
        <x:v>5</x:v>
      </x:c>
      <x:c r="D2259" s="3" t="str">
        <x:v>present</x:v>
      </x:c>
      <x:c r="E2259" s="5" t="str">
        <x:f>VLOOKUP(B2259,Sections!$A$5:$I$45,3,FALSE)</x:f>
        <x:v>2024-2</x:v>
      </x:c>
    </x:row>
    <x:row r="2260" ht="21" customHeight="1">
      <x:c r="A2260" s="3" t="str">
        <x:v>2201019</x:v>
      </x:c>
      <x:c r="B2260" s="3" t="str">
        <x:v>SEC022</x:v>
      </x:c>
      <x:c r="C2260" s="3" t="n">
        <x:v>6</x:v>
      </x:c>
      <x:c r="D2260" s="3" t="str">
        <x:v>present</x:v>
      </x:c>
      <x:c r="E2260" s="5" t="str">
        <x:f>VLOOKUP(B2260,Sections!$A$5:$I$45,3,FALSE)</x:f>
        <x:v>2024-2</x:v>
      </x:c>
    </x:row>
    <x:row r="2261" ht="21" customHeight="1">
      <x:c r="A2261" s="3" t="str">
        <x:v>2201019</x:v>
      </x:c>
      <x:c r="B2261" s="3" t="str">
        <x:v>SEC022</x:v>
      </x:c>
      <x:c r="C2261" s="3" t="n">
        <x:v>7</x:v>
      </x:c>
      <x:c r="D2261" s="3" t="str">
        <x:v>present</x:v>
      </x:c>
      <x:c r="E2261" s="5" t="str">
        <x:f>VLOOKUP(B2261,Sections!$A$5:$I$45,3,FALSE)</x:f>
        <x:v>2024-2</x:v>
      </x:c>
    </x:row>
    <x:row r="2262" ht="21" customHeight="1">
      <x:c r="A2262" s="3" t="str">
        <x:v>2201019</x:v>
      </x:c>
      <x:c r="B2262" s="3" t="str">
        <x:v>SEC022</x:v>
      </x:c>
      <x:c r="C2262" s="3" t="n">
        <x:v>8</x:v>
      </x:c>
      <x:c r="D2262" s="3" t="str">
        <x:v>present</x:v>
      </x:c>
      <x:c r="E2262" s="5" t="str">
        <x:f>VLOOKUP(B2262,Sections!$A$5:$I$45,3,FALSE)</x:f>
        <x:v>2024-2</x:v>
      </x:c>
    </x:row>
    <x:row r="2263" ht="21" customHeight="1">
      <x:c r="A2263" s="3" t="str">
        <x:v>2201019</x:v>
      </x:c>
      <x:c r="B2263" s="3" t="str">
        <x:v>SEC022</x:v>
      </x:c>
      <x:c r="C2263" s="3" t="n">
        <x:v>9</x:v>
      </x:c>
      <x:c r="D2263" s="3" t="str">
        <x:v>present</x:v>
      </x:c>
      <x:c r="E2263" s="5" t="str">
        <x:f>VLOOKUP(B2263,Sections!$A$5:$I$45,3,FALSE)</x:f>
        <x:v>2024-2</x:v>
      </x:c>
    </x:row>
    <x:row r="2264" ht="21" customHeight="1">
      <x:c r="A2264" s="3" t="str">
        <x:v>2201019</x:v>
      </x:c>
      <x:c r="B2264" s="3" t="str">
        <x:v>SEC022</x:v>
      </x:c>
      <x:c r="C2264" s="3" t="n">
        <x:v>10</x:v>
      </x:c>
      <x:c r="D2264" s="3" t="str">
        <x:v>present</x:v>
      </x:c>
      <x:c r="E2264" s="5" t="str">
        <x:f>VLOOKUP(B2264,Sections!$A$5:$I$45,3,FALSE)</x:f>
        <x:v>2024-2</x:v>
      </x:c>
    </x:row>
    <x:row r="2265" ht="21" customHeight="1">
      <x:c r="A2265" s="3" t="str">
        <x:v>2201019</x:v>
      </x:c>
      <x:c r="B2265" s="3" t="str">
        <x:v>SEC022</x:v>
      </x:c>
      <x:c r="C2265" s="3" t="n">
        <x:v>11</x:v>
      </x:c>
      <x:c r="D2265" s="3" t="str">
        <x:v>present</x:v>
      </x:c>
      <x:c r="E2265" s="5" t="str">
        <x:f>VLOOKUP(B2265,Sections!$A$5:$I$45,3,FALSE)</x:f>
        <x:v>2024-2</x:v>
      </x:c>
    </x:row>
    <x:row r="2266" ht="21" customHeight="1">
      <x:c r="A2266" s="3" t="str">
        <x:v>2201019</x:v>
      </x:c>
      <x:c r="B2266" s="3" t="str">
        <x:v>SEC022</x:v>
      </x:c>
      <x:c r="C2266" s="3" t="n">
        <x:v>12</x:v>
      </x:c>
      <x:c r="D2266" s="3" t="str">
        <x:v>present</x:v>
      </x:c>
      <x:c r="E2266" s="5" t="str">
        <x:f>VLOOKUP(B2266,Sections!$A$5:$I$45,3,FALSE)</x:f>
        <x:v>2024-2</x:v>
      </x:c>
    </x:row>
    <x:row r="2267" ht="21" customHeight="1">
      <x:c r="A2267" s="3" t="str">
        <x:v>2201019</x:v>
      </x:c>
      <x:c r="B2267" s="3" t="str">
        <x:v>SEC022</x:v>
      </x:c>
      <x:c r="C2267" s="3" t="n">
        <x:v>13</x:v>
      </x:c>
      <x:c r="D2267" s="3" t="str">
        <x:v>present</x:v>
      </x:c>
      <x:c r="E2267" s="5" t="str">
        <x:f>VLOOKUP(B2267,Sections!$A$5:$I$45,3,FALSE)</x:f>
        <x:v>2024-2</x:v>
      </x:c>
    </x:row>
    <x:row r="2268" ht="21" customHeight="1">
      <x:c r="A2268" s="3" t="str">
        <x:v>2201019</x:v>
      </x:c>
      <x:c r="B2268" s="3" t="str">
        <x:v>SEC022</x:v>
      </x:c>
      <x:c r="C2268" s="3" t="n">
        <x:v>14</x:v>
      </x:c>
      <x:c r="D2268" s="3" t="str">
        <x:v>present</x:v>
      </x:c>
      <x:c r="E2268" s="5" t="str">
        <x:f>VLOOKUP(B2268,Sections!$A$5:$I$45,3,FALSE)</x:f>
        <x:v>2024-2</x:v>
      </x:c>
    </x:row>
    <x:row r="2269" ht="21" customHeight="1">
      <x:c r="A2269" s="3" t="str">
        <x:v>2201019</x:v>
      </x:c>
      <x:c r="B2269" s="3" t="str">
        <x:v>SEC022</x:v>
      </x:c>
      <x:c r="C2269" s="3" t="n">
        <x:v>15</x:v>
      </x:c>
      <x:c r="D2269" s="3" t="str">
        <x:v>late</x:v>
      </x:c>
      <x:c r="E2269" s="5" t="str">
        <x:f>VLOOKUP(B2269,Sections!$A$5:$I$45,3,FALSE)</x:f>
        <x:v>2024-2</x:v>
      </x:c>
    </x:row>
    <x:row r="2270" ht="21" customHeight="1">
      <x:c r="A2270" s="3" t="str">
        <x:v>2201020</x:v>
      </x:c>
      <x:c r="B2270" s="3" t="str">
        <x:v>SEC022</x:v>
      </x:c>
      <x:c r="C2270" s="3" t="n">
        <x:v>1</x:v>
      </x:c>
      <x:c r="D2270" s="3" t="str">
        <x:v>present</x:v>
      </x:c>
      <x:c r="E2270" s="5" t="str">
        <x:f>VLOOKUP(B2270,Sections!$A$5:$I$45,3,FALSE)</x:f>
        <x:v>2024-2</x:v>
      </x:c>
    </x:row>
    <x:row r="2271" ht="21" customHeight="1">
      <x:c r="A2271" s="3" t="str">
        <x:v>2201020</x:v>
      </x:c>
      <x:c r="B2271" s="3" t="str">
        <x:v>SEC022</x:v>
      </x:c>
      <x:c r="C2271" s="3" t="n">
        <x:v>2</x:v>
      </x:c>
      <x:c r="D2271" s="3" t="str">
        <x:v>present</x:v>
      </x:c>
      <x:c r="E2271" s="5" t="str">
        <x:f>VLOOKUP(B2271,Sections!$A$5:$I$45,3,FALSE)</x:f>
        <x:v>2024-2</x:v>
      </x:c>
    </x:row>
    <x:row r="2272" ht="21" customHeight="1">
      <x:c r="A2272" s="3" t="str">
        <x:v>2201020</x:v>
      </x:c>
      <x:c r="B2272" s="3" t="str">
        <x:v>SEC022</x:v>
      </x:c>
      <x:c r="C2272" s="3" t="n">
        <x:v>3</x:v>
      </x:c>
      <x:c r="D2272" s="3" t="str">
        <x:v>present</x:v>
      </x:c>
      <x:c r="E2272" s="5" t="str">
        <x:f>VLOOKUP(B2272,Sections!$A$5:$I$45,3,FALSE)</x:f>
        <x:v>2024-2</x:v>
      </x:c>
    </x:row>
    <x:row r="2273" ht="21" customHeight="1">
      <x:c r="A2273" s="3" t="str">
        <x:v>2201020</x:v>
      </x:c>
      <x:c r="B2273" s="3" t="str">
        <x:v>SEC022</x:v>
      </x:c>
      <x:c r="C2273" s="3" t="n">
        <x:v>4</x:v>
      </x:c>
      <x:c r="D2273" s="3" t="str">
        <x:v>present</x:v>
      </x:c>
      <x:c r="E2273" s="5" t="str">
        <x:f>VLOOKUP(B2273,Sections!$A$5:$I$45,3,FALSE)</x:f>
        <x:v>2024-2</x:v>
      </x:c>
    </x:row>
    <x:row r="2274" ht="21" customHeight="1">
      <x:c r="A2274" s="3" t="str">
        <x:v>2201020</x:v>
      </x:c>
      <x:c r="B2274" s="3" t="str">
        <x:v>SEC022</x:v>
      </x:c>
      <x:c r="C2274" s="3" t="n">
        <x:v>5</x:v>
      </x:c>
      <x:c r="D2274" s="3" t="str">
        <x:v>present</x:v>
      </x:c>
      <x:c r="E2274" s="5" t="str">
        <x:f>VLOOKUP(B2274,Sections!$A$5:$I$45,3,FALSE)</x:f>
        <x:v>2024-2</x:v>
      </x:c>
    </x:row>
    <x:row r="2275" ht="21" customHeight="1">
      <x:c r="A2275" s="3" t="str">
        <x:v>2201020</x:v>
      </x:c>
      <x:c r="B2275" s="3" t="str">
        <x:v>SEC022</x:v>
      </x:c>
      <x:c r="C2275" s="3" t="n">
        <x:v>6</x:v>
      </x:c>
      <x:c r="D2275" s="3" t="str">
        <x:v>present</x:v>
      </x:c>
      <x:c r="E2275" s="5" t="str">
        <x:f>VLOOKUP(B2275,Sections!$A$5:$I$45,3,FALSE)</x:f>
        <x:v>2024-2</x:v>
      </x:c>
    </x:row>
    <x:row r="2276" ht="21" customHeight="1">
      <x:c r="A2276" s="3" t="str">
        <x:v>2201020</x:v>
      </x:c>
      <x:c r="B2276" s="3" t="str">
        <x:v>SEC022</x:v>
      </x:c>
      <x:c r="C2276" s="3" t="n">
        <x:v>7</x:v>
      </x:c>
      <x:c r="D2276" s="3" t="str">
        <x:v>present</x:v>
      </x:c>
      <x:c r="E2276" s="5" t="str">
        <x:f>VLOOKUP(B2276,Sections!$A$5:$I$45,3,FALSE)</x:f>
        <x:v>2024-2</x:v>
      </x:c>
    </x:row>
    <x:row r="2277" ht="21" customHeight="1">
      <x:c r="A2277" s="3" t="str">
        <x:v>2201020</x:v>
      </x:c>
      <x:c r="B2277" s="3" t="str">
        <x:v>SEC022</x:v>
      </x:c>
      <x:c r="C2277" s="3" t="n">
        <x:v>8</x:v>
      </x:c>
      <x:c r="D2277" s="3" t="str">
        <x:v>absent</x:v>
      </x:c>
      <x:c r="E2277" s="5" t="str">
        <x:f>VLOOKUP(B2277,Sections!$A$5:$I$45,3,FALSE)</x:f>
        <x:v>2024-2</x:v>
      </x:c>
    </x:row>
    <x:row r="2278" ht="21" customHeight="1">
      <x:c r="A2278" s="3" t="str">
        <x:v>2201020</x:v>
      </x:c>
      <x:c r="B2278" s="3" t="str">
        <x:v>SEC022</x:v>
      </x:c>
      <x:c r="C2278" s="3" t="n">
        <x:v>9</x:v>
      </x:c>
      <x:c r="D2278" s="3" t="str">
        <x:v>absent</x:v>
      </x:c>
      <x:c r="E2278" s="5" t="str">
        <x:f>VLOOKUP(B2278,Sections!$A$5:$I$45,3,FALSE)</x:f>
        <x:v>2024-2</x:v>
      </x:c>
    </x:row>
    <x:row r="2279" ht="21" customHeight="1">
      <x:c r="A2279" s="3" t="str">
        <x:v>2201020</x:v>
      </x:c>
      <x:c r="B2279" s="3" t="str">
        <x:v>SEC022</x:v>
      </x:c>
      <x:c r="C2279" s="3" t="n">
        <x:v>10</x:v>
      </x:c>
      <x:c r="D2279" s="3" t="str">
        <x:v>present</x:v>
      </x:c>
      <x:c r="E2279" s="5" t="str">
        <x:f>VLOOKUP(B2279,Sections!$A$5:$I$45,3,FALSE)</x:f>
        <x:v>2024-2</x:v>
      </x:c>
    </x:row>
    <x:row r="2280" ht="21" customHeight="1">
      <x:c r="A2280" s="3" t="str">
        <x:v>2201020</x:v>
      </x:c>
      <x:c r="B2280" s="3" t="str">
        <x:v>SEC022</x:v>
      </x:c>
      <x:c r="C2280" s="3" t="n">
        <x:v>11</x:v>
      </x:c>
      <x:c r="D2280" s="3" t="str">
        <x:v>present</x:v>
      </x:c>
      <x:c r="E2280" s="5" t="str">
        <x:f>VLOOKUP(B2280,Sections!$A$5:$I$45,3,FALSE)</x:f>
        <x:v>2024-2</x:v>
      </x:c>
    </x:row>
    <x:row r="2281" ht="21" customHeight="1">
      <x:c r="A2281" s="3" t="str">
        <x:v>2201020</x:v>
      </x:c>
      <x:c r="B2281" s="3" t="str">
        <x:v>SEC022</x:v>
      </x:c>
      <x:c r="C2281" s="3" t="n">
        <x:v>12</x:v>
      </x:c>
      <x:c r="D2281" s="3" t="str">
        <x:v>late</x:v>
      </x:c>
      <x:c r="E2281" s="5" t="str">
        <x:f>VLOOKUP(B2281,Sections!$A$5:$I$45,3,FALSE)</x:f>
        <x:v>2024-2</x:v>
      </x:c>
    </x:row>
    <x:row r="2282" ht="21" customHeight="1">
      <x:c r="A2282" s="3" t="str">
        <x:v>2201020</x:v>
      </x:c>
      <x:c r="B2282" s="3" t="str">
        <x:v>SEC022</x:v>
      </x:c>
      <x:c r="C2282" s="3" t="n">
        <x:v>13</x:v>
      </x:c>
      <x:c r="D2282" s="3" t="str">
        <x:v>present</x:v>
      </x:c>
      <x:c r="E2282" s="5" t="str">
        <x:f>VLOOKUP(B2282,Sections!$A$5:$I$45,3,FALSE)</x:f>
        <x:v>2024-2</x:v>
      </x:c>
    </x:row>
    <x:row r="2283" ht="21" customHeight="1">
      <x:c r="A2283" s="3" t="str">
        <x:v>2201020</x:v>
      </x:c>
      <x:c r="B2283" s="3" t="str">
        <x:v>SEC022</x:v>
      </x:c>
      <x:c r="C2283" s="3" t="n">
        <x:v>14</x:v>
      </x:c>
      <x:c r="D2283" s="3" t="str">
        <x:v>present</x:v>
      </x:c>
      <x:c r="E2283" s="5" t="str">
        <x:f>VLOOKUP(B2283,Sections!$A$5:$I$45,3,FALSE)</x:f>
        <x:v>2024-2</x:v>
      </x:c>
    </x:row>
    <x:row r="2284" ht="21" customHeight="1">
      <x:c r="A2284" s="3" t="str">
        <x:v>2201020</x:v>
      </x:c>
      <x:c r="B2284" s="3" t="str">
        <x:v>SEC022</x:v>
      </x:c>
      <x:c r="C2284" s="3" t="n">
        <x:v>15</x:v>
      </x:c>
      <x:c r="D2284" s="3" t="str">
        <x:v>late</x:v>
      </x:c>
      <x:c r="E2284" s="5" t="str">
        <x:f>VLOOKUP(B2284,Sections!$A$5:$I$45,3,FALSE)</x:f>
        <x:v>2024-2</x:v>
      </x:c>
    </x:row>
    <x:row r="2285" ht="21" customHeight="1">
      <x:c r="A2285" s="3" t="str">
        <x:v>2201010</x:v>
      </x:c>
      <x:c r="B2285" s="3" t="str">
        <x:v>SEC023</x:v>
      </x:c>
      <x:c r="C2285" s="3" t="n">
        <x:v>1</x:v>
      </x:c>
      <x:c r="D2285" s="3" t="str">
        <x:v>present</x:v>
      </x:c>
      <x:c r="E2285" s="5" t="str">
        <x:f>VLOOKUP(B2285,Sections!$A$5:$I$45,3,FALSE)</x:f>
        <x:v>2025-1</x:v>
      </x:c>
    </x:row>
    <x:row r="2286" ht="21" customHeight="1">
      <x:c r="A2286" s="3" t="str">
        <x:v>2201010</x:v>
      </x:c>
      <x:c r="B2286" s="3" t="str">
        <x:v>SEC023</x:v>
      </x:c>
      <x:c r="C2286" s="3" t="n">
        <x:v>2</x:v>
      </x:c>
      <x:c r="D2286" s="3" t="str">
        <x:v>present</x:v>
      </x:c>
      <x:c r="E2286" s="5" t="str">
        <x:f>VLOOKUP(B2286,Sections!$A$5:$I$45,3,FALSE)</x:f>
        <x:v>2025-1</x:v>
      </x:c>
    </x:row>
    <x:row r="2287" ht="21" customHeight="1">
      <x:c r="A2287" s="3" t="str">
        <x:v>2201010</x:v>
      </x:c>
      <x:c r="B2287" s="3" t="str">
        <x:v>SEC023</x:v>
      </x:c>
      <x:c r="C2287" s="3" t="n">
        <x:v>3</x:v>
      </x:c>
      <x:c r="D2287" s="3" t="str">
        <x:v>absent</x:v>
      </x:c>
      <x:c r="E2287" s="5" t="str">
        <x:f>VLOOKUP(B2287,Sections!$A$5:$I$45,3,FALSE)</x:f>
        <x:v>2025-1</x:v>
      </x:c>
    </x:row>
    <x:row r="2288" ht="21" customHeight="1">
      <x:c r="A2288" s="3" t="str">
        <x:v>2201010</x:v>
      </x:c>
      <x:c r="B2288" s="3" t="str">
        <x:v>SEC023</x:v>
      </x:c>
      <x:c r="C2288" s="3" t="n">
        <x:v>4</x:v>
      </x:c>
      <x:c r="D2288" s="3" t="str">
        <x:v>present</x:v>
      </x:c>
      <x:c r="E2288" s="5" t="str">
        <x:f>VLOOKUP(B2288,Sections!$A$5:$I$45,3,FALSE)</x:f>
        <x:v>2025-1</x:v>
      </x:c>
    </x:row>
    <x:row r="2289" ht="21" customHeight="1">
      <x:c r="A2289" s="3" t="str">
        <x:v>2201010</x:v>
      </x:c>
      <x:c r="B2289" s="3" t="str">
        <x:v>SEC023</x:v>
      </x:c>
      <x:c r="C2289" s="3" t="n">
        <x:v>5</x:v>
      </x:c>
      <x:c r="D2289" s="3" t="str">
        <x:v>present</x:v>
      </x:c>
      <x:c r="E2289" s="5" t="str">
        <x:f>VLOOKUP(B2289,Sections!$A$5:$I$45,3,FALSE)</x:f>
        <x:v>2025-1</x:v>
      </x:c>
    </x:row>
    <x:row r="2290" ht="21" customHeight="1">
      <x:c r="A2290" s="3" t="str">
        <x:v>2201010</x:v>
      </x:c>
      <x:c r="B2290" s="3" t="str">
        <x:v>SEC023</x:v>
      </x:c>
      <x:c r="C2290" s="3" t="n">
        <x:v>6</x:v>
      </x:c>
      <x:c r="D2290" s="3" t="str">
        <x:v>present</x:v>
      </x:c>
      <x:c r="E2290" s="5" t="str">
        <x:f>VLOOKUP(B2290,Sections!$A$5:$I$45,3,FALSE)</x:f>
        <x:v>2025-1</x:v>
      </x:c>
    </x:row>
    <x:row r="2291" ht="21" customHeight="1">
      <x:c r="A2291" s="3" t="str">
        <x:v>2201010</x:v>
      </x:c>
      <x:c r="B2291" s="3" t="str">
        <x:v>SEC023</x:v>
      </x:c>
      <x:c r="C2291" s="3" t="n">
        <x:v>7</x:v>
      </x:c>
      <x:c r="D2291" s="3" t="str">
        <x:v>absent</x:v>
      </x:c>
      <x:c r="E2291" s="5" t="str">
        <x:f>VLOOKUP(B2291,Sections!$A$5:$I$45,3,FALSE)</x:f>
        <x:v>2025-1</x:v>
      </x:c>
    </x:row>
    <x:row r="2292" ht="21" customHeight="1">
      <x:c r="A2292" s="3" t="str">
        <x:v>2201010</x:v>
      </x:c>
      <x:c r="B2292" s="3" t="str">
        <x:v>SEC023</x:v>
      </x:c>
      <x:c r="C2292" s="3" t="n">
        <x:v>8</x:v>
      </x:c>
      <x:c r="D2292" s="3" t="str">
        <x:v>present</x:v>
      </x:c>
      <x:c r="E2292" s="5" t="str">
        <x:f>VLOOKUP(B2292,Sections!$A$5:$I$45,3,FALSE)</x:f>
        <x:v>2025-1</x:v>
      </x:c>
    </x:row>
    <x:row r="2293" ht="21" customHeight="1">
      <x:c r="A2293" s="3" t="str">
        <x:v>2201010</x:v>
      </x:c>
      <x:c r="B2293" s="3" t="str">
        <x:v>SEC023</x:v>
      </x:c>
      <x:c r="C2293" s="3" t="n">
        <x:v>9</x:v>
      </x:c>
      <x:c r="D2293" s="3" t="str">
        <x:v>present</x:v>
      </x:c>
      <x:c r="E2293" s="5" t="str">
        <x:f>VLOOKUP(B2293,Sections!$A$5:$I$45,3,FALSE)</x:f>
        <x:v>2025-1</x:v>
      </x:c>
    </x:row>
    <x:row r="2294" ht="21" customHeight="1">
      <x:c r="A2294" s="3" t="str">
        <x:v>2201010</x:v>
      </x:c>
      <x:c r="B2294" s="3" t="str">
        <x:v>SEC023</x:v>
      </x:c>
      <x:c r="C2294" s="3" t="n">
        <x:v>10</x:v>
      </x:c>
      <x:c r="D2294" s="3" t="str">
        <x:v>present</x:v>
      </x:c>
      <x:c r="E2294" s="5" t="str">
        <x:f>VLOOKUP(B2294,Sections!$A$5:$I$45,3,FALSE)</x:f>
        <x:v>2025-1</x:v>
      </x:c>
    </x:row>
    <x:row r="2295" ht="21" customHeight="1">
      <x:c r="A2295" s="3" t="str">
        <x:v>2201010</x:v>
      </x:c>
      <x:c r="B2295" s="3" t="str">
        <x:v>SEC023</x:v>
      </x:c>
      <x:c r="C2295" s="3" t="n">
        <x:v>11</x:v>
      </x:c>
      <x:c r="D2295" s="3" t="str">
        <x:v>present</x:v>
      </x:c>
      <x:c r="E2295" s="5" t="str">
        <x:f>VLOOKUP(B2295,Sections!$A$5:$I$45,3,FALSE)</x:f>
        <x:v>2025-1</x:v>
      </x:c>
    </x:row>
    <x:row r="2296" ht="21" customHeight="1">
      <x:c r="A2296" s="3" t="str">
        <x:v>2201010</x:v>
      </x:c>
      <x:c r="B2296" s="3" t="str">
        <x:v>SEC023</x:v>
      </x:c>
      <x:c r="C2296" s="3" t="n">
        <x:v>12</x:v>
      </x:c>
      <x:c r="D2296" s="3" t="str">
        <x:v>present</x:v>
      </x:c>
      <x:c r="E2296" s="5" t="str">
        <x:f>VLOOKUP(B2296,Sections!$A$5:$I$45,3,FALSE)</x:f>
        <x:v>2025-1</x:v>
      </x:c>
    </x:row>
    <x:row r="2297" ht="21" customHeight="1">
      <x:c r="A2297" s="3" t="str">
        <x:v>2201010</x:v>
      </x:c>
      <x:c r="B2297" s="3" t="str">
        <x:v>SEC023</x:v>
      </x:c>
      <x:c r="C2297" s="3" t="n">
        <x:v>13</x:v>
      </x:c>
      <x:c r="D2297" s="3" t="str">
        <x:v>late</x:v>
      </x:c>
      <x:c r="E2297" s="5" t="str">
        <x:f>VLOOKUP(B2297,Sections!$A$5:$I$45,3,FALSE)</x:f>
        <x:v>2025-1</x:v>
      </x:c>
    </x:row>
    <x:row r="2298" ht="21" customHeight="1">
      <x:c r="A2298" s="3" t="str">
        <x:v>2201010</x:v>
      </x:c>
      <x:c r="B2298" s="3" t="str">
        <x:v>SEC023</x:v>
      </x:c>
      <x:c r="C2298" s="3" t="n">
        <x:v>14</x:v>
      </x:c>
      <x:c r="D2298" s="3" t="str">
        <x:v>present</x:v>
      </x:c>
      <x:c r="E2298" s="5" t="str">
        <x:f>VLOOKUP(B2298,Sections!$A$5:$I$45,3,FALSE)</x:f>
        <x:v>2025-1</x:v>
      </x:c>
    </x:row>
    <x:row r="2299" ht="21" customHeight="1">
      <x:c r="A2299" s="3" t="str">
        <x:v>2201010</x:v>
      </x:c>
      <x:c r="B2299" s="3" t="str">
        <x:v>SEC023</x:v>
      </x:c>
      <x:c r="C2299" s="3" t="n">
        <x:v>15</x:v>
      </x:c>
      <x:c r="D2299" s="3" t="str">
        <x:v>present</x:v>
      </x:c>
      <x:c r="E2299" s="5" t="str">
        <x:f>VLOOKUP(B2299,Sections!$A$5:$I$45,3,FALSE)</x:f>
        <x:v>2025-1</x:v>
      </x:c>
    </x:row>
    <x:row r="2300" ht="21" customHeight="1">
      <x:c r="A2300" s="3" t="str">
        <x:v>2201020</x:v>
      </x:c>
      <x:c r="B2300" s="3" t="str">
        <x:v>SEC024</x:v>
      </x:c>
      <x:c r="C2300" s="3" t="n">
        <x:v>1</x:v>
      </x:c>
      <x:c r="D2300" s="3" t="str">
        <x:v>late</x:v>
      </x:c>
      <x:c r="E2300" s="5" t="str">
        <x:f>VLOOKUP(B2300,Sections!$A$5:$I$45,3,FALSE)</x:f>
        <x:v>2025-1</x:v>
      </x:c>
    </x:row>
    <x:row r="2301" ht="21" customHeight="1">
      <x:c r="A2301" s="3" t="str">
        <x:v>2201020</x:v>
      </x:c>
      <x:c r="B2301" s="3" t="str">
        <x:v>SEC024</x:v>
      </x:c>
      <x:c r="C2301" s="3" t="n">
        <x:v>2</x:v>
      </x:c>
      <x:c r="D2301" s="3" t="str">
        <x:v>absent</x:v>
      </x:c>
      <x:c r="E2301" s="5" t="str">
        <x:f>VLOOKUP(B2301,Sections!$A$5:$I$45,3,FALSE)</x:f>
        <x:v>2025-1</x:v>
      </x:c>
    </x:row>
    <x:row r="2302" ht="21" customHeight="1">
      <x:c r="A2302" s="3" t="str">
        <x:v>2201020</x:v>
      </x:c>
      <x:c r="B2302" s="3" t="str">
        <x:v>SEC024</x:v>
      </x:c>
      <x:c r="C2302" s="3" t="n">
        <x:v>3</x:v>
      </x:c>
      <x:c r="D2302" s="3" t="str">
        <x:v>absent</x:v>
      </x:c>
      <x:c r="E2302" s="5" t="str">
        <x:f>VLOOKUP(B2302,Sections!$A$5:$I$45,3,FALSE)</x:f>
        <x:v>2025-1</x:v>
      </x:c>
    </x:row>
    <x:row r="2303" ht="21" customHeight="1">
      <x:c r="A2303" s="3" t="str">
        <x:v>2201020</x:v>
      </x:c>
      <x:c r="B2303" s="3" t="str">
        <x:v>SEC024</x:v>
      </x:c>
      <x:c r="C2303" s="3" t="n">
        <x:v>4</x:v>
      </x:c>
      <x:c r="D2303" s="3" t="str">
        <x:v>present</x:v>
      </x:c>
      <x:c r="E2303" s="5" t="str">
        <x:f>VLOOKUP(B2303,Sections!$A$5:$I$45,3,FALSE)</x:f>
        <x:v>2025-1</x:v>
      </x:c>
    </x:row>
    <x:row r="2304" ht="21" customHeight="1">
      <x:c r="A2304" s="3" t="str">
        <x:v>2201020</x:v>
      </x:c>
      <x:c r="B2304" s="3" t="str">
        <x:v>SEC024</x:v>
      </x:c>
      <x:c r="C2304" s="3" t="n">
        <x:v>5</x:v>
      </x:c>
      <x:c r="D2304" s="3" t="str">
        <x:v>excused</x:v>
      </x:c>
      <x:c r="E2304" s="5" t="str">
        <x:f>VLOOKUP(B2304,Sections!$A$5:$I$45,3,FALSE)</x:f>
        <x:v>2025-1</x:v>
      </x:c>
    </x:row>
    <x:row r="2305" ht="21" customHeight="1">
      <x:c r="A2305" s="3" t="str">
        <x:v>2201020</x:v>
      </x:c>
      <x:c r="B2305" s="3" t="str">
        <x:v>SEC024</x:v>
      </x:c>
      <x:c r="C2305" s="3" t="n">
        <x:v>6</x:v>
      </x:c>
      <x:c r="D2305" s="3" t="str">
        <x:v>present</x:v>
      </x:c>
      <x:c r="E2305" s="5" t="str">
        <x:f>VLOOKUP(B2305,Sections!$A$5:$I$45,3,FALSE)</x:f>
        <x:v>2025-1</x:v>
      </x:c>
    </x:row>
    <x:row r="2306" ht="21" customHeight="1">
      <x:c r="A2306" s="3" t="str">
        <x:v>2201020</x:v>
      </x:c>
      <x:c r="B2306" s="3" t="str">
        <x:v>SEC024</x:v>
      </x:c>
      <x:c r="C2306" s="3" t="n">
        <x:v>7</x:v>
      </x:c>
      <x:c r="D2306" s="3" t="str">
        <x:v>absent</x:v>
      </x:c>
      <x:c r="E2306" s="5" t="str">
        <x:f>VLOOKUP(B2306,Sections!$A$5:$I$45,3,FALSE)</x:f>
        <x:v>2025-1</x:v>
      </x:c>
    </x:row>
    <x:row r="2307" ht="21" customHeight="1">
      <x:c r="A2307" s="3" t="str">
        <x:v>2201020</x:v>
      </x:c>
      <x:c r="B2307" s="3" t="str">
        <x:v>SEC024</x:v>
      </x:c>
      <x:c r="C2307" s="3" t="n">
        <x:v>8</x:v>
      </x:c>
      <x:c r="D2307" s="3" t="str">
        <x:v>present</x:v>
      </x:c>
      <x:c r="E2307" s="5" t="str">
        <x:f>VLOOKUP(B2307,Sections!$A$5:$I$45,3,FALSE)</x:f>
        <x:v>2025-1</x:v>
      </x:c>
    </x:row>
    <x:row r="2308" ht="21" customHeight="1">
      <x:c r="A2308" s="3" t="str">
        <x:v>2201020</x:v>
      </x:c>
      <x:c r="B2308" s="3" t="str">
        <x:v>SEC024</x:v>
      </x:c>
      <x:c r="C2308" s="3" t="n">
        <x:v>9</x:v>
      </x:c>
      <x:c r="D2308" s="3" t="str">
        <x:v>absent</x:v>
      </x:c>
      <x:c r="E2308" s="5" t="str">
        <x:f>VLOOKUP(B2308,Sections!$A$5:$I$45,3,FALSE)</x:f>
        <x:v>2025-1</x:v>
      </x:c>
    </x:row>
    <x:row r="2309" ht="21" customHeight="1">
      <x:c r="A2309" s="3" t="str">
        <x:v>2201020</x:v>
      </x:c>
      <x:c r="B2309" s="3" t="str">
        <x:v>SEC024</x:v>
      </x:c>
      <x:c r="C2309" s="3" t="n">
        <x:v>10</x:v>
      </x:c>
      <x:c r="D2309" s="3" t="str">
        <x:v>absent</x:v>
      </x:c>
      <x:c r="E2309" s="5" t="str">
        <x:f>VLOOKUP(B2309,Sections!$A$5:$I$45,3,FALSE)</x:f>
        <x:v>2025-1</x:v>
      </x:c>
    </x:row>
    <x:row r="2310" ht="21" customHeight="1">
      <x:c r="A2310" s="3" t="str">
        <x:v>2201020</x:v>
      </x:c>
      <x:c r="B2310" s="3" t="str">
        <x:v>SEC024</x:v>
      </x:c>
      <x:c r="C2310" s="3" t="n">
        <x:v>11</x:v>
      </x:c>
      <x:c r="D2310" s="3" t="str">
        <x:v>absent</x:v>
      </x:c>
      <x:c r="E2310" s="5" t="str">
        <x:f>VLOOKUP(B2310,Sections!$A$5:$I$45,3,FALSE)</x:f>
        <x:v>2025-1</x:v>
      </x:c>
    </x:row>
    <x:row r="2311" ht="21" customHeight="1">
      <x:c r="A2311" s="3" t="str">
        <x:v>2201020</x:v>
      </x:c>
      <x:c r="B2311" s="3" t="str">
        <x:v>SEC024</x:v>
      </x:c>
      <x:c r="C2311" s="3" t="n">
        <x:v>12</x:v>
      </x:c>
      <x:c r="D2311" s="3" t="str">
        <x:v>present</x:v>
      </x:c>
      <x:c r="E2311" s="5" t="str">
        <x:f>VLOOKUP(B2311,Sections!$A$5:$I$45,3,FALSE)</x:f>
        <x:v>2025-1</x:v>
      </x:c>
    </x:row>
    <x:row r="2312" ht="21" customHeight="1">
      <x:c r="A2312" s="3" t="str">
        <x:v>2201020</x:v>
      </x:c>
      <x:c r="B2312" s="3" t="str">
        <x:v>SEC024</x:v>
      </x:c>
      <x:c r="C2312" s="3" t="n">
        <x:v>13</x:v>
      </x:c>
      <x:c r="D2312" s="3" t="str">
        <x:v>absent</x:v>
      </x:c>
      <x:c r="E2312" s="5" t="str">
        <x:f>VLOOKUP(B2312,Sections!$A$5:$I$45,3,FALSE)</x:f>
        <x:v>2025-1</x:v>
      </x:c>
    </x:row>
    <x:row r="2313" ht="21" customHeight="1">
      <x:c r="A2313" s="3" t="str">
        <x:v>2201020</x:v>
      </x:c>
      <x:c r="B2313" s="3" t="str">
        <x:v>SEC024</x:v>
      </x:c>
      <x:c r="C2313" s="3" t="n">
        <x:v>14</x:v>
      </x:c>
      <x:c r="D2313" s="3" t="str">
        <x:v>absent</x:v>
      </x:c>
      <x:c r="E2313" s="5" t="str">
        <x:f>VLOOKUP(B2313,Sections!$A$5:$I$45,3,FALSE)</x:f>
        <x:v>2025-1</x:v>
      </x:c>
    </x:row>
    <x:row r="2314" ht="21" customHeight="1">
      <x:c r="A2314" s="3" t="str">
        <x:v>2201020</x:v>
      </x:c>
      <x:c r="B2314" s="3" t="str">
        <x:v>SEC024</x:v>
      </x:c>
      <x:c r="C2314" s="3" t="n">
        <x:v>15</x:v>
      </x:c>
      <x:c r="D2314" s="3" t="str">
        <x:v>present</x:v>
      </x:c>
      <x:c r="E2314" s="5" t="str">
        <x:f>VLOOKUP(B2314,Sections!$A$5:$I$45,3,FALSE)</x:f>
        <x:v>2025-1</x:v>
      </x:c>
    </x:row>
    <x:row r="2315" ht="21" customHeight="1">
      <x:c r="A2315" s="3" t="str">
        <x:v>2201001</x:v>
      </x:c>
      <x:c r="B2315" s="3" t="str">
        <x:v>SEC025</x:v>
      </x:c>
      <x:c r="C2315" s="3" t="n">
        <x:v>1</x:v>
      </x:c>
      <x:c r="D2315" s="3" t="str">
        <x:v>present</x:v>
      </x:c>
      <x:c r="E2315" s="5" t="str">
        <x:f>VLOOKUP(B2315,Sections!$A$5:$I$45,3,FALSE)</x:f>
        <x:v>2025-1</x:v>
      </x:c>
    </x:row>
    <x:row r="2316" ht="21" customHeight="1">
      <x:c r="A2316" s="3" t="str">
        <x:v>2201001</x:v>
      </x:c>
      <x:c r="B2316" s="3" t="str">
        <x:v>SEC025</x:v>
      </x:c>
      <x:c r="C2316" s="3" t="n">
        <x:v>2</x:v>
      </x:c>
      <x:c r="D2316" s="3" t="str">
        <x:v>absent</x:v>
      </x:c>
      <x:c r="E2316" s="5" t="str">
        <x:f>VLOOKUP(B2316,Sections!$A$5:$I$45,3,FALSE)</x:f>
        <x:v>2025-1</x:v>
      </x:c>
    </x:row>
    <x:row r="2317" ht="21" customHeight="1">
      <x:c r="A2317" s="3" t="str">
        <x:v>2201001</x:v>
      </x:c>
      <x:c r="B2317" s="3" t="str">
        <x:v>SEC025</x:v>
      </x:c>
      <x:c r="C2317" s="3" t="n">
        <x:v>3</x:v>
      </x:c>
      <x:c r="D2317" s="3" t="str">
        <x:v>present</x:v>
      </x:c>
      <x:c r="E2317" s="5" t="str">
        <x:f>VLOOKUP(B2317,Sections!$A$5:$I$45,3,FALSE)</x:f>
        <x:v>2025-1</x:v>
      </x:c>
    </x:row>
    <x:row r="2318" ht="21" customHeight="1">
      <x:c r="A2318" s="3" t="str">
        <x:v>2201001</x:v>
      </x:c>
      <x:c r="B2318" s="3" t="str">
        <x:v>SEC025</x:v>
      </x:c>
      <x:c r="C2318" s="3" t="n">
        <x:v>4</x:v>
      </x:c>
      <x:c r="D2318" s="3" t="str">
        <x:v>present</x:v>
      </x:c>
      <x:c r="E2318" s="5" t="str">
        <x:f>VLOOKUP(B2318,Sections!$A$5:$I$45,3,FALSE)</x:f>
        <x:v>2025-1</x:v>
      </x:c>
    </x:row>
    <x:row r="2319" ht="21" customHeight="1">
      <x:c r="A2319" s="3" t="str">
        <x:v>2201001</x:v>
      </x:c>
      <x:c r="B2319" s="3" t="str">
        <x:v>SEC025</x:v>
      </x:c>
      <x:c r="C2319" s="3" t="n">
        <x:v>5</x:v>
      </x:c>
      <x:c r="D2319" s="3" t="str">
        <x:v>absent</x:v>
      </x:c>
      <x:c r="E2319" s="5" t="str">
        <x:f>VLOOKUP(B2319,Sections!$A$5:$I$45,3,FALSE)</x:f>
        <x:v>2025-1</x:v>
      </x:c>
    </x:row>
    <x:row r="2320" ht="21" customHeight="1">
      <x:c r="A2320" s="3" t="str">
        <x:v>2201001</x:v>
      </x:c>
      <x:c r="B2320" s="3" t="str">
        <x:v>SEC025</x:v>
      </x:c>
      <x:c r="C2320" s="3" t="n">
        <x:v>6</x:v>
      </x:c>
      <x:c r="D2320" s="3" t="str">
        <x:v>present</x:v>
      </x:c>
      <x:c r="E2320" s="5" t="str">
        <x:f>VLOOKUP(B2320,Sections!$A$5:$I$45,3,FALSE)</x:f>
        <x:v>2025-1</x:v>
      </x:c>
    </x:row>
    <x:row r="2321" ht="21" customHeight="1">
      <x:c r="A2321" s="3" t="str">
        <x:v>2201001</x:v>
      </x:c>
      <x:c r="B2321" s="3" t="str">
        <x:v>SEC025</x:v>
      </x:c>
      <x:c r="C2321" s="3" t="n">
        <x:v>7</x:v>
      </x:c>
      <x:c r="D2321" s="3" t="str">
        <x:v>present</x:v>
      </x:c>
      <x:c r="E2321" s="5" t="str">
        <x:f>VLOOKUP(B2321,Sections!$A$5:$I$45,3,FALSE)</x:f>
        <x:v>2025-1</x:v>
      </x:c>
    </x:row>
    <x:row r="2322" ht="21" customHeight="1">
      <x:c r="A2322" s="3" t="str">
        <x:v>2201001</x:v>
      </x:c>
      <x:c r="B2322" s="3" t="str">
        <x:v>SEC025</x:v>
      </x:c>
      <x:c r="C2322" s="3" t="n">
        <x:v>8</x:v>
      </x:c>
      <x:c r="D2322" s="3" t="str">
        <x:v>present</x:v>
      </x:c>
      <x:c r="E2322" s="5" t="str">
        <x:f>VLOOKUP(B2322,Sections!$A$5:$I$45,3,FALSE)</x:f>
        <x:v>2025-1</x:v>
      </x:c>
    </x:row>
    <x:row r="2323" ht="21" customHeight="1">
      <x:c r="A2323" s="3" t="str">
        <x:v>2201001</x:v>
      </x:c>
      <x:c r="B2323" s="3" t="str">
        <x:v>SEC025</x:v>
      </x:c>
      <x:c r="C2323" s="3" t="n">
        <x:v>9</x:v>
      </x:c>
      <x:c r="D2323" s="3" t="str">
        <x:v>present</x:v>
      </x:c>
      <x:c r="E2323" s="5" t="str">
        <x:f>VLOOKUP(B2323,Sections!$A$5:$I$45,3,FALSE)</x:f>
        <x:v>2025-1</x:v>
      </x:c>
    </x:row>
    <x:row r="2324" ht="21" customHeight="1">
      <x:c r="A2324" s="3" t="str">
        <x:v>2201001</x:v>
      </x:c>
      <x:c r="B2324" s="3" t="str">
        <x:v>SEC025</x:v>
      </x:c>
      <x:c r="C2324" s="3" t="n">
        <x:v>10</x:v>
      </x:c>
      <x:c r="D2324" s="3" t="str">
        <x:v>present</x:v>
      </x:c>
      <x:c r="E2324" s="5" t="str">
        <x:f>VLOOKUP(B2324,Sections!$A$5:$I$45,3,FALSE)</x:f>
        <x:v>2025-1</x:v>
      </x:c>
    </x:row>
    <x:row r="2325" ht="21" customHeight="1">
      <x:c r="A2325" s="3" t="str">
        <x:v>2201001</x:v>
      </x:c>
      <x:c r="B2325" s="3" t="str">
        <x:v>SEC025</x:v>
      </x:c>
      <x:c r="C2325" s="3" t="n">
        <x:v>11</x:v>
      </x:c>
      <x:c r="D2325" s="3" t="str">
        <x:v>present</x:v>
      </x:c>
      <x:c r="E2325" s="5" t="str">
        <x:f>VLOOKUP(B2325,Sections!$A$5:$I$45,3,FALSE)</x:f>
        <x:v>2025-1</x:v>
      </x:c>
    </x:row>
    <x:row r="2326" ht="21" customHeight="1">
      <x:c r="A2326" s="3" t="str">
        <x:v>2201001</x:v>
      </x:c>
      <x:c r="B2326" s="3" t="str">
        <x:v>SEC025</x:v>
      </x:c>
      <x:c r="C2326" s="3" t="n">
        <x:v>12</x:v>
      </x:c>
      <x:c r="D2326" s="3" t="str">
        <x:v>present</x:v>
      </x:c>
      <x:c r="E2326" s="5" t="str">
        <x:f>VLOOKUP(B2326,Sections!$A$5:$I$45,3,FALSE)</x:f>
        <x:v>2025-1</x:v>
      </x:c>
    </x:row>
    <x:row r="2327" ht="21" customHeight="1">
      <x:c r="A2327" s="3" t="str">
        <x:v>2201001</x:v>
      </x:c>
      <x:c r="B2327" s="3" t="str">
        <x:v>SEC025</x:v>
      </x:c>
      <x:c r="C2327" s="3" t="n">
        <x:v>13</x:v>
      </x:c>
      <x:c r="D2327" s="3" t="str">
        <x:v>present</x:v>
      </x:c>
      <x:c r="E2327" s="5" t="str">
        <x:f>VLOOKUP(B2327,Sections!$A$5:$I$45,3,FALSE)</x:f>
        <x:v>2025-1</x:v>
      </x:c>
    </x:row>
    <x:row r="2328" ht="21" customHeight="1">
      <x:c r="A2328" s="3" t="str">
        <x:v>2201001</x:v>
      </x:c>
      <x:c r="B2328" s="3" t="str">
        <x:v>SEC025</x:v>
      </x:c>
      <x:c r="C2328" s="3" t="n">
        <x:v>14</x:v>
      </x:c>
      <x:c r="D2328" s="3" t="str">
        <x:v>present</x:v>
      </x:c>
      <x:c r="E2328" s="5" t="str">
        <x:f>VLOOKUP(B2328,Sections!$A$5:$I$45,3,FALSE)</x:f>
        <x:v>2025-1</x:v>
      </x:c>
    </x:row>
    <x:row r="2329" ht="21" customHeight="1">
      <x:c r="A2329" s="3" t="str">
        <x:v>2201001</x:v>
      </x:c>
      <x:c r="B2329" s="3" t="str">
        <x:v>SEC025</x:v>
      </x:c>
      <x:c r="C2329" s="3" t="n">
        <x:v>15</x:v>
      </x:c>
      <x:c r="D2329" s="3" t="str">
        <x:v>present</x:v>
      </x:c>
      <x:c r="E2329" s="5" t="str">
        <x:f>VLOOKUP(B2329,Sections!$A$5:$I$45,3,FALSE)</x:f>
        <x:v>2025-1</x:v>
      </x:c>
    </x:row>
    <x:row r="2330" ht="21" customHeight="1">
      <x:c r="A2330" s="3" t="str">
        <x:v>2201002</x:v>
      </x:c>
      <x:c r="B2330" s="3" t="str">
        <x:v>SEC025</x:v>
      </x:c>
      <x:c r="C2330" s="3" t="n">
        <x:v>1</x:v>
      </x:c>
      <x:c r="D2330" s="3" t="str">
        <x:v>present</x:v>
      </x:c>
      <x:c r="E2330" s="5" t="str">
        <x:f>VLOOKUP(B2330,Sections!$A$5:$I$45,3,FALSE)</x:f>
        <x:v>2025-1</x:v>
      </x:c>
    </x:row>
    <x:row r="2331" ht="21" customHeight="1">
      <x:c r="A2331" s="3" t="str">
        <x:v>2201002</x:v>
      </x:c>
      <x:c r="B2331" s="3" t="str">
        <x:v>SEC025</x:v>
      </x:c>
      <x:c r="C2331" s="3" t="n">
        <x:v>2</x:v>
      </x:c>
      <x:c r="D2331" s="3" t="str">
        <x:v>present</x:v>
      </x:c>
      <x:c r="E2331" s="5" t="str">
        <x:f>VLOOKUP(B2331,Sections!$A$5:$I$45,3,FALSE)</x:f>
        <x:v>2025-1</x:v>
      </x:c>
    </x:row>
    <x:row r="2332" ht="21" customHeight="1">
      <x:c r="A2332" s="3" t="str">
        <x:v>2201002</x:v>
      </x:c>
      <x:c r="B2332" s="3" t="str">
        <x:v>SEC025</x:v>
      </x:c>
      <x:c r="C2332" s="3" t="n">
        <x:v>3</x:v>
      </x:c>
      <x:c r="D2332" s="3" t="str">
        <x:v>present</x:v>
      </x:c>
      <x:c r="E2332" s="5" t="str">
        <x:f>VLOOKUP(B2332,Sections!$A$5:$I$45,3,FALSE)</x:f>
        <x:v>2025-1</x:v>
      </x:c>
    </x:row>
    <x:row r="2333" ht="21" customHeight="1">
      <x:c r="A2333" s="3" t="str">
        <x:v>2201002</x:v>
      </x:c>
      <x:c r="B2333" s="3" t="str">
        <x:v>SEC025</x:v>
      </x:c>
      <x:c r="C2333" s="3" t="n">
        <x:v>4</x:v>
      </x:c>
      <x:c r="D2333" s="3" t="str">
        <x:v>present</x:v>
      </x:c>
      <x:c r="E2333" s="5" t="str">
        <x:f>VLOOKUP(B2333,Sections!$A$5:$I$45,3,FALSE)</x:f>
        <x:v>2025-1</x:v>
      </x:c>
    </x:row>
    <x:row r="2334" ht="21" customHeight="1">
      <x:c r="A2334" s="3" t="str">
        <x:v>2201002</x:v>
      </x:c>
      <x:c r="B2334" s="3" t="str">
        <x:v>SEC025</x:v>
      </x:c>
      <x:c r="C2334" s="3" t="n">
        <x:v>5</x:v>
      </x:c>
      <x:c r="D2334" s="3" t="str">
        <x:v>present</x:v>
      </x:c>
      <x:c r="E2334" s="5" t="str">
        <x:f>VLOOKUP(B2334,Sections!$A$5:$I$45,3,FALSE)</x:f>
        <x:v>2025-1</x:v>
      </x:c>
    </x:row>
    <x:row r="2335" ht="21" customHeight="1">
      <x:c r="A2335" s="3" t="str">
        <x:v>2201002</x:v>
      </x:c>
      <x:c r="B2335" s="3" t="str">
        <x:v>SEC025</x:v>
      </x:c>
      <x:c r="C2335" s="3" t="n">
        <x:v>6</x:v>
      </x:c>
      <x:c r="D2335" s="3" t="str">
        <x:v>present</x:v>
      </x:c>
      <x:c r="E2335" s="5" t="str">
        <x:f>VLOOKUP(B2335,Sections!$A$5:$I$45,3,FALSE)</x:f>
        <x:v>2025-1</x:v>
      </x:c>
    </x:row>
    <x:row r="2336" ht="21" customHeight="1">
      <x:c r="A2336" s="3" t="str">
        <x:v>2201002</x:v>
      </x:c>
      <x:c r="B2336" s="3" t="str">
        <x:v>SEC025</x:v>
      </x:c>
      <x:c r="C2336" s="3" t="n">
        <x:v>7</x:v>
      </x:c>
      <x:c r="D2336" s="3" t="str">
        <x:v>present</x:v>
      </x:c>
      <x:c r="E2336" s="5" t="str">
        <x:f>VLOOKUP(B2336,Sections!$A$5:$I$45,3,FALSE)</x:f>
        <x:v>2025-1</x:v>
      </x:c>
    </x:row>
    <x:row r="2337" ht="21" customHeight="1">
      <x:c r="A2337" s="3" t="str">
        <x:v>2201002</x:v>
      </x:c>
      <x:c r="B2337" s="3" t="str">
        <x:v>SEC025</x:v>
      </x:c>
      <x:c r="C2337" s="3" t="n">
        <x:v>8</x:v>
      </x:c>
      <x:c r="D2337" s="3" t="str">
        <x:v>present</x:v>
      </x:c>
      <x:c r="E2337" s="5" t="str">
        <x:f>VLOOKUP(B2337,Sections!$A$5:$I$45,3,FALSE)</x:f>
        <x:v>2025-1</x:v>
      </x:c>
    </x:row>
    <x:row r="2338" ht="21" customHeight="1">
      <x:c r="A2338" s="3" t="str">
        <x:v>2201002</x:v>
      </x:c>
      <x:c r="B2338" s="3" t="str">
        <x:v>SEC025</x:v>
      </x:c>
      <x:c r="C2338" s="3" t="n">
        <x:v>9</x:v>
      </x:c>
      <x:c r="D2338" s="3" t="str">
        <x:v>present</x:v>
      </x:c>
      <x:c r="E2338" s="5" t="str">
        <x:f>VLOOKUP(B2338,Sections!$A$5:$I$45,3,FALSE)</x:f>
        <x:v>2025-1</x:v>
      </x:c>
    </x:row>
    <x:row r="2339" ht="21" customHeight="1">
      <x:c r="A2339" s="3" t="str">
        <x:v>2201002</x:v>
      </x:c>
      <x:c r="B2339" s="3" t="str">
        <x:v>SEC025</x:v>
      </x:c>
      <x:c r="C2339" s="3" t="n">
        <x:v>10</x:v>
      </x:c>
      <x:c r="D2339" s="3" t="str">
        <x:v>present</x:v>
      </x:c>
      <x:c r="E2339" s="5" t="str">
        <x:f>VLOOKUP(B2339,Sections!$A$5:$I$45,3,FALSE)</x:f>
        <x:v>2025-1</x:v>
      </x:c>
    </x:row>
    <x:row r="2340" ht="21" customHeight="1">
      <x:c r="A2340" s="3" t="str">
        <x:v>2201002</x:v>
      </x:c>
      <x:c r="B2340" s="3" t="str">
        <x:v>SEC025</x:v>
      </x:c>
      <x:c r="C2340" s="3" t="n">
        <x:v>11</x:v>
      </x:c>
      <x:c r="D2340" s="3" t="str">
        <x:v>present</x:v>
      </x:c>
      <x:c r="E2340" s="5" t="str">
        <x:f>VLOOKUP(B2340,Sections!$A$5:$I$45,3,FALSE)</x:f>
        <x:v>2025-1</x:v>
      </x:c>
    </x:row>
    <x:row r="2341" ht="21" customHeight="1">
      <x:c r="A2341" s="3" t="str">
        <x:v>2201002</x:v>
      </x:c>
      <x:c r="B2341" s="3" t="str">
        <x:v>SEC025</x:v>
      </x:c>
      <x:c r="C2341" s="3" t="n">
        <x:v>12</x:v>
      </x:c>
      <x:c r="D2341" s="3" t="str">
        <x:v>present</x:v>
      </x:c>
      <x:c r="E2341" s="5" t="str">
        <x:f>VLOOKUP(B2341,Sections!$A$5:$I$45,3,FALSE)</x:f>
        <x:v>2025-1</x:v>
      </x:c>
    </x:row>
    <x:row r="2342" ht="21" customHeight="1">
      <x:c r="A2342" s="3" t="str">
        <x:v>2201002</x:v>
      </x:c>
      <x:c r="B2342" s="3" t="str">
        <x:v>SEC025</x:v>
      </x:c>
      <x:c r="C2342" s="3" t="n">
        <x:v>13</x:v>
      </x:c>
      <x:c r="D2342" s="3" t="str">
        <x:v>present</x:v>
      </x:c>
      <x:c r="E2342" s="5" t="str">
        <x:f>VLOOKUP(B2342,Sections!$A$5:$I$45,3,FALSE)</x:f>
        <x:v>2025-1</x:v>
      </x:c>
    </x:row>
    <x:row r="2343" ht="21" customHeight="1">
      <x:c r="A2343" s="3" t="str">
        <x:v>2201002</x:v>
      </x:c>
      <x:c r="B2343" s="3" t="str">
        <x:v>SEC025</x:v>
      </x:c>
      <x:c r="C2343" s="3" t="n">
        <x:v>14</x:v>
      </x:c>
      <x:c r="D2343" s="3" t="str">
        <x:v>present</x:v>
      </x:c>
      <x:c r="E2343" s="5" t="str">
        <x:f>VLOOKUP(B2343,Sections!$A$5:$I$45,3,FALSE)</x:f>
        <x:v>2025-1</x:v>
      </x:c>
    </x:row>
    <x:row r="2344" ht="21" customHeight="1">
      <x:c r="A2344" s="3" t="str">
        <x:v>2201002</x:v>
      </x:c>
      <x:c r="B2344" s="3" t="str">
        <x:v>SEC025</x:v>
      </x:c>
      <x:c r="C2344" s="3" t="n">
        <x:v>15</x:v>
      </x:c>
      <x:c r="D2344" s="3" t="str">
        <x:v>present</x:v>
      </x:c>
      <x:c r="E2344" s="5" t="str">
        <x:f>VLOOKUP(B2344,Sections!$A$5:$I$45,3,FALSE)</x:f>
        <x:v>2025-1</x:v>
      </x:c>
    </x:row>
    <x:row r="2345" ht="21" customHeight="1">
      <x:c r="A2345" s="3" t="str">
        <x:v>2201003</x:v>
      </x:c>
      <x:c r="B2345" s="3" t="str">
        <x:v>SEC025</x:v>
      </x:c>
      <x:c r="C2345" s="3" t="n">
        <x:v>1</x:v>
      </x:c>
      <x:c r="D2345" s="3" t="str">
        <x:v>present</x:v>
      </x:c>
      <x:c r="E2345" s="5" t="str">
        <x:f>VLOOKUP(B2345,Sections!$A$5:$I$45,3,FALSE)</x:f>
        <x:v>2025-1</x:v>
      </x:c>
    </x:row>
    <x:row r="2346" ht="21" customHeight="1">
      <x:c r="A2346" s="3" t="str">
        <x:v>2201003</x:v>
      </x:c>
      <x:c r="B2346" s="3" t="str">
        <x:v>SEC025</x:v>
      </x:c>
      <x:c r="C2346" s="3" t="n">
        <x:v>2</x:v>
      </x:c>
      <x:c r="D2346" s="3" t="str">
        <x:v>present</x:v>
      </x:c>
      <x:c r="E2346" s="5" t="str">
        <x:f>VLOOKUP(B2346,Sections!$A$5:$I$45,3,FALSE)</x:f>
        <x:v>2025-1</x:v>
      </x:c>
    </x:row>
    <x:row r="2347" ht="21" customHeight="1">
      <x:c r="A2347" s="3" t="str">
        <x:v>2201003</x:v>
      </x:c>
      <x:c r="B2347" s="3" t="str">
        <x:v>SEC025</x:v>
      </x:c>
      <x:c r="C2347" s="3" t="n">
        <x:v>3</x:v>
      </x:c>
      <x:c r="D2347" s="3" t="str">
        <x:v>present</x:v>
      </x:c>
      <x:c r="E2347" s="5" t="str">
        <x:f>VLOOKUP(B2347,Sections!$A$5:$I$45,3,FALSE)</x:f>
        <x:v>2025-1</x:v>
      </x:c>
    </x:row>
    <x:row r="2348" ht="21" customHeight="1">
      <x:c r="A2348" s="3" t="str">
        <x:v>2201003</x:v>
      </x:c>
      <x:c r="B2348" s="3" t="str">
        <x:v>SEC025</x:v>
      </x:c>
      <x:c r="C2348" s="3" t="n">
        <x:v>4</x:v>
      </x:c>
      <x:c r="D2348" s="3" t="str">
        <x:v>present</x:v>
      </x:c>
      <x:c r="E2348" s="5" t="str">
        <x:f>VLOOKUP(B2348,Sections!$A$5:$I$45,3,FALSE)</x:f>
        <x:v>2025-1</x:v>
      </x:c>
    </x:row>
    <x:row r="2349" ht="21" customHeight="1">
      <x:c r="A2349" s="3" t="str">
        <x:v>2201003</x:v>
      </x:c>
      <x:c r="B2349" s="3" t="str">
        <x:v>SEC025</x:v>
      </x:c>
      <x:c r="C2349" s="3" t="n">
        <x:v>5</x:v>
      </x:c>
      <x:c r="D2349" s="3" t="str">
        <x:v>late</x:v>
      </x:c>
      <x:c r="E2349" s="5" t="str">
        <x:f>VLOOKUP(B2349,Sections!$A$5:$I$45,3,FALSE)</x:f>
        <x:v>2025-1</x:v>
      </x:c>
    </x:row>
    <x:row r="2350" ht="21" customHeight="1">
      <x:c r="A2350" s="3" t="str">
        <x:v>2201003</x:v>
      </x:c>
      <x:c r="B2350" s="3" t="str">
        <x:v>SEC025</x:v>
      </x:c>
      <x:c r="C2350" s="3" t="n">
        <x:v>6</x:v>
      </x:c>
      <x:c r="D2350" s="3" t="str">
        <x:v>present</x:v>
      </x:c>
      <x:c r="E2350" s="5" t="str">
        <x:f>VLOOKUP(B2350,Sections!$A$5:$I$45,3,FALSE)</x:f>
        <x:v>2025-1</x:v>
      </x:c>
    </x:row>
    <x:row r="2351" ht="21" customHeight="1">
      <x:c r="A2351" s="3" t="str">
        <x:v>2201003</x:v>
      </x:c>
      <x:c r="B2351" s="3" t="str">
        <x:v>SEC025</x:v>
      </x:c>
      <x:c r="C2351" s="3" t="n">
        <x:v>7</x:v>
      </x:c>
      <x:c r="D2351" s="3" t="str">
        <x:v>present</x:v>
      </x:c>
      <x:c r="E2351" s="5" t="str">
        <x:f>VLOOKUP(B2351,Sections!$A$5:$I$45,3,FALSE)</x:f>
        <x:v>2025-1</x:v>
      </x:c>
    </x:row>
    <x:row r="2352" ht="21" customHeight="1">
      <x:c r="A2352" s="3" t="str">
        <x:v>2201003</x:v>
      </x:c>
      <x:c r="B2352" s="3" t="str">
        <x:v>SEC025</x:v>
      </x:c>
      <x:c r="C2352" s="3" t="n">
        <x:v>8</x:v>
      </x:c>
      <x:c r="D2352" s="3" t="str">
        <x:v>present</x:v>
      </x:c>
      <x:c r="E2352" s="5" t="str">
        <x:f>VLOOKUP(B2352,Sections!$A$5:$I$45,3,FALSE)</x:f>
        <x:v>2025-1</x:v>
      </x:c>
    </x:row>
    <x:row r="2353" ht="21" customHeight="1">
      <x:c r="A2353" s="3" t="str">
        <x:v>2201003</x:v>
      </x:c>
      <x:c r="B2353" s="3" t="str">
        <x:v>SEC025</x:v>
      </x:c>
      <x:c r="C2353" s="3" t="n">
        <x:v>9</x:v>
      </x:c>
      <x:c r="D2353" s="3" t="str">
        <x:v>present</x:v>
      </x:c>
      <x:c r="E2353" s="5" t="str">
        <x:f>VLOOKUP(B2353,Sections!$A$5:$I$45,3,FALSE)</x:f>
        <x:v>2025-1</x:v>
      </x:c>
    </x:row>
    <x:row r="2354" ht="21" customHeight="1">
      <x:c r="A2354" s="3" t="str">
        <x:v>2201003</x:v>
      </x:c>
      <x:c r="B2354" s="3" t="str">
        <x:v>SEC025</x:v>
      </x:c>
      <x:c r="C2354" s="3" t="n">
        <x:v>10</x:v>
      </x:c>
      <x:c r="D2354" s="3" t="str">
        <x:v>present</x:v>
      </x:c>
      <x:c r="E2354" s="5" t="str">
        <x:f>VLOOKUP(B2354,Sections!$A$5:$I$45,3,FALSE)</x:f>
        <x:v>2025-1</x:v>
      </x:c>
    </x:row>
    <x:row r="2355" ht="21" customHeight="1">
      <x:c r="A2355" s="3" t="str">
        <x:v>2201003</x:v>
      </x:c>
      <x:c r="B2355" s="3" t="str">
        <x:v>SEC025</x:v>
      </x:c>
      <x:c r="C2355" s="3" t="n">
        <x:v>11</x:v>
      </x:c>
      <x:c r="D2355" s="3" t="str">
        <x:v>present</x:v>
      </x:c>
      <x:c r="E2355" s="5" t="str">
        <x:f>VLOOKUP(B2355,Sections!$A$5:$I$45,3,FALSE)</x:f>
        <x:v>2025-1</x:v>
      </x:c>
    </x:row>
    <x:row r="2356" ht="21" customHeight="1">
      <x:c r="A2356" s="3" t="str">
        <x:v>2201003</x:v>
      </x:c>
      <x:c r="B2356" s="3" t="str">
        <x:v>SEC025</x:v>
      </x:c>
      <x:c r="C2356" s="3" t="n">
        <x:v>12</x:v>
      </x:c>
      <x:c r="D2356" s="3" t="str">
        <x:v>present</x:v>
      </x:c>
      <x:c r="E2356" s="5" t="str">
        <x:f>VLOOKUP(B2356,Sections!$A$5:$I$45,3,FALSE)</x:f>
        <x:v>2025-1</x:v>
      </x:c>
    </x:row>
    <x:row r="2357" ht="21" customHeight="1">
      <x:c r="A2357" s="3" t="str">
        <x:v>2201003</x:v>
      </x:c>
      <x:c r="B2357" s="3" t="str">
        <x:v>SEC025</x:v>
      </x:c>
      <x:c r="C2357" s="3" t="n">
        <x:v>13</x:v>
      </x:c>
      <x:c r="D2357" s="3" t="str">
        <x:v>present</x:v>
      </x:c>
      <x:c r="E2357" s="5" t="str">
        <x:f>VLOOKUP(B2357,Sections!$A$5:$I$45,3,FALSE)</x:f>
        <x:v>2025-1</x:v>
      </x:c>
    </x:row>
    <x:row r="2358" ht="21" customHeight="1">
      <x:c r="A2358" s="3" t="str">
        <x:v>2201003</x:v>
      </x:c>
      <x:c r="B2358" s="3" t="str">
        <x:v>SEC025</x:v>
      </x:c>
      <x:c r="C2358" s="3" t="n">
        <x:v>14</x:v>
      </x:c>
      <x:c r="D2358" s="3" t="str">
        <x:v>present</x:v>
      </x:c>
      <x:c r="E2358" s="5" t="str">
        <x:f>VLOOKUP(B2358,Sections!$A$5:$I$45,3,FALSE)</x:f>
        <x:v>2025-1</x:v>
      </x:c>
    </x:row>
    <x:row r="2359" ht="21" customHeight="1">
      <x:c r="A2359" s="3" t="str">
        <x:v>2201003</x:v>
      </x:c>
      <x:c r="B2359" s="3" t="str">
        <x:v>SEC025</x:v>
      </x:c>
      <x:c r="C2359" s="3" t="n">
        <x:v>15</x:v>
      </x:c>
      <x:c r="D2359" s="3" t="str">
        <x:v>present</x:v>
      </x:c>
      <x:c r="E2359" s="5" t="str">
        <x:f>VLOOKUP(B2359,Sections!$A$5:$I$45,3,FALSE)</x:f>
        <x:v>2025-1</x:v>
      </x:c>
    </x:row>
    <x:row r="2360" ht="21" customHeight="1">
      <x:c r="A2360" s="3" t="str">
        <x:v>2201004</x:v>
      </x:c>
      <x:c r="B2360" s="3" t="str">
        <x:v>SEC025</x:v>
      </x:c>
      <x:c r="C2360" s="3" t="n">
        <x:v>1</x:v>
      </x:c>
      <x:c r="D2360" s="3" t="str">
        <x:v>present</x:v>
      </x:c>
      <x:c r="E2360" s="5" t="str">
        <x:f>VLOOKUP(B2360,Sections!$A$5:$I$45,3,FALSE)</x:f>
        <x:v>2025-1</x:v>
      </x:c>
    </x:row>
    <x:row r="2361" ht="21" customHeight="1">
      <x:c r="A2361" s="3" t="str">
        <x:v>2201004</x:v>
      </x:c>
      <x:c r="B2361" s="3" t="str">
        <x:v>SEC025</x:v>
      </x:c>
      <x:c r="C2361" s="3" t="n">
        <x:v>2</x:v>
      </x:c>
      <x:c r="D2361" s="3" t="str">
        <x:v>excused</x:v>
      </x:c>
      <x:c r="E2361" s="5" t="str">
        <x:f>VLOOKUP(B2361,Sections!$A$5:$I$45,3,FALSE)</x:f>
        <x:v>2025-1</x:v>
      </x:c>
    </x:row>
    <x:row r="2362" ht="21" customHeight="1">
      <x:c r="A2362" s="3" t="str">
        <x:v>2201004</x:v>
      </x:c>
      <x:c r="B2362" s="3" t="str">
        <x:v>SEC025</x:v>
      </x:c>
      <x:c r="C2362" s="3" t="n">
        <x:v>3</x:v>
      </x:c>
      <x:c r="D2362" s="3" t="str">
        <x:v>present</x:v>
      </x:c>
      <x:c r="E2362" s="5" t="str">
        <x:f>VLOOKUP(B2362,Sections!$A$5:$I$45,3,FALSE)</x:f>
        <x:v>2025-1</x:v>
      </x:c>
    </x:row>
    <x:row r="2363" ht="21" customHeight="1">
      <x:c r="A2363" s="3" t="str">
        <x:v>2201004</x:v>
      </x:c>
      <x:c r="B2363" s="3" t="str">
        <x:v>SEC025</x:v>
      </x:c>
      <x:c r="C2363" s="3" t="n">
        <x:v>4</x:v>
      </x:c>
      <x:c r="D2363" s="3" t="str">
        <x:v>present</x:v>
      </x:c>
      <x:c r="E2363" s="5" t="str">
        <x:f>VLOOKUP(B2363,Sections!$A$5:$I$45,3,FALSE)</x:f>
        <x:v>2025-1</x:v>
      </x:c>
    </x:row>
    <x:row r="2364" ht="21" customHeight="1">
      <x:c r="A2364" s="3" t="str">
        <x:v>2201004</x:v>
      </x:c>
      <x:c r="B2364" s="3" t="str">
        <x:v>SEC025</x:v>
      </x:c>
      <x:c r="C2364" s="3" t="n">
        <x:v>5</x:v>
      </x:c>
      <x:c r="D2364" s="3" t="str">
        <x:v>present</x:v>
      </x:c>
      <x:c r="E2364" s="5" t="str">
        <x:f>VLOOKUP(B2364,Sections!$A$5:$I$45,3,FALSE)</x:f>
        <x:v>2025-1</x:v>
      </x:c>
    </x:row>
    <x:row r="2365" ht="21" customHeight="1">
      <x:c r="A2365" s="3" t="str">
        <x:v>2201004</x:v>
      </x:c>
      <x:c r="B2365" s="3" t="str">
        <x:v>SEC025</x:v>
      </x:c>
      <x:c r="C2365" s="3" t="n">
        <x:v>6</x:v>
      </x:c>
      <x:c r="D2365" s="3" t="str">
        <x:v>present</x:v>
      </x:c>
      <x:c r="E2365" s="5" t="str">
        <x:f>VLOOKUP(B2365,Sections!$A$5:$I$45,3,FALSE)</x:f>
        <x:v>2025-1</x:v>
      </x:c>
    </x:row>
    <x:row r="2366" ht="21" customHeight="1">
      <x:c r="A2366" s="3" t="str">
        <x:v>2201004</x:v>
      </x:c>
      <x:c r="B2366" s="3" t="str">
        <x:v>SEC025</x:v>
      </x:c>
      <x:c r="C2366" s="3" t="n">
        <x:v>7</x:v>
      </x:c>
      <x:c r="D2366" s="3" t="str">
        <x:v>absent</x:v>
      </x:c>
      <x:c r="E2366" s="5" t="str">
        <x:f>VLOOKUP(B2366,Sections!$A$5:$I$45,3,FALSE)</x:f>
        <x:v>2025-1</x:v>
      </x:c>
    </x:row>
    <x:row r="2367" ht="21" customHeight="1">
      <x:c r="A2367" s="3" t="str">
        <x:v>2201004</x:v>
      </x:c>
      <x:c r="B2367" s="3" t="str">
        <x:v>SEC025</x:v>
      </x:c>
      <x:c r="C2367" s="3" t="n">
        <x:v>8</x:v>
      </x:c>
      <x:c r="D2367" s="3" t="str">
        <x:v>present</x:v>
      </x:c>
      <x:c r="E2367" s="5" t="str">
        <x:f>VLOOKUP(B2367,Sections!$A$5:$I$45,3,FALSE)</x:f>
        <x:v>2025-1</x:v>
      </x:c>
    </x:row>
    <x:row r="2368" ht="21" customHeight="1">
      <x:c r="A2368" s="3" t="str">
        <x:v>2201004</x:v>
      </x:c>
      <x:c r="B2368" s="3" t="str">
        <x:v>SEC025</x:v>
      </x:c>
      <x:c r="C2368" s="3" t="n">
        <x:v>9</x:v>
      </x:c>
      <x:c r="D2368" s="3" t="str">
        <x:v>present</x:v>
      </x:c>
      <x:c r="E2368" s="5" t="str">
        <x:f>VLOOKUP(B2368,Sections!$A$5:$I$45,3,FALSE)</x:f>
        <x:v>2025-1</x:v>
      </x:c>
    </x:row>
    <x:row r="2369" ht="21" customHeight="1">
      <x:c r="A2369" s="3" t="str">
        <x:v>2201004</x:v>
      </x:c>
      <x:c r="B2369" s="3" t="str">
        <x:v>SEC025</x:v>
      </x:c>
      <x:c r="C2369" s="3" t="n">
        <x:v>10</x:v>
      </x:c>
      <x:c r="D2369" s="3" t="str">
        <x:v>absent</x:v>
      </x:c>
      <x:c r="E2369" s="5" t="str">
        <x:f>VLOOKUP(B2369,Sections!$A$5:$I$45,3,FALSE)</x:f>
        <x:v>2025-1</x:v>
      </x:c>
    </x:row>
    <x:row r="2370" ht="21" customHeight="1">
      <x:c r="A2370" s="3" t="str">
        <x:v>2201004</x:v>
      </x:c>
      <x:c r="B2370" s="3" t="str">
        <x:v>SEC025</x:v>
      </x:c>
      <x:c r="C2370" s="3" t="n">
        <x:v>11</x:v>
      </x:c>
      <x:c r="D2370" s="3" t="str">
        <x:v>present</x:v>
      </x:c>
      <x:c r="E2370" s="5" t="str">
        <x:f>VLOOKUP(B2370,Sections!$A$5:$I$45,3,FALSE)</x:f>
        <x:v>2025-1</x:v>
      </x:c>
    </x:row>
    <x:row r="2371" ht="21" customHeight="1">
      <x:c r="A2371" s="3" t="str">
        <x:v>2201004</x:v>
      </x:c>
      <x:c r="B2371" s="3" t="str">
        <x:v>SEC025</x:v>
      </x:c>
      <x:c r="C2371" s="3" t="n">
        <x:v>12</x:v>
      </x:c>
      <x:c r="D2371" s="3" t="str">
        <x:v>present</x:v>
      </x:c>
      <x:c r="E2371" s="5" t="str">
        <x:f>VLOOKUP(B2371,Sections!$A$5:$I$45,3,FALSE)</x:f>
        <x:v>2025-1</x:v>
      </x:c>
    </x:row>
    <x:row r="2372" ht="21" customHeight="1">
      <x:c r="A2372" s="3" t="str">
        <x:v>2201004</x:v>
      </x:c>
      <x:c r="B2372" s="3" t="str">
        <x:v>SEC025</x:v>
      </x:c>
      <x:c r="C2372" s="3" t="n">
        <x:v>13</x:v>
      </x:c>
      <x:c r="D2372" s="3" t="str">
        <x:v>present</x:v>
      </x:c>
      <x:c r="E2372" s="5" t="str">
        <x:f>VLOOKUP(B2372,Sections!$A$5:$I$45,3,FALSE)</x:f>
        <x:v>2025-1</x:v>
      </x:c>
    </x:row>
    <x:row r="2373" ht="21" customHeight="1">
      <x:c r="A2373" s="3" t="str">
        <x:v>2201004</x:v>
      </x:c>
      <x:c r="B2373" s="3" t="str">
        <x:v>SEC025</x:v>
      </x:c>
      <x:c r="C2373" s="3" t="n">
        <x:v>14</x:v>
      </x:c>
      <x:c r="D2373" s="3" t="str">
        <x:v>present</x:v>
      </x:c>
      <x:c r="E2373" s="5" t="str">
        <x:f>VLOOKUP(B2373,Sections!$A$5:$I$45,3,FALSE)</x:f>
        <x:v>2025-1</x:v>
      </x:c>
    </x:row>
    <x:row r="2374" ht="21" customHeight="1">
      <x:c r="A2374" s="3" t="str">
        <x:v>2201004</x:v>
      </x:c>
      <x:c r="B2374" s="3" t="str">
        <x:v>SEC025</x:v>
      </x:c>
      <x:c r="C2374" s="3" t="n">
        <x:v>15</x:v>
      </x:c>
      <x:c r="D2374" s="3" t="str">
        <x:v>present</x:v>
      </x:c>
      <x:c r="E2374" s="5" t="str">
        <x:f>VLOOKUP(B2374,Sections!$A$5:$I$45,3,FALSE)</x:f>
        <x:v>2025-1</x:v>
      </x:c>
    </x:row>
    <x:row r="2375" ht="21" customHeight="1">
      <x:c r="A2375" s="3" t="str">
        <x:v>2201005</x:v>
      </x:c>
      <x:c r="B2375" s="3" t="str">
        <x:v>SEC025</x:v>
      </x:c>
      <x:c r="C2375" s="3" t="n">
        <x:v>1</x:v>
      </x:c>
      <x:c r="D2375" s="3" t="str">
        <x:v>present</x:v>
      </x:c>
      <x:c r="E2375" s="5" t="str">
        <x:f>VLOOKUP(B2375,Sections!$A$5:$I$45,3,FALSE)</x:f>
        <x:v>2025-1</x:v>
      </x:c>
    </x:row>
    <x:row r="2376" ht="21" customHeight="1">
      <x:c r="A2376" s="3" t="str">
        <x:v>2201005</x:v>
      </x:c>
      <x:c r="B2376" s="3" t="str">
        <x:v>SEC025</x:v>
      </x:c>
      <x:c r="C2376" s="3" t="n">
        <x:v>2</x:v>
      </x:c>
      <x:c r="D2376" s="3" t="str">
        <x:v>absent</x:v>
      </x:c>
      <x:c r="E2376" s="5" t="str">
        <x:f>VLOOKUP(B2376,Sections!$A$5:$I$45,3,FALSE)</x:f>
        <x:v>2025-1</x:v>
      </x:c>
    </x:row>
    <x:row r="2377" ht="21" customHeight="1">
      <x:c r="A2377" s="3" t="str">
        <x:v>2201005</x:v>
      </x:c>
      <x:c r="B2377" s="3" t="str">
        <x:v>SEC025</x:v>
      </x:c>
      <x:c r="C2377" s="3" t="n">
        <x:v>3</x:v>
      </x:c>
      <x:c r="D2377" s="3" t="str">
        <x:v>absent</x:v>
      </x:c>
      <x:c r="E2377" s="5" t="str">
        <x:f>VLOOKUP(B2377,Sections!$A$5:$I$45,3,FALSE)</x:f>
        <x:v>2025-1</x:v>
      </x:c>
    </x:row>
    <x:row r="2378" ht="21" customHeight="1">
      <x:c r="A2378" s="3" t="str">
        <x:v>2201005</x:v>
      </x:c>
      <x:c r="B2378" s="3" t="str">
        <x:v>SEC025</x:v>
      </x:c>
      <x:c r="C2378" s="3" t="n">
        <x:v>4</x:v>
      </x:c>
      <x:c r="D2378" s="3" t="str">
        <x:v>present</x:v>
      </x:c>
      <x:c r="E2378" s="5" t="str">
        <x:f>VLOOKUP(B2378,Sections!$A$5:$I$45,3,FALSE)</x:f>
        <x:v>2025-1</x:v>
      </x:c>
    </x:row>
    <x:row r="2379" ht="21" customHeight="1">
      <x:c r="A2379" s="3" t="str">
        <x:v>2201005</x:v>
      </x:c>
      <x:c r="B2379" s="3" t="str">
        <x:v>SEC025</x:v>
      </x:c>
      <x:c r="C2379" s="3" t="n">
        <x:v>5</x:v>
      </x:c>
      <x:c r="D2379" s="3" t="str">
        <x:v>excused</x:v>
      </x:c>
      <x:c r="E2379" s="5" t="str">
        <x:f>VLOOKUP(B2379,Sections!$A$5:$I$45,3,FALSE)</x:f>
        <x:v>2025-1</x:v>
      </x:c>
    </x:row>
    <x:row r="2380" ht="21" customHeight="1">
      <x:c r="A2380" s="3" t="str">
        <x:v>2201005</x:v>
      </x:c>
      <x:c r="B2380" s="3" t="str">
        <x:v>SEC025</x:v>
      </x:c>
      <x:c r="C2380" s="3" t="n">
        <x:v>6</x:v>
      </x:c>
      <x:c r="D2380" s="3" t="str">
        <x:v>present</x:v>
      </x:c>
      <x:c r="E2380" s="5" t="str">
        <x:f>VLOOKUP(B2380,Sections!$A$5:$I$45,3,FALSE)</x:f>
        <x:v>2025-1</x:v>
      </x:c>
    </x:row>
    <x:row r="2381" ht="21" customHeight="1">
      <x:c r="A2381" s="3" t="str">
        <x:v>2201005</x:v>
      </x:c>
      <x:c r="B2381" s="3" t="str">
        <x:v>SEC025</x:v>
      </x:c>
      <x:c r="C2381" s="3" t="n">
        <x:v>7</x:v>
      </x:c>
      <x:c r="D2381" s="3" t="str">
        <x:v>absent</x:v>
      </x:c>
      <x:c r="E2381" s="5" t="str">
        <x:f>VLOOKUP(B2381,Sections!$A$5:$I$45,3,FALSE)</x:f>
        <x:v>2025-1</x:v>
      </x:c>
    </x:row>
    <x:row r="2382" ht="21" customHeight="1">
      <x:c r="A2382" s="3" t="str">
        <x:v>2201005</x:v>
      </x:c>
      <x:c r="B2382" s="3" t="str">
        <x:v>SEC025</x:v>
      </x:c>
      <x:c r="C2382" s="3" t="n">
        <x:v>8</x:v>
      </x:c>
      <x:c r="D2382" s="3" t="str">
        <x:v>excused</x:v>
      </x:c>
      <x:c r="E2382" s="5" t="str">
        <x:f>VLOOKUP(B2382,Sections!$A$5:$I$45,3,FALSE)</x:f>
        <x:v>2025-1</x:v>
      </x:c>
    </x:row>
    <x:row r="2383" ht="21" customHeight="1">
      <x:c r="A2383" s="3" t="str">
        <x:v>2201005</x:v>
      </x:c>
      <x:c r="B2383" s="3" t="str">
        <x:v>SEC025</x:v>
      </x:c>
      <x:c r="C2383" s="3" t="n">
        <x:v>9</x:v>
      </x:c>
      <x:c r="D2383" s="3" t="str">
        <x:v>present</x:v>
      </x:c>
      <x:c r="E2383" s="5" t="str">
        <x:f>VLOOKUP(B2383,Sections!$A$5:$I$45,3,FALSE)</x:f>
        <x:v>2025-1</x:v>
      </x:c>
    </x:row>
    <x:row r="2384" ht="21" customHeight="1">
      <x:c r="A2384" s="3" t="str">
        <x:v>2201005</x:v>
      </x:c>
      <x:c r="B2384" s="3" t="str">
        <x:v>SEC025</x:v>
      </x:c>
      <x:c r="C2384" s="3" t="n">
        <x:v>10</x:v>
      </x:c>
      <x:c r="D2384" s="3" t="str">
        <x:v>absent</x:v>
      </x:c>
      <x:c r="E2384" s="5" t="str">
        <x:f>VLOOKUP(B2384,Sections!$A$5:$I$45,3,FALSE)</x:f>
        <x:v>2025-1</x:v>
      </x:c>
    </x:row>
    <x:row r="2385" ht="21" customHeight="1">
      <x:c r="A2385" s="3" t="str">
        <x:v>2201005</x:v>
      </x:c>
      <x:c r="B2385" s="3" t="str">
        <x:v>SEC025</x:v>
      </x:c>
      <x:c r="C2385" s="3" t="n">
        <x:v>11</x:v>
      </x:c>
      <x:c r="D2385" s="3" t="str">
        <x:v>present</x:v>
      </x:c>
      <x:c r="E2385" s="5" t="str">
        <x:f>VLOOKUP(B2385,Sections!$A$5:$I$45,3,FALSE)</x:f>
        <x:v>2025-1</x:v>
      </x:c>
    </x:row>
    <x:row r="2386" ht="21" customHeight="1">
      <x:c r="A2386" s="3" t="str">
        <x:v>2201005</x:v>
      </x:c>
      <x:c r="B2386" s="3" t="str">
        <x:v>SEC025</x:v>
      </x:c>
      <x:c r="C2386" s="3" t="n">
        <x:v>12</x:v>
      </x:c>
      <x:c r="D2386" s="3" t="str">
        <x:v>present</x:v>
      </x:c>
      <x:c r="E2386" s="5" t="str">
        <x:f>VLOOKUP(B2386,Sections!$A$5:$I$45,3,FALSE)</x:f>
        <x:v>2025-1</x:v>
      </x:c>
    </x:row>
    <x:row r="2387" ht="21" customHeight="1">
      <x:c r="A2387" s="3" t="str">
        <x:v>2201005</x:v>
      </x:c>
      <x:c r="B2387" s="3" t="str">
        <x:v>SEC025</x:v>
      </x:c>
      <x:c r="C2387" s="3" t="n">
        <x:v>13</x:v>
      </x:c>
      <x:c r="D2387" s="3" t="str">
        <x:v>excused</x:v>
      </x:c>
      <x:c r="E2387" s="5" t="str">
        <x:f>VLOOKUP(B2387,Sections!$A$5:$I$45,3,FALSE)</x:f>
        <x:v>2025-1</x:v>
      </x:c>
    </x:row>
    <x:row r="2388" ht="21" customHeight="1">
      <x:c r="A2388" s="3" t="str">
        <x:v>2201005</x:v>
      </x:c>
      <x:c r="B2388" s="3" t="str">
        <x:v>SEC025</x:v>
      </x:c>
      <x:c r="C2388" s="3" t="n">
        <x:v>14</x:v>
      </x:c>
      <x:c r="D2388" s="3" t="str">
        <x:v>present</x:v>
      </x:c>
      <x:c r="E2388" s="5" t="str">
        <x:f>VLOOKUP(B2388,Sections!$A$5:$I$45,3,FALSE)</x:f>
        <x:v>2025-1</x:v>
      </x:c>
    </x:row>
    <x:row r="2389" ht="21" customHeight="1">
      <x:c r="A2389" s="3" t="str">
        <x:v>2201005</x:v>
      </x:c>
      <x:c r="B2389" s="3" t="str">
        <x:v>SEC025</x:v>
      </x:c>
      <x:c r="C2389" s="3" t="n">
        <x:v>15</x:v>
      </x:c>
      <x:c r="D2389" s="3" t="str">
        <x:v>present</x:v>
      </x:c>
      <x:c r="E2389" s="5" t="str">
        <x:f>VLOOKUP(B2389,Sections!$A$5:$I$45,3,FALSE)</x:f>
        <x:v>2025-1</x:v>
      </x:c>
    </x:row>
    <x:row r="2390" ht="21" customHeight="1">
      <x:c r="A2390" s="3" t="str">
        <x:v>2201006</x:v>
      </x:c>
      <x:c r="B2390" s="3" t="str">
        <x:v>SEC025</x:v>
      </x:c>
      <x:c r="C2390" s="3" t="n">
        <x:v>1</x:v>
      </x:c>
      <x:c r="D2390" s="3" t="str">
        <x:v>present</x:v>
      </x:c>
      <x:c r="E2390" s="5" t="str">
        <x:f>VLOOKUP(B2390,Sections!$A$5:$I$45,3,FALSE)</x:f>
        <x:v>2025-1</x:v>
      </x:c>
    </x:row>
    <x:row r="2391" ht="21" customHeight="1">
      <x:c r="A2391" s="3" t="str">
        <x:v>2201006</x:v>
      </x:c>
      <x:c r="B2391" s="3" t="str">
        <x:v>SEC025</x:v>
      </x:c>
      <x:c r="C2391" s="3" t="n">
        <x:v>2</x:v>
      </x:c>
      <x:c r="D2391" s="3" t="str">
        <x:v>present</x:v>
      </x:c>
      <x:c r="E2391" s="5" t="str">
        <x:f>VLOOKUP(B2391,Sections!$A$5:$I$45,3,FALSE)</x:f>
        <x:v>2025-1</x:v>
      </x:c>
    </x:row>
    <x:row r="2392" ht="21" customHeight="1">
      <x:c r="A2392" s="3" t="str">
        <x:v>2201006</x:v>
      </x:c>
      <x:c r="B2392" s="3" t="str">
        <x:v>SEC025</x:v>
      </x:c>
      <x:c r="C2392" s="3" t="n">
        <x:v>3</x:v>
      </x:c>
      <x:c r="D2392" s="3" t="str">
        <x:v>late</x:v>
      </x:c>
      <x:c r="E2392" s="5" t="str">
        <x:f>VLOOKUP(B2392,Sections!$A$5:$I$45,3,FALSE)</x:f>
        <x:v>2025-1</x:v>
      </x:c>
    </x:row>
    <x:row r="2393" ht="21" customHeight="1">
      <x:c r="A2393" s="3" t="str">
        <x:v>2201006</x:v>
      </x:c>
      <x:c r="B2393" s="3" t="str">
        <x:v>SEC025</x:v>
      </x:c>
      <x:c r="C2393" s="3" t="n">
        <x:v>4</x:v>
      </x:c>
      <x:c r="D2393" s="3" t="str">
        <x:v>present</x:v>
      </x:c>
      <x:c r="E2393" s="5" t="str">
        <x:f>VLOOKUP(B2393,Sections!$A$5:$I$45,3,FALSE)</x:f>
        <x:v>2025-1</x:v>
      </x:c>
    </x:row>
    <x:row r="2394" ht="21" customHeight="1">
      <x:c r="A2394" s="3" t="str">
        <x:v>2201006</x:v>
      </x:c>
      <x:c r="B2394" s="3" t="str">
        <x:v>SEC025</x:v>
      </x:c>
      <x:c r="C2394" s="3" t="n">
        <x:v>5</x:v>
      </x:c>
      <x:c r="D2394" s="3" t="str">
        <x:v>present</x:v>
      </x:c>
      <x:c r="E2394" s="5" t="str">
        <x:f>VLOOKUP(B2394,Sections!$A$5:$I$45,3,FALSE)</x:f>
        <x:v>2025-1</x:v>
      </x:c>
    </x:row>
    <x:row r="2395" ht="21" customHeight="1">
      <x:c r="A2395" s="3" t="str">
        <x:v>2201006</x:v>
      </x:c>
      <x:c r="B2395" s="3" t="str">
        <x:v>SEC025</x:v>
      </x:c>
      <x:c r="C2395" s="3" t="n">
        <x:v>6</x:v>
      </x:c>
      <x:c r="D2395" s="3" t="str">
        <x:v>present</x:v>
      </x:c>
      <x:c r="E2395" s="5" t="str">
        <x:f>VLOOKUP(B2395,Sections!$A$5:$I$45,3,FALSE)</x:f>
        <x:v>2025-1</x:v>
      </x:c>
    </x:row>
    <x:row r="2396" ht="21" customHeight="1">
      <x:c r="A2396" s="3" t="str">
        <x:v>2201006</x:v>
      </x:c>
      <x:c r="B2396" s="3" t="str">
        <x:v>SEC025</x:v>
      </x:c>
      <x:c r="C2396" s="3" t="n">
        <x:v>7</x:v>
      </x:c>
      <x:c r="D2396" s="3" t="str">
        <x:v>present</x:v>
      </x:c>
      <x:c r="E2396" s="5" t="str">
        <x:f>VLOOKUP(B2396,Sections!$A$5:$I$45,3,FALSE)</x:f>
        <x:v>2025-1</x:v>
      </x:c>
    </x:row>
    <x:row r="2397" ht="21" customHeight="1">
      <x:c r="A2397" s="3" t="str">
        <x:v>2201006</x:v>
      </x:c>
      <x:c r="B2397" s="3" t="str">
        <x:v>SEC025</x:v>
      </x:c>
      <x:c r="C2397" s="3" t="n">
        <x:v>8</x:v>
      </x:c>
      <x:c r="D2397" s="3" t="str">
        <x:v>late</x:v>
      </x:c>
      <x:c r="E2397" s="5" t="str">
        <x:f>VLOOKUP(B2397,Sections!$A$5:$I$45,3,FALSE)</x:f>
        <x:v>2025-1</x:v>
      </x:c>
    </x:row>
    <x:row r="2398" ht="21" customHeight="1">
      <x:c r="A2398" s="3" t="str">
        <x:v>2201006</x:v>
      </x:c>
      <x:c r="B2398" s="3" t="str">
        <x:v>SEC025</x:v>
      </x:c>
      <x:c r="C2398" s="3" t="n">
        <x:v>9</x:v>
      </x:c>
      <x:c r="D2398" s="3" t="str">
        <x:v>present</x:v>
      </x:c>
      <x:c r="E2398" s="5" t="str">
        <x:f>VLOOKUP(B2398,Sections!$A$5:$I$45,3,FALSE)</x:f>
        <x:v>2025-1</x:v>
      </x:c>
    </x:row>
    <x:row r="2399" ht="21" customHeight="1">
      <x:c r="A2399" s="3" t="str">
        <x:v>2201006</x:v>
      </x:c>
      <x:c r="B2399" s="3" t="str">
        <x:v>SEC025</x:v>
      </x:c>
      <x:c r="C2399" s="3" t="n">
        <x:v>10</x:v>
      </x:c>
      <x:c r="D2399" s="3" t="str">
        <x:v>present</x:v>
      </x:c>
      <x:c r="E2399" s="5" t="str">
        <x:f>VLOOKUP(B2399,Sections!$A$5:$I$45,3,FALSE)</x:f>
        <x:v>2025-1</x:v>
      </x:c>
    </x:row>
    <x:row r="2400" ht="21" customHeight="1">
      <x:c r="A2400" s="3" t="str">
        <x:v>2201006</x:v>
      </x:c>
      <x:c r="B2400" s="3" t="str">
        <x:v>SEC025</x:v>
      </x:c>
      <x:c r="C2400" s="3" t="n">
        <x:v>11</x:v>
      </x:c>
      <x:c r="D2400" s="3" t="str">
        <x:v>present</x:v>
      </x:c>
      <x:c r="E2400" s="5" t="str">
        <x:f>VLOOKUP(B2400,Sections!$A$5:$I$45,3,FALSE)</x:f>
        <x:v>2025-1</x:v>
      </x:c>
    </x:row>
    <x:row r="2401" ht="21" customHeight="1">
      <x:c r="A2401" s="3" t="str">
        <x:v>2201006</x:v>
      </x:c>
      <x:c r="B2401" s="3" t="str">
        <x:v>SEC025</x:v>
      </x:c>
      <x:c r="C2401" s="3" t="n">
        <x:v>12</x:v>
      </x:c>
      <x:c r="D2401" s="3" t="str">
        <x:v>present</x:v>
      </x:c>
      <x:c r="E2401" s="5" t="str">
        <x:f>VLOOKUP(B2401,Sections!$A$5:$I$45,3,FALSE)</x:f>
        <x:v>2025-1</x:v>
      </x:c>
    </x:row>
    <x:row r="2402" ht="21" customHeight="1">
      <x:c r="A2402" s="3" t="str">
        <x:v>2201006</x:v>
      </x:c>
      <x:c r="B2402" s="3" t="str">
        <x:v>SEC025</x:v>
      </x:c>
      <x:c r="C2402" s="3" t="n">
        <x:v>13</x:v>
      </x:c>
      <x:c r="D2402" s="3" t="str">
        <x:v>present</x:v>
      </x:c>
      <x:c r="E2402" s="5" t="str">
        <x:f>VLOOKUP(B2402,Sections!$A$5:$I$45,3,FALSE)</x:f>
        <x:v>2025-1</x:v>
      </x:c>
    </x:row>
    <x:row r="2403" ht="21" customHeight="1">
      <x:c r="A2403" s="3" t="str">
        <x:v>2201006</x:v>
      </x:c>
      <x:c r="B2403" s="3" t="str">
        <x:v>SEC025</x:v>
      </x:c>
      <x:c r="C2403" s="3" t="n">
        <x:v>14</x:v>
      </x:c>
      <x:c r="D2403" s="3" t="str">
        <x:v>late</x:v>
      </x:c>
      <x:c r="E2403" s="5" t="str">
        <x:f>VLOOKUP(B2403,Sections!$A$5:$I$45,3,FALSE)</x:f>
        <x:v>2025-1</x:v>
      </x:c>
    </x:row>
    <x:row r="2404" ht="21" customHeight="1">
      <x:c r="A2404" s="3" t="str">
        <x:v>2201006</x:v>
      </x:c>
      <x:c r="B2404" s="3" t="str">
        <x:v>SEC025</x:v>
      </x:c>
      <x:c r="C2404" s="3" t="n">
        <x:v>15</x:v>
      </x:c>
      <x:c r="D2404" s="3" t="str">
        <x:v>present</x:v>
      </x:c>
      <x:c r="E2404" s="5" t="str">
        <x:f>VLOOKUP(B2404,Sections!$A$5:$I$45,3,FALSE)</x:f>
        <x:v>2025-1</x:v>
      </x:c>
    </x:row>
    <x:row r="2405" ht="21" customHeight="1">
      <x:c r="A2405" s="3" t="str">
        <x:v>2201007</x:v>
      </x:c>
      <x:c r="B2405" s="3" t="str">
        <x:v>SEC025</x:v>
      </x:c>
      <x:c r="C2405" s="3" t="n">
        <x:v>1</x:v>
      </x:c>
      <x:c r="D2405" s="3" t="str">
        <x:v>present</x:v>
      </x:c>
      <x:c r="E2405" s="5" t="str">
        <x:f>VLOOKUP(B2405,Sections!$A$5:$I$45,3,FALSE)</x:f>
        <x:v>2025-1</x:v>
      </x:c>
    </x:row>
    <x:row r="2406" ht="21" customHeight="1">
      <x:c r="A2406" s="3" t="str">
        <x:v>2201007</x:v>
      </x:c>
      <x:c r="B2406" s="3" t="str">
        <x:v>SEC025</x:v>
      </x:c>
      <x:c r="C2406" s="3" t="n">
        <x:v>2</x:v>
      </x:c>
      <x:c r="D2406" s="3" t="str">
        <x:v>present</x:v>
      </x:c>
      <x:c r="E2406" s="5" t="str">
        <x:f>VLOOKUP(B2406,Sections!$A$5:$I$45,3,FALSE)</x:f>
        <x:v>2025-1</x:v>
      </x:c>
    </x:row>
    <x:row r="2407" ht="21" customHeight="1">
      <x:c r="A2407" s="3" t="str">
        <x:v>2201007</x:v>
      </x:c>
      <x:c r="B2407" s="3" t="str">
        <x:v>SEC025</x:v>
      </x:c>
      <x:c r="C2407" s="3" t="n">
        <x:v>3</x:v>
      </x:c>
      <x:c r="D2407" s="3" t="str">
        <x:v>present</x:v>
      </x:c>
      <x:c r="E2407" s="5" t="str">
        <x:f>VLOOKUP(B2407,Sections!$A$5:$I$45,3,FALSE)</x:f>
        <x:v>2025-1</x:v>
      </x:c>
    </x:row>
    <x:row r="2408" ht="21" customHeight="1">
      <x:c r="A2408" s="3" t="str">
        <x:v>2201007</x:v>
      </x:c>
      <x:c r="B2408" s="3" t="str">
        <x:v>SEC025</x:v>
      </x:c>
      <x:c r="C2408" s="3" t="n">
        <x:v>4</x:v>
      </x:c>
      <x:c r="D2408" s="3" t="str">
        <x:v>present</x:v>
      </x:c>
      <x:c r="E2408" s="5" t="str">
        <x:f>VLOOKUP(B2408,Sections!$A$5:$I$45,3,FALSE)</x:f>
        <x:v>2025-1</x:v>
      </x:c>
    </x:row>
    <x:row r="2409" ht="21" customHeight="1">
      <x:c r="A2409" s="3" t="str">
        <x:v>2201007</x:v>
      </x:c>
      <x:c r="B2409" s="3" t="str">
        <x:v>SEC025</x:v>
      </x:c>
      <x:c r="C2409" s="3" t="n">
        <x:v>5</x:v>
      </x:c>
      <x:c r="D2409" s="3" t="str">
        <x:v>present</x:v>
      </x:c>
      <x:c r="E2409" s="5" t="str">
        <x:f>VLOOKUP(B2409,Sections!$A$5:$I$45,3,FALSE)</x:f>
        <x:v>2025-1</x:v>
      </x:c>
    </x:row>
    <x:row r="2410" ht="21" customHeight="1">
      <x:c r="A2410" s="3" t="str">
        <x:v>2201007</x:v>
      </x:c>
      <x:c r="B2410" s="3" t="str">
        <x:v>SEC025</x:v>
      </x:c>
      <x:c r="C2410" s="3" t="n">
        <x:v>6</x:v>
      </x:c>
      <x:c r="D2410" s="3" t="str">
        <x:v>present</x:v>
      </x:c>
      <x:c r="E2410" s="5" t="str">
        <x:f>VLOOKUP(B2410,Sections!$A$5:$I$45,3,FALSE)</x:f>
        <x:v>2025-1</x:v>
      </x:c>
    </x:row>
    <x:row r="2411" ht="21" customHeight="1">
      <x:c r="A2411" s="3" t="str">
        <x:v>2201007</x:v>
      </x:c>
      <x:c r="B2411" s="3" t="str">
        <x:v>SEC025</x:v>
      </x:c>
      <x:c r="C2411" s="3" t="n">
        <x:v>7</x:v>
      </x:c>
      <x:c r="D2411" s="3" t="str">
        <x:v>present</x:v>
      </x:c>
      <x:c r="E2411" s="5" t="str">
        <x:f>VLOOKUP(B2411,Sections!$A$5:$I$45,3,FALSE)</x:f>
        <x:v>2025-1</x:v>
      </x:c>
    </x:row>
    <x:row r="2412" ht="21" customHeight="1">
      <x:c r="A2412" s="3" t="str">
        <x:v>2201007</x:v>
      </x:c>
      <x:c r="B2412" s="3" t="str">
        <x:v>SEC025</x:v>
      </x:c>
      <x:c r="C2412" s="3" t="n">
        <x:v>8</x:v>
      </x:c>
      <x:c r="D2412" s="3" t="str">
        <x:v>present</x:v>
      </x:c>
      <x:c r="E2412" s="5" t="str">
        <x:f>VLOOKUP(B2412,Sections!$A$5:$I$45,3,FALSE)</x:f>
        <x:v>2025-1</x:v>
      </x:c>
    </x:row>
    <x:row r="2413" ht="21" customHeight="1">
      <x:c r="A2413" s="3" t="str">
        <x:v>2201007</x:v>
      </x:c>
      <x:c r="B2413" s="3" t="str">
        <x:v>SEC025</x:v>
      </x:c>
      <x:c r="C2413" s="3" t="n">
        <x:v>9</x:v>
      </x:c>
      <x:c r="D2413" s="3" t="str">
        <x:v>present</x:v>
      </x:c>
      <x:c r="E2413" s="5" t="str">
        <x:f>VLOOKUP(B2413,Sections!$A$5:$I$45,3,FALSE)</x:f>
        <x:v>2025-1</x:v>
      </x:c>
    </x:row>
    <x:row r="2414" ht="21" customHeight="1">
      <x:c r="A2414" s="3" t="str">
        <x:v>2201007</x:v>
      </x:c>
      <x:c r="B2414" s="3" t="str">
        <x:v>SEC025</x:v>
      </x:c>
      <x:c r="C2414" s="3" t="n">
        <x:v>10</x:v>
      </x:c>
      <x:c r="D2414" s="3" t="str">
        <x:v>present</x:v>
      </x:c>
      <x:c r="E2414" s="5" t="str">
        <x:f>VLOOKUP(B2414,Sections!$A$5:$I$45,3,FALSE)</x:f>
        <x:v>2025-1</x:v>
      </x:c>
    </x:row>
    <x:row r="2415" ht="21" customHeight="1">
      <x:c r="A2415" s="3" t="str">
        <x:v>2201007</x:v>
      </x:c>
      <x:c r="B2415" s="3" t="str">
        <x:v>SEC025</x:v>
      </x:c>
      <x:c r="C2415" s="3" t="n">
        <x:v>11</x:v>
      </x:c>
      <x:c r="D2415" s="3" t="str">
        <x:v>present</x:v>
      </x:c>
      <x:c r="E2415" s="5" t="str">
        <x:f>VLOOKUP(B2415,Sections!$A$5:$I$45,3,FALSE)</x:f>
        <x:v>2025-1</x:v>
      </x:c>
    </x:row>
    <x:row r="2416" ht="21" customHeight="1">
      <x:c r="A2416" s="3" t="str">
        <x:v>2201007</x:v>
      </x:c>
      <x:c r="B2416" s="3" t="str">
        <x:v>SEC025</x:v>
      </x:c>
      <x:c r="C2416" s="3" t="n">
        <x:v>12</x:v>
      </x:c>
      <x:c r="D2416" s="3" t="str">
        <x:v>present</x:v>
      </x:c>
      <x:c r="E2416" s="5" t="str">
        <x:f>VLOOKUP(B2416,Sections!$A$5:$I$45,3,FALSE)</x:f>
        <x:v>2025-1</x:v>
      </x:c>
    </x:row>
    <x:row r="2417" ht="21" customHeight="1">
      <x:c r="A2417" s="3" t="str">
        <x:v>2201007</x:v>
      </x:c>
      <x:c r="B2417" s="3" t="str">
        <x:v>SEC025</x:v>
      </x:c>
      <x:c r="C2417" s="3" t="n">
        <x:v>13</x:v>
      </x:c>
      <x:c r="D2417" s="3" t="str">
        <x:v>present</x:v>
      </x:c>
      <x:c r="E2417" s="5" t="str">
        <x:f>VLOOKUP(B2417,Sections!$A$5:$I$45,3,FALSE)</x:f>
        <x:v>2025-1</x:v>
      </x:c>
    </x:row>
    <x:row r="2418" ht="21" customHeight="1">
      <x:c r="A2418" s="3" t="str">
        <x:v>2201007</x:v>
      </x:c>
      <x:c r="B2418" s="3" t="str">
        <x:v>SEC025</x:v>
      </x:c>
      <x:c r="C2418" s="3" t="n">
        <x:v>14</x:v>
      </x:c>
      <x:c r="D2418" s="3" t="str">
        <x:v>present</x:v>
      </x:c>
      <x:c r="E2418" s="5" t="str">
        <x:f>VLOOKUP(B2418,Sections!$A$5:$I$45,3,FALSE)</x:f>
        <x:v>2025-1</x:v>
      </x:c>
    </x:row>
    <x:row r="2419" ht="21" customHeight="1">
      <x:c r="A2419" s="3" t="str">
        <x:v>2201007</x:v>
      </x:c>
      <x:c r="B2419" s="3" t="str">
        <x:v>SEC025</x:v>
      </x:c>
      <x:c r="C2419" s="3" t="n">
        <x:v>15</x:v>
      </x:c>
      <x:c r="D2419" s="3" t="str">
        <x:v>present</x:v>
      </x:c>
      <x:c r="E2419" s="5" t="str">
        <x:f>VLOOKUP(B2419,Sections!$A$5:$I$45,3,FALSE)</x:f>
        <x:v>2025-1</x:v>
      </x:c>
    </x:row>
    <x:row r="2420" ht="21" customHeight="1">
      <x:c r="A2420" s="3" t="str">
        <x:v>2201008</x:v>
      </x:c>
      <x:c r="B2420" s="3" t="str">
        <x:v>SEC025</x:v>
      </x:c>
      <x:c r="C2420" s="3" t="n">
        <x:v>1</x:v>
      </x:c>
      <x:c r="D2420" s="3" t="str">
        <x:v>present</x:v>
      </x:c>
      <x:c r="E2420" s="5" t="str">
        <x:f>VLOOKUP(B2420,Sections!$A$5:$I$45,3,FALSE)</x:f>
        <x:v>2025-1</x:v>
      </x:c>
    </x:row>
    <x:row r="2421" ht="21" customHeight="1">
      <x:c r="A2421" s="3" t="str">
        <x:v>2201008</x:v>
      </x:c>
      <x:c r="B2421" s="3" t="str">
        <x:v>SEC025</x:v>
      </x:c>
      <x:c r="C2421" s="3" t="n">
        <x:v>2</x:v>
      </x:c>
      <x:c r="D2421" s="3" t="str">
        <x:v>late</x:v>
      </x:c>
      <x:c r="E2421" s="5" t="str">
        <x:f>VLOOKUP(B2421,Sections!$A$5:$I$45,3,FALSE)</x:f>
        <x:v>2025-1</x:v>
      </x:c>
    </x:row>
    <x:row r="2422" ht="21" customHeight="1">
      <x:c r="A2422" s="3" t="str">
        <x:v>2201008</x:v>
      </x:c>
      <x:c r="B2422" s="3" t="str">
        <x:v>SEC025</x:v>
      </x:c>
      <x:c r="C2422" s="3" t="n">
        <x:v>3</x:v>
      </x:c>
      <x:c r="D2422" s="3" t="str">
        <x:v>late</x:v>
      </x:c>
      <x:c r="E2422" s="5" t="str">
        <x:f>VLOOKUP(B2422,Sections!$A$5:$I$45,3,FALSE)</x:f>
        <x:v>2025-1</x:v>
      </x:c>
    </x:row>
    <x:row r="2423" ht="21" customHeight="1">
      <x:c r="A2423" s="3" t="str">
        <x:v>2201008</x:v>
      </x:c>
      <x:c r="B2423" s="3" t="str">
        <x:v>SEC025</x:v>
      </x:c>
      <x:c r="C2423" s="3" t="n">
        <x:v>4</x:v>
      </x:c>
      <x:c r="D2423" s="3" t="str">
        <x:v>present</x:v>
      </x:c>
      <x:c r="E2423" s="5" t="str">
        <x:f>VLOOKUP(B2423,Sections!$A$5:$I$45,3,FALSE)</x:f>
        <x:v>2025-1</x:v>
      </x:c>
    </x:row>
    <x:row r="2424" ht="21" customHeight="1">
      <x:c r="A2424" s="3" t="str">
        <x:v>2201008</x:v>
      </x:c>
      <x:c r="B2424" s="3" t="str">
        <x:v>SEC025</x:v>
      </x:c>
      <x:c r="C2424" s="3" t="n">
        <x:v>5</x:v>
      </x:c>
      <x:c r="D2424" s="3" t="str">
        <x:v>present</x:v>
      </x:c>
      <x:c r="E2424" s="5" t="str">
        <x:f>VLOOKUP(B2424,Sections!$A$5:$I$45,3,FALSE)</x:f>
        <x:v>2025-1</x:v>
      </x:c>
    </x:row>
    <x:row r="2425" ht="21" customHeight="1">
      <x:c r="A2425" s="3" t="str">
        <x:v>2201008</x:v>
      </x:c>
      <x:c r="B2425" s="3" t="str">
        <x:v>SEC025</x:v>
      </x:c>
      <x:c r="C2425" s="3" t="n">
        <x:v>6</x:v>
      </x:c>
      <x:c r="D2425" s="3" t="str">
        <x:v>present</x:v>
      </x:c>
      <x:c r="E2425" s="5" t="str">
        <x:f>VLOOKUP(B2425,Sections!$A$5:$I$45,3,FALSE)</x:f>
        <x:v>2025-1</x:v>
      </x:c>
    </x:row>
    <x:row r="2426" ht="21" customHeight="1">
      <x:c r="A2426" s="3" t="str">
        <x:v>2201008</x:v>
      </x:c>
      <x:c r="B2426" s="3" t="str">
        <x:v>SEC025</x:v>
      </x:c>
      <x:c r="C2426" s="3" t="n">
        <x:v>7</x:v>
      </x:c>
      <x:c r="D2426" s="3" t="str">
        <x:v>present</x:v>
      </x:c>
      <x:c r="E2426" s="5" t="str">
        <x:f>VLOOKUP(B2426,Sections!$A$5:$I$45,3,FALSE)</x:f>
        <x:v>2025-1</x:v>
      </x:c>
    </x:row>
    <x:row r="2427" ht="21" customHeight="1">
      <x:c r="A2427" s="3" t="str">
        <x:v>2201008</x:v>
      </x:c>
      <x:c r="B2427" s="3" t="str">
        <x:v>SEC025</x:v>
      </x:c>
      <x:c r="C2427" s="3" t="n">
        <x:v>8</x:v>
      </x:c>
      <x:c r="D2427" s="3" t="str">
        <x:v>present</x:v>
      </x:c>
      <x:c r="E2427" s="5" t="str">
        <x:f>VLOOKUP(B2427,Sections!$A$5:$I$45,3,FALSE)</x:f>
        <x:v>2025-1</x:v>
      </x:c>
    </x:row>
    <x:row r="2428" ht="21" customHeight="1">
      <x:c r="A2428" s="3" t="str">
        <x:v>2201008</x:v>
      </x:c>
      <x:c r="B2428" s="3" t="str">
        <x:v>SEC025</x:v>
      </x:c>
      <x:c r="C2428" s="3" t="n">
        <x:v>9</x:v>
      </x:c>
      <x:c r="D2428" s="3" t="str">
        <x:v>present</x:v>
      </x:c>
      <x:c r="E2428" s="5" t="str">
        <x:f>VLOOKUP(B2428,Sections!$A$5:$I$45,3,FALSE)</x:f>
        <x:v>2025-1</x:v>
      </x:c>
    </x:row>
    <x:row r="2429" ht="21" customHeight="1">
      <x:c r="A2429" s="3" t="str">
        <x:v>2201008</x:v>
      </x:c>
      <x:c r="B2429" s="3" t="str">
        <x:v>SEC025</x:v>
      </x:c>
      <x:c r="C2429" s="3" t="n">
        <x:v>10</x:v>
      </x:c>
      <x:c r="D2429" s="3" t="str">
        <x:v>present</x:v>
      </x:c>
      <x:c r="E2429" s="5" t="str">
        <x:f>VLOOKUP(B2429,Sections!$A$5:$I$45,3,FALSE)</x:f>
        <x:v>2025-1</x:v>
      </x:c>
    </x:row>
    <x:row r="2430" ht="21" customHeight="1">
      <x:c r="A2430" s="3" t="str">
        <x:v>2201008</x:v>
      </x:c>
      <x:c r="B2430" s="3" t="str">
        <x:v>SEC025</x:v>
      </x:c>
      <x:c r="C2430" s="3" t="n">
        <x:v>11</x:v>
      </x:c>
      <x:c r="D2430" s="3" t="str">
        <x:v>excused</x:v>
      </x:c>
      <x:c r="E2430" s="5" t="str">
        <x:f>VLOOKUP(B2430,Sections!$A$5:$I$45,3,FALSE)</x:f>
        <x:v>2025-1</x:v>
      </x:c>
    </x:row>
    <x:row r="2431" ht="21" customHeight="1">
      <x:c r="A2431" s="3" t="str">
        <x:v>2201008</x:v>
      </x:c>
      <x:c r="B2431" s="3" t="str">
        <x:v>SEC025</x:v>
      </x:c>
      <x:c r="C2431" s="3" t="n">
        <x:v>12</x:v>
      </x:c>
      <x:c r="D2431" s="3" t="str">
        <x:v>present</x:v>
      </x:c>
      <x:c r="E2431" s="5" t="str">
        <x:f>VLOOKUP(B2431,Sections!$A$5:$I$45,3,FALSE)</x:f>
        <x:v>2025-1</x:v>
      </x:c>
    </x:row>
    <x:row r="2432" ht="21" customHeight="1">
      <x:c r="A2432" s="3" t="str">
        <x:v>2201008</x:v>
      </x:c>
      <x:c r="B2432" s="3" t="str">
        <x:v>SEC025</x:v>
      </x:c>
      <x:c r="C2432" s="3" t="n">
        <x:v>13</x:v>
      </x:c>
      <x:c r="D2432" s="3" t="str">
        <x:v>present</x:v>
      </x:c>
      <x:c r="E2432" s="5" t="str">
        <x:f>VLOOKUP(B2432,Sections!$A$5:$I$45,3,FALSE)</x:f>
        <x:v>2025-1</x:v>
      </x:c>
    </x:row>
    <x:row r="2433" ht="21" customHeight="1">
      <x:c r="A2433" s="3" t="str">
        <x:v>2201008</x:v>
      </x:c>
      <x:c r="B2433" s="3" t="str">
        <x:v>SEC025</x:v>
      </x:c>
      <x:c r="C2433" s="3" t="n">
        <x:v>14</x:v>
      </x:c>
      <x:c r="D2433" s="3" t="str">
        <x:v>present</x:v>
      </x:c>
      <x:c r="E2433" s="5" t="str">
        <x:f>VLOOKUP(B2433,Sections!$A$5:$I$45,3,FALSE)</x:f>
        <x:v>2025-1</x:v>
      </x:c>
    </x:row>
    <x:row r="2434" ht="21" customHeight="1">
      <x:c r="A2434" s="3" t="str">
        <x:v>2201008</x:v>
      </x:c>
      <x:c r="B2434" s="3" t="str">
        <x:v>SEC025</x:v>
      </x:c>
      <x:c r="C2434" s="3" t="n">
        <x:v>15</x:v>
      </x:c>
      <x:c r="D2434" s="3" t="str">
        <x:v>present</x:v>
      </x:c>
      <x:c r="E2434" s="5" t="str">
        <x:f>VLOOKUP(B2434,Sections!$A$5:$I$45,3,FALSE)</x:f>
        <x:v>2025-1</x:v>
      </x:c>
    </x:row>
    <x:row r="2435" ht="21" customHeight="1">
      <x:c r="A2435" s="3" t="str">
        <x:v>2201009</x:v>
      </x:c>
      <x:c r="B2435" s="3" t="str">
        <x:v>SEC025</x:v>
      </x:c>
      <x:c r="C2435" s="3" t="n">
        <x:v>1</x:v>
      </x:c>
      <x:c r="D2435" s="3" t="str">
        <x:v>present</x:v>
      </x:c>
      <x:c r="E2435" s="5" t="str">
        <x:f>VLOOKUP(B2435,Sections!$A$5:$I$45,3,FALSE)</x:f>
        <x:v>2025-1</x:v>
      </x:c>
    </x:row>
    <x:row r="2436" ht="21" customHeight="1">
      <x:c r="A2436" s="3" t="str">
        <x:v>2201009</x:v>
      </x:c>
      <x:c r="B2436" s="3" t="str">
        <x:v>SEC025</x:v>
      </x:c>
      <x:c r="C2436" s="3" t="n">
        <x:v>2</x:v>
      </x:c>
      <x:c r="D2436" s="3" t="str">
        <x:v>present</x:v>
      </x:c>
      <x:c r="E2436" s="5" t="str">
        <x:f>VLOOKUP(B2436,Sections!$A$5:$I$45,3,FALSE)</x:f>
        <x:v>2025-1</x:v>
      </x:c>
    </x:row>
    <x:row r="2437" ht="21" customHeight="1">
      <x:c r="A2437" s="3" t="str">
        <x:v>2201009</x:v>
      </x:c>
      <x:c r="B2437" s="3" t="str">
        <x:v>SEC025</x:v>
      </x:c>
      <x:c r="C2437" s="3" t="n">
        <x:v>3</x:v>
      </x:c>
      <x:c r="D2437" s="3" t="str">
        <x:v>present</x:v>
      </x:c>
      <x:c r="E2437" s="5" t="str">
        <x:f>VLOOKUP(B2437,Sections!$A$5:$I$45,3,FALSE)</x:f>
        <x:v>2025-1</x:v>
      </x:c>
    </x:row>
    <x:row r="2438" ht="21" customHeight="1">
      <x:c r="A2438" s="3" t="str">
        <x:v>2201009</x:v>
      </x:c>
      <x:c r="B2438" s="3" t="str">
        <x:v>SEC025</x:v>
      </x:c>
      <x:c r="C2438" s="3" t="n">
        <x:v>4</x:v>
      </x:c>
      <x:c r="D2438" s="3" t="str">
        <x:v>present</x:v>
      </x:c>
      <x:c r="E2438" s="5" t="str">
        <x:f>VLOOKUP(B2438,Sections!$A$5:$I$45,3,FALSE)</x:f>
        <x:v>2025-1</x:v>
      </x:c>
    </x:row>
    <x:row r="2439" ht="21" customHeight="1">
      <x:c r="A2439" s="3" t="str">
        <x:v>2201009</x:v>
      </x:c>
      <x:c r="B2439" s="3" t="str">
        <x:v>SEC025</x:v>
      </x:c>
      <x:c r="C2439" s="3" t="n">
        <x:v>5</x:v>
      </x:c>
      <x:c r="D2439" s="3" t="str">
        <x:v>present</x:v>
      </x:c>
      <x:c r="E2439" s="5" t="str">
        <x:f>VLOOKUP(B2439,Sections!$A$5:$I$45,3,FALSE)</x:f>
        <x:v>2025-1</x:v>
      </x:c>
    </x:row>
    <x:row r="2440" ht="21" customHeight="1">
      <x:c r="A2440" s="3" t="str">
        <x:v>2201009</x:v>
      </x:c>
      <x:c r="B2440" s="3" t="str">
        <x:v>SEC025</x:v>
      </x:c>
      <x:c r="C2440" s="3" t="n">
        <x:v>6</x:v>
      </x:c>
      <x:c r="D2440" s="3" t="str">
        <x:v>present</x:v>
      </x:c>
      <x:c r="E2440" s="5" t="str">
        <x:f>VLOOKUP(B2440,Sections!$A$5:$I$45,3,FALSE)</x:f>
        <x:v>2025-1</x:v>
      </x:c>
    </x:row>
    <x:row r="2441" ht="21" customHeight="1">
      <x:c r="A2441" s="3" t="str">
        <x:v>2201009</x:v>
      </x:c>
      <x:c r="B2441" s="3" t="str">
        <x:v>SEC025</x:v>
      </x:c>
      <x:c r="C2441" s="3" t="n">
        <x:v>7</x:v>
      </x:c>
      <x:c r="D2441" s="3" t="str">
        <x:v>present</x:v>
      </x:c>
      <x:c r="E2441" s="5" t="str">
        <x:f>VLOOKUP(B2441,Sections!$A$5:$I$45,3,FALSE)</x:f>
        <x:v>2025-1</x:v>
      </x:c>
    </x:row>
    <x:row r="2442" ht="21" customHeight="1">
      <x:c r="A2442" s="3" t="str">
        <x:v>2201009</x:v>
      </x:c>
      <x:c r="B2442" s="3" t="str">
        <x:v>SEC025</x:v>
      </x:c>
      <x:c r="C2442" s="3" t="n">
        <x:v>8</x:v>
      </x:c>
      <x:c r="D2442" s="3" t="str">
        <x:v>present</x:v>
      </x:c>
      <x:c r="E2442" s="5" t="str">
        <x:f>VLOOKUP(B2442,Sections!$A$5:$I$45,3,FALSE)</x:f>
        <x:v>2025-1</x:v>
      </x:c>
    </x:row>
    <x:row r="2443" ht="21" customHeight="1">
      <x:c r="A2443" s="3" t="str">
        <x:v>2201009</x:v>
      </x:c>
      <x:c r="B2443" s="3" t="str">
        <x:v>SEC025</x:v>
      </x:c>
      <x:c r="C2443" s="3" t="n">
        <x:v>9</x:v>
      </x:c>
      <x:c r="D2443" s="3" t="str">
        <x:v>present</x:v>
      </x:c>
      <x:c r="E2443" s="5" t="str">
        <x:f>VLOOKUP(B2443,Sections!$A$5:$I$45,3,FALSE)</x:f>
        <x:v>2025-1</x:v>
      </x:c>
    </x:row>
    <x:row r="2444" ht="21" customHeight="1">
      <x:c r="A2444" s="3" t="str">
        <x:v>2201009</x:v>
      </x:c>
      <x:c r="B2444" s="3" t="str">
        <x:v>SEC025</x:v>
      </x:c>
      <x:c r="C2444" s="3" t="n">
        <x:v>10</x:v>
      </x:c>
      <x:c r="D2444" s="3" t="str">
        <x:v>present</x:v>
      </x:c>
      <x:c r="E2444" s="5" t="str">
        <x:f>VLOOKUP(B2444,Sections!$A$5:$I$45,3,FALSE)</x:f>
        <x:v>2025-1</x:v>
      </x:c>
    </x:row>
    <x:row r="2445" ht="21" customHeight="1">
      <x:c r="A2445" s="3" t="str">
        <x:v>2201009</x:v>
      </x:c>
      <x:c r="B2445" s="3" t="str">
        <x:v>SEC025</x:v>
      </x:c>
      <x:c r="C2445" s="3" t="n">
        <x:v>11</x:v>
      </x:c>
      <x:c r="D2445" s="3" t="str">
        <x:v>present</x:v>
      </x:c>
      <x:c r="E2445" s="5" t="str">
        <x:f>VLOOKUP(B2445,Sections!$A$5:$I$45,3,FALSE)</x:f>
        <x:v>2025-1</x:v>
      </x:c>
    </x:row>
    <x:row r="2446" ht="21" customHeight="1">
      <x:c r="A2446" s="3" t="str">
        <x:v>2201009</x:v>
      </x:c>
      <x:c r="B2446" s="3" t="str">
        <x:v>SEC025</x:v>
      </x:c>
      <x:c r="C2446" s="3" t="n">
        <x:v>12</x:v>
      </x:c>
      <x:c r="D2446" s="3" t="str">
        <x:v>present</x:v>
      </x:c>
      <x:c r="E2446" s="5" t="str">
        <x:f>VLOOKUP(B2446,Sections!$A$5:$I$45,3,FALSE)</x:f>
        <x:v>2025-1</x:v>
      </x:c>
    </x:row>
    <x:row r="2447" ht="21" customHeight="1">
      <x:c r="A2447" s="3" t="str">
        <x:v>2201009</x:v>
      </x:c>
      <x:c r="B2447" s="3" t="str">
        <x:v>SEC025</x:v>
      </x:c>
      <x:c r="C2447" s="3" t="n">
        <x:v>13</x:v>
      </x:c>
      <x:c r="D2447" s="3" t="str">
        <x:v>present</x:v>
      </x:c>
      <x:c r="E2447" s="5" t="str">
        <x:f>VLOOKUP(B2447,Sections!$A$5:$I$45,3,FALSE)</x:f>
        <x:v>2025-1</x:v>
      </x:c>
    </x:row>
    <x:row r="2448" ht="21" customHeight="1">
      <x:c r="A2448" s="3" t="str">
        <x:v>2201009</x:v>
      </x:c>
      <x:c r="B2448" s="3" t="str">
        <x:v>SEC025</x:v>
      </x:c>
      <x:c r="C2448" s="3" t="n">
        <x:v>14</x:v>
      </x:c>
      <x:c r="D2448" s="3" t="str">
        <x:v>present</x:v>
      </x:c>
      <x:c r="E2448" s="5" t="str">
        <x:f>VLOOKUP(B2448,Sections!$A$5:$I$45,3,FALSE)</x:f>
        <x:v>2025-1</x:v>
      </x:c>
    </x:row>
    <x:row r="2449" ht="21" customHeight="1">
      <x:c r="A2449" s="3" t="str">
        <x:v>2201009</x:v>
      </x:c>
      <x:c r="B2449" s="3" t="str">
        <x:v>SEC025</x:v>
      </x:c>
      <x:c r="C2449" s="3" t="n">
        <x:v>15</x:v>
      </x:c>
      <x:c r="D2449" s="3" t="str">
        <x:v>present</x:v>
      </x:c>
      <x:c r="E2449" s="5" t="str">
        <x:f>VLOOKUP(B2449,Sections!$A$5:$I$45,3,FALSE)</x:f>
        <x:v>2025-1</x:v>
      </x:c>
    </x:row>
    <x:row r="2450" ht="21" customHeight="1">
      <x:c r="A2450" s="3" t="str">
        <x:v>2201010</x:v>
      </x:c>
      <x:c r="B2450" s="3" t="str">
        <x:v>SEC025</x:v>
      </x:c>
      <x:c r="C2450" s="3" t="n">
        <x:v>1</x:v>
      </x:c>
      <x:c r="D2450" s="3" t="str">
        <x:v>late</x:v>
      </x:c>
      <x:c r="E2450" s="5" t="str">
        <x:f>VLOOKUP(B2450,Sections!$A$5:$I$45,3,FALSE)</x:f>
        <x:v>2025-1</x:v>
      </x:c>
    </x:row>
    <x:row r="2451" ht="21" customHeight="1">
      <x:c r="A2451" s="3" t="str">
        <x:v>2201010</x:v>
      </x:c>
      <x:c r="B2451" s="3" t="str">
        <x:v>SEC025</x:v>
      </x:c>
      <x:c r="C2451" s="3" t="n">
        <x:v>2</x:v>
      </x:c>
      <x:c r="D2451" s="3" t="str">
        <x:v>present</x:v>
      </x:c>
      <x:c r="E2451" s="5" t="str">
        <x:f>VLOOKUP(B2451,Sections!$A$5:$I$45,3,FALSE)</x:f>
        <x:v>2025-1</x:v>
      </x:c>
    </x:row>
    <x:row r="2452" ht="21" customHeight="1">
      <x:c r="A2452" s="3" t="str">
        <x:v>2201010</x:v>
      </x:c>
      <x:c r="B2452" s="3" t="str">
        <x:v>SEC025</x:v>
      </x:c>
      <x:c r="C2452" s="3" t="n">
        <x:v>3</x:v>
      </x:c>
      <x:c r="D2452" s="3" t="str">
        <x:v>present</x:v>
      </x:c>
      <x:c r="E2452" s="5" t="str">
        <x:f>VLOOKUP(B2452,Sections!$A$5:$I$45,3,FALSE)</x:f>
        <x:v>2025-1</x:v>
      </x:c>
    </x:row>
    <x:row r="2453" ht="21" customHeight="1">
      <x:c r="A2453" s="3" t="str">
        <x:v>2201010</x:v>
      </x:c>
      <x:c r="B2453" s="3" t="str">
        <x:v>SEC025</x:v>
      </x:c>
      <x:c r="C2453" s="3" t="n">
        <x:v>4</x:v>
      </x:c>
      <x:c r="D2453" s="3" t="str">
        <x:v>absent</x:v>
      </x:c>
      <x:c r="E2453" s="5" t="str">
        <x:f>VLOOKUP(B2453,Sections!$A$5:$I$45,3,FALSE)</x:f>
        <x:v>2025-1</x:v>
      </x:c>
    </x:row>
    <x:row r="2454" ht="21" customHeight="1">
      <x:c r="A2454" s="3" t="str">
        <x:v>2201010</x:v>
      </x:c>
      <x:c r="B2454" s="3" t="str">
        <x:v>SEC025</x:v>
      </x:c>
      <x:c r="C2454" s="3" t="n">
        <x:v>5</x:v>
      </x:c>
      <x:c r="D2454" s="3" t="str">
        <x:v>excused</x:v>
      </x:c>
      <x:c r="E2454" s="5" t="str">
        <x:f>VLOOKUP(B2454,Sections!$A$5:$I$45,3,FALSE)</x:f>
        <x:v>2025-1</x:v>
      </x:c>
    </x:row>
    <x:row r="2455" ht="21" customHeight="1">
      <x:c r="A2455" s="3" t="str">
        <x:v>2201010</x:v>
      </x:c>
      <x:c r="B2455" s="3" t="str">
        <x:v>SEC025</x:v>
      </x:c>
      <x:c r="C2455" s="3" t="n">
        <x:v>6</x:v>
      </x:c>
      <x:c r="D2455" s="3" t="str">
        <x:v>present</x:v>
      </x:c>
      <x:c r="E2455" s="5" t="str">
        <x:f>VLOOKUP(B2455,Sections!$A$5:$I$45,3,FALSE)</x:f>
        <x:v>2025-1</x:v>
      </x:c>
    </x:row>
    <x:row r="2456" ht="21" customHeight="1">
      <x:c r="A2456" s="3" t="str">
        <x:v>2201010</x:v>
      </x:c>
      <x:c r="B2456" s="3" t="str">
        <x:v>SEC025</x:v>
      </x:c>
      <x:c r="C2456" s="3" t="n">
        <x:v>7</x:v>
      </x:c>
      <x:c r="D2456" s="3" t="str">
        <x:v>late</x:v>
      </x:c>
      <x:c r="E2456" s="5" t="str">
        <x:f>VLOOKUP(B2456,Sections!$A$5:$I$45,3,FALSE)</x:f>
        <x:v>2025-1</x:v>
      </x:c>
    </x:row>
    <x:row r="2457" ht="21" customHeight="1">
      <x:c r="A2457" s="3" t="str">
        <x:v>2201010</x:v>
      </x:c>
      <x:c r="B2457" s="3" t="str">
        <x:v>SEC025</x:v>
      </x:c>
      <x:c r="C2457" s="3" t="n">
        <x:v>8</x:v>
      </x:c>
      <x:c r="D2457" s="3" t="str">
        <x:v>late</x:v>
      </x:c>
      <x:c r="E2457" s="5" t="str">
        <x:f>VLOOKUP(B2457,Sections!$A$5:$I$45,3,FALSE)</x:f>
        <x:v>2025-1</x:v>
      </x:c>
    </x:row>
    <x:row r="2458" ht="21" customHeight="1">
      <x:c r="A2458" s="3" t="str">
        <x:v>2201010</x:v>
      </x:c>
      <x:c r="B2458" s="3" t="str">
        <x:v>SEC025</x:v>
      </x:c>
      <x:c r="C2458" s="3" t="n">
        <x:v>9</x:v>
      </x:c>
      <x:c r="D2458" s="3" t="str">
        <x:v>present</x:v>
      </x:c>
      <x:c r="E2458" s="5" t="str">
        <x:f>VLOOKUP(B2458,Sections!$A$5:$I$45,3,FALSE)</x:f>
        <x:v>2025-1</x:v>
      </x:c>
    </x:row>
    <x:row r="2459" ht="21" customHeight="1">
      <x:c r="A2459" s="3" t="str">
        <x:v>2201010</x:v>
      </x:c>
      <x:c r="B2459" s="3" t="str">
        <x:v>SEC025</x:v>
      </x:c>
      <x:c r="C2459" s="3" t="n">
        <x:v>10</x:v>
      </x:c>
      <x:c r="D2459" s="3" t="str">
        <x:v>present</x:v>
      </x:c>
      <x:c r="E2459" s="5" t="str">
        <x:f>VLOOKUP(B2459,Sections!$A$5:$I$45,3,FALSE)</x:f>
        <x:v>2025-1</x:v>
      </x:c>
    </x:row>
    <x:row r="2460" ht="21" customHeight="1">
      <x:c r="A2460" s="3" t="str">
        <x:v>2201010</x:v>
      </x:c>
      <x:c r="B2460" s="3" t="str">
        <x:v>SEC025</x:v>
      </x:c>
      <x:c r="C2460" s="3" t="n">
        <x:v>11</x:v>
      </x:c>
      <x:c r="D2460" s="3" t="str">
        <x:v>excused</x:v>
      </x:c>
      <x:c r="E2460" s="5" t="str">
        <x:f>VLOOKUP(B2460,Sections!$A$5:$I$45,3,FALSE)</x:f>
        <x:v>2025-1</x:v>
      </x:c>
    </x:row>
    <x:row r="2461" ht="21" customHeight="1">
      <x:c r="A2461" s="3" t="str">
        <x:v>2201010</x:v>
      </x:c>
      <x:c r="B2461" s="3" t="str">
        <x:v>SEC025</x:v>
      </x:c>
      <x:c r="C2461" s="3" t="n">
        <x:v>12</x:v>
      </x:c>
      <x:c r="D2461" s="3" t="str">
        <x:v>present</x:v>
      </x:c>
      <x:c r="E2461" s="5" t="str">
        <x:f>VLOOKUP(B2461,Sections!$A$5:$I$45,3,FALSE)</x:f>
        <x:v>2025-1</x:v>
      </x:c>
    </x:row>
    <x:row r="2462" ht="21" customHeight="1">
      <x:c r="A2462" s="3" t="str">
        <x:v>2201010</x:v>
      </x:c>
      <x:c r="B2462" s="3" t="str">
        <x:v>SEC025</x:v>
      </x:c>
      <x:c r="C2462" s="3" t="n">
        <x:v>13</x:v>
      </x:c>
      <x:c r="D2462" s="3" t="str">
        <x:v>present</x:v>
      </x:c>
      <x:c r="E2462" s="5" t="str">
        <x:f>VLOOKUP(B2462,Sections!$A$5:$I$45,3,FALSE)</x:f>
        <x:v>2025-1</x:v>
      </x:c>
    </x:row>
    <x:row r="2463" ht="21" customHeight="1">
      <x:c r="A2463" s="3" t="str">
        <x:v>2201010</x:v>
      </x:c>
      <x:c r="B2463" s="3" t="str">
        <x:v>SEC025</x:v>
      </x:c>
      <x:c r="C2463" s="3" t="n">
        <x:v>14</x:v>
      </x:c>
      <x:c r="D2463" s="3" t="str">
        <x:v>present</x:v>
      </x:c>
      <x:c r="E2463" s="5" t="str">
        <x:f>VLOOKUP(B2463,Sections!$A$5:$I$45,3,FALSE)</x:f>
        <x:v>2025-1</x:v>
      </x:c>
    </x:row>
    <x:row r="2464" ht="21" customHeight="1">
      <x:c r="A2464" s="3" t="str">
        <x:v>2201010</x:v>
      </x:c>
      <x:c r="B2464" s="3" t="str">
        <x:v>SEC025</x:v>
      </x:c>
      <x:c r="C2464" s="3" t="n">
        <x:v>15</x:v>
      </x:c>
      <x:c r="D2464" s="3" t="str">
        <x:v>late</x:v>
      </x:c>
      <x:c r="E2464" s="5" t="str">
        <x:f>VLOOKUP(B2464,Sections!$A$5:$I$45,3,FALSE)</x:f>
        <x:v>2025-1</x:v>
      </x:c>
    </x:row>
    <x:row r="2465" ht="21" customHeight="1">
      <x:c r="A2465" s="3" t="str">
        <x:v>2201011</x:v>
      </x:c>
      <x:c r="B2465" s="3" t="str">
        <x:v>SEC026</x:v>
      </x:c>
      <x:c r="C2465" s="3" t="n">
        <x:v>1</x:v>
      </x:c>
      <x:c r="D2465" s="3" t="str">
        <x:v>present</x:v>
      </x:c>
      <x:c r="E2465" s="5" t="str">
        <x:f>VLOOKUP(B2465,Sections!$A$5:$I$45,3,FALSE)</x:f>
        <x:v>2025-1</x:v>
      </x:c>
    </x:row>
    <x:row r="2466" ht="21" customHeight="1">
      <x:c r="A2466" s="3" t="str">
        <x:v>2201011</x:v>
      </x:c>
      <x:c r="B2466" s="3" t="str">
        <x:v>SEC026</x:v>
      </x:c>
      <x:c r="C2466" s="3" t="n">
        <x:v>2</x:v>
      </x:c>
      <x:c r="D2466" s="3" t="str">
        <x:v>present</x:v>
      </x:c>
      <x:c r="E2466" s="5" t="str">
        <x:f>VLOOKUP(B2466,Sections!$A$5:$I$45,3,FALSE)</x:f>
        <x:v>2025-1</x:v>
      </x:c>
    </x:row>
    <x:row r="2467" ht="21" customHeight="1">
      <x:c r="A2467" s="3" t="str">
        <x:v>2201011</x:v>
      </x:c>
      <x:c r="B2467" s="3" t="str">
        <x:v>SEC026</x:v>
      </x:c>
      <x:c r="C2467" s="3" t="n">
        <x:v>3</x:v>
      </x:c>
      <x:c r="D2467" s="3" t="str">
        <x:v>present</x:v>
      </x:c>
      <x:c r="E2467" s="5" t="str">
        <x:f>VLOOKUP(B2467,Sections!$A$5:$I$45,3,FALSE)</x:f>
        <x:v>2025-1</x:v>
      </x:c>
    </x:row>
    <x:row r="2468" ht="21" customHeight="1">
      <x:c r="A2468" s="3" t="str">
        <x:v>2201011</x:v>
      </x:c>
      <x:c r="B2468" s="3" t="str">
        <x:v>SEC026</x:v>
      </x:c>
      <x:c r="C2468" s="3" t="n">
        <x:v>4</x:v>
      </x:c>
      <x:c r="D2468" s="3" t="str">
        <x:v>present</x:v>
      </x:c>
      <x:c r="E2468" s="5" t="str">
        <x:f>VLOOKUP(B2468,Sections!$A$5:$I$45,3,FALSE)</x:f>
        <x:v>2025-1</x:v>
      </x:c>
    </x:row>
    <x:row r="2469" ht="21" customHeight="1">
      <x:c r="A2469" s="3" t="str">
        <x:v>2201011</x:v>
      </x:c>
      <x:c r="B2469" s="3" t="str">
        <x:v>SEC026</x:v>
      </x:c>
      <x:c r="C2469" s="3" t="n">
        <x:v>5</x:v>
      </x:c>
      <x:c r="D2469" s="3" t="str">
        <x:v>present</x:v>
      </x:c>
      <x:c r="E2469" s="5" t="str">
        <x:f>VLOOKUP(B2469,Sections!$A$5:$I$45,3,FALSE)</x:f>
        <x:v>2025-1</x:v>
      </x:c>
    </x:row>
    <x:row r="2470" ht="21" customHeight="1">
      <x:c r="A2470" s="3" t="str">
        <x:v>2201011</x:v>
      </x:c>
      <x:c r="B2470" s="3" t="str">
        <x:v>SEC026</x:v>
      </x:c>
      <x:c r="C2470" s="3" t="n">
        <x:v>6</x:v>
      </x:c>
      <x:c r="D2470" s="3" t="str">
        <x:v>present</x:v>
      </x:c>
      <x:c r="E2470" s="5" t="str">
        <x:f>VLOOKUP(B2470,Sections!$A$5:$I$45,3,FALSE)</x:f>
        <x:v>2025-1</x:v>
      </x:c>
    </x:row>
    <x:row r="2471" ht="21" customHeight="1">
      <x:c r="A2471" s="3" t="str">
        <x:v>2201011</x:v>
      </x:c>
      <x:c r="B2471" s="3" t="str">
        <x:v>SEC026</x:v>
      </x:c>
      <x:c r="C2471" s="3" t="n">
        <x:v>7</x:v>
      </x:c>
      <x:c r="D2471" s="3" t="str">
        <x:v>present</x:v>
      </x:c>
      <x:c r="E2471" s="5" t="str">
        <x:f>VLOOKUP(B2471,Sections!$A$5:$I$45,3,FALSE)</x:f>
        <x:v>2025-1</x:v>
      </x:c>
    </x:row>
    <x:row r="2472" ht="21" customHeight="1">
      <x:c r="A2472" s="3" t="str">
        <x:v>2201011</x:v>
      </x:c>
      <x:c r="B2472" s="3" t="str">
        <x:v>SEC026</x:v>
      </x:c>
      <x:c r="C2472" s="3" t="n">
        <x:v>8</x:v>
      </x:c>
      <x:c r="D2472" s="3" t="str">
        <x:v>present</x:v>
      </x:c>
      <x:c r="E2472" s="5" t="str">
        <x:f>VLOOKUP(B2472,Sections!$A$5:$I$45,3,FALSE)</x:f>
        <x:v>2025-1</x:v>
      </x:c>
    </x:row>
    <x:row r="2473" ht="21" customHeight="1">
      <x:c r="A2473" s="3" t="str">
        <x:v>2201011</x:v>
      </x:c>
      <x:c r="B2473" s="3" t="str">
        <x:v>SEC026</x:v>
      </x:c>
      <x:c r="C2473" s="3" t="n">
        <x:v>9</x:v>
      </x:c>
      <x:c r="D2473" s="3" t="str">
        <x:v>present</x:v>
      </x:c>
      <x:c r="E2473" s="5" t="str">
        <x:f>VLOOKUP(B2473,Sections!$A$5:$I$45,3,FALSE)</x:f>
        <x:v>2025-1</x:v>
      </x:c>
    </x:row>
    <x:row r="2474" ht="21" customHeight="1">
      <x:c r="A2474" s="3" t="str">
        <x:v>2201011</x:v>
      </x:c>
      <x:c r="B2474" s="3" t="str">
        <x:v>SEC026</x:v>
      </x:c>
      <x:c r="C2474" s="3" t="n">
        <x:v>10</x:v>
      </x:c>
      <x:c r="D2474" s="3" t="str">
        <x:v>present</x:v>
      </x:c>
      <x:c r="E2474" s="5" t="str">
        <x:f>VLOOKUP(B2474,Sections!$A$5:$I$45,3,FALSE)</x:f>
        <x:v>2025-1</x:v>
      </x:c>
    </x:row>
    <x:row r="2475" ht="21" customHeight="1">
      <x:c r="A2475" s="3" t="str">
        <x:v>2201011</x:v>
      </x:c>
      <x:c r="B2475" s="3" t="str">
        <x:v>SEC026</x:v>
      </x:c>
      <x:c r="C2475" s="3" t="n">
        <x:v>11</x:v>
      </x:c>
      <x:c r="D2475" s="3" t="str">
        <x:v>present</x:v>
      </x:c>
      <x:c r="E2475" s="5" t="str">
        <x:f>VLOOKUP(B2475,Sections!$A$5:$I$45,3,FALSE)</x:f>
        <x:v>2025-1</x:v>
      </x:c>
    </x:row>
    <x:row r="2476" ht="21" customHeight="1">
      <x:c r="A2476" s="3" t="str">
        <x:v>2201011</x:v>
      </x:c>
      <x:c r="B2476" s="3" t="str">
        <x:v>SEC026</x:v>
      </x:c>
      <x:c r="C2476" s="3" t="n">
        <x:v>12</x:v>
      </x:c>
      <x:c r="D2476" s="3" t="str">
        <x:v>present</x:v>
      </x:c>
      <x:c r="E2476" s="5" t="str">
        <x:f>VLOOKUP(B2476,Sections!$A$5:$I$45,3,FALSE)</x:f>
        <x:v>2025-1</x:v>
      </x:c>
    </x:row>
    <x:row r="2477" ht="21" customHeight="1">
      <x:c r="A2477" s="3" t="str">
        <x:v>2201011</x:v>
      </x:c>
      <x:c r="B2477" s="3" t="str">
        <x:v>SEC026</x:v>
      </x:c>
      <x:c r="C2477" s="3" t="n">
        <x:v>13</x:v>
      </x:c>
      <x:c r="D2477" s="3" t="str">
        <x:v>present</x:v>
      </x:c>
      <x:c r="E2477" s="5" t="str">
        <x:f>VLOOKUP(B2477,Sections!$A$5:$I$45,3,FALSE)</x:f>
        <x:v>2025-1</x:v>
      </x:c>
    </x:row>
    <x:row r="2478" ht="21" customHeight="1">
      <x:c r="A2478" s="3" t="str">
        <x:v>2201011</x:v>
      </x:c>
      <x:c r="B2478" s="3" t="str">
        <x:v>SEC026</x:v>
      </x:c>
      <x:c r="C2478" s="3" t="n">
        <x:v>14</x:v>
      </x:c>
      <x:c r="D2478" s="3" t="str">
        <x:v>present</x:v>
      </x:c>
      <x:c r="E2478" s="5" t="str">
        <x:f>VLOOKUP(B2478,Sections!$A$5:$I$45,3,FALSE)</x:f>
        <x:v>2025-1</x:v>
      </x:c>
    </x:row>
    <x:row r="2479" ht="21" customHeight="1">
      <x:c r="A2479" s="3" t="str">
        <x:v>2201011</x:v>
      </x:c>
      <x:c r="B2479" s="3" t="str">
        <x:v>SEC026</x:v>
      </x:c>
      <x:c r="C2479" s="3" t="n">
        <x:v>15</x:v>
      </x:c>
      <x:c r="D2479" s="3" t="str">
        <x:v>absent</x:v>
      </x:c>
      <x:c r="E2479" s="5" t="str">
        <x:f>VLOOKUP(B2479,Sections!$A$5:$I$45,3,FALSE)</x:f>
        <x:v>2025-1</x:v>
      </x:c>
    </x:row>
    <x:row r="2480" ht="21" customHeight="1">
      <x:c r="A2480" s="3" t="str">
        <x:v>2201012</x:v>
      </x:c>
      <x:c r="B2480" s="3" t="str">
        <x:v>SEC026</x:v>
      </x:c>
      <x:c r="C2480" s="3" t="n">
        <x:v>1</x:v>
      </x:c>
      <x:c r="D2480" s="3" t="str">
        <x:v>present</x:v>
      </x:c>
      <x:c r="E2480" s="5" t="str">
        <x:f>VLOOKUP(B2480,Sections!$A$5:$I$45,3,FALSE)</x:f>
        <x:v>2025-1</x:v>
      </x:c>
    </x:row>
    <x:row r="2481" ht="21" customHeight="1">
      <x:c r="A2481" s="3" t="str">
        <x:v>2201012</x:v>
      </x:c>
      <x:c r="B2481" s="3" t="str">
        <x:v>SEC026</x:v>
      </x:c>
      <x:c r="C2481" s="3" t="n">
        <x:v>2</x:v>
      </x:c>
      <x:c r="D2481" s="3" t="str">
        <x:v>present</x:v>
      </x:c>
      <x:c r="E2481" s="5" t="str">
        <x:f>VLOOKUP(B2481,Sections!$A$5:$I$45,3,FALSE)</x:f>
        <x:v>2025-1</x:v>
      </x:c>
    </x:row>
    <x:row r="2482" ht="21" customHeight="1">
      <x:c r="A2482" s="3" t="str">
        <x:v>2201012</x:v>
      </x:c>
      <x:c r="B2482" s="3" t="str">
        <x:v>SEC026</x:v>
      </x:c>
      <x:c r="C2482" s="3" t="n">
        <x:v>3</x:v>
      </x:c>
      <x:c r="D2482" s="3" t="str">
        <x:v>present</x:v>
      </x:c>
      <x:c r="E2482" s="5" t="str">
        <x:f>VLOOKUP(B2482,Sections!$A$5:$I$45,3,FALSE)</x:f>
        <x:v>2025-1</x:v>
      </x:c>
    </x:row>
    <x:row r="2483" ht="21" customHeight="1">
      <x:c r="A2483" s="3" t="str">
        <x:v>2201012</x:v>
      </x:c>
      <x:c r="B2483" s="3" t="str">
        <x:v>SEC026</x:v>
      </x:c>
      <x:c r="C2483" s="3" t="n">
        <x:v>4</x:v>
      </x:c>
      <x:c r="D2483" s="3" t="str">
        <x:v>excused</x:v>
      </x:c>
      <x:c r="E2483" s="5" t="str">
        <x:f>VLOOKUP(B2483,Sections!$A$5:$I$45,3,FALSE)</x:f>
        <x:v>2025-1</x:v>
      </x:c>
    </x:row>
    <x:row r="2484" ht="21" customHeight="1">
      <x:c r="A2484" s="3" t="str">
        <x:v>2201012</x:v>
      </x:c>
      <x:c r="B2484" s="3" t="str">
        <x:v>SEC026</x:v>
      </x:c>
      <x:c r="C2484" s="3" t="n">
        <x:v>5</x:v>
      </x:c>
      <x:c r="D2484" s="3" t="str">
        <x:v>present</x:v>
      </x:c>
      <x:c r="E2484" s="5" t="str">
        <x:f>VLOOKUP(B2484,Sections!$A$5:$I$45,3,FALSE)</x:f>
        <x:v>2025-1</x:v>
      </x:c>
    </x:row>
    <x:row r="2485" ht="21" customHeight="1">
      <x:c r="A2485" s="3" t="str">
        <x:v>2201012</x:v>
      </x:c>
      <x:c r="B2485" s="3" t="str">
        <x:v>SEC026</x:v>
      </x:c>
      <x:c r="C2485" s="3" t="n">
        <x:v>6</x:v>
      </x:c>
      <x:c r="D2485" s="3" t="str">
        <x:v>excused</x:v>
      </x:c>
      <x:c r="E2485" s="5" t="str">
        <x:f>VLOOKUP(B2485,Sections!$A$5:$I$45,3,FALSE)</x:f>
        <x:v>2025-1</x:v>
      </x:c>
    </x:row>
    <x:row r="2486" ht="21" customHeight="1">
      <x:c r="A2486" s="3" t="str">
        <x:v>2201012</x:v>
      </x:c>
      <x:c r="B2486" s="3" t="str">
        <x:v>SEC026</x:v>
      </x:c>
      <x:c r="C2486" s="3" t="n">
        <x:v>7</x:v>
      </x:c>
      <x:c r="D2486" s="3" t="str">
        <x:v>present</x:v>
      </x:c>
      <x:c r="E2486" s="5" t="str">
        <x:f>VLOOKUP(B2486,Sections!$A$5:$I$45,3,FALSE)</x:f>
        <x:v>2025-1</x:v>
      </x:c>
    </x:row>
    <x:row r="2487" ht="21" customHeight="1">
      <x:c r="A2487" s="3" t="str">
        <x:v>2201012</x:v>
      </x:c>
      <x:c r="B2487" s="3" t="str">
        <x:v>SEC026</x:v>
      </x:c>
      <x:c r="C2487" s="3" t="n">
        <x:v>8</x:v>
      </x:c>
      <x:c r="D2487" s="3" t="str">
        <x:v>present</x:v>
      </x:c>
      <x:c r="E2487" s="5" t="str">
        <x:f>VLOOKUP(B2487,Sections!$A$5:$I$45,3,FALSE)</x:f>
        <x:v>2025-1</x:v>
      </x:c>
    </x:row>
    <x:row r="2488" ht="21" customHeight="1">
      <x:c r="A2488" s="3" t="str">
        <x:v>2201012</x:v>
      </x:c>
      <x:c r="B2488" s="3" t="str">
        <x:v>SEC026</x:v>
      </x:c>
      <x:c r="C2488" s="3" t="n">
        <x:v>9</x:v>
      </x:c>
      <x:c r="D2488" s="3" t="str">
        <x:v>present</x:v>
      </x:c>
      <x:c r="E2488" s="5" t="str">
        <x:f>VLOOKUP(B2488,Sections!$A$5:$I$45,3,FALSE)</x:f>
        <x:v>2025-1</x:v>
      </x:c>
    </x:row>
    <x:row r="2489" ht="21" customHeight="1">
      <x:c r="A2489" s="3" t="str">
        <x:v>2201012</x:v>
      </x:c>
      <x:c r="B2489" s="3" t="str">
        <x:v>SEC026</x:v>
      </x:c>
      <x:c r="C2489" s="3" t="n">
        <x:v>10</x:v>
      </x:c>
      <x:c r="D2489" s="3" t="str">
        <x:v>present</x:v>
      </x:c>
      <x:c r="E2489" s="5" t="str">
        <x:f>VLOOKUP(B2489,Sections!$A$5:$I$45,3,FALSE)</x:f>
        <x:v>2025-1</x:v>
      </x:c>
    </x:row>
    <x:row r="2490" ht="21" customHeight="1">
      <x:c r="A2490" s="3" t="str">
        <x:v>2201012</x:v>
      </x:c>
      <x:c r="B2490" s="3" t="str">
        <x:v>SEC026</x:v>
      </x:c>
      <x:c r="C2490" s="3" t="n">
        <x:v>11</x:v>
      </x:c>
      <x:c r="D2490" s="3" t="str">
        <x:v>present</x:v>
      </x:c>
      <x:c r="E2490" s="5" t="str">
        <x:f>VLOOKUP(B2490,Sections!$A$5:$I$45,3,FALSE)</x:f>
        <x:v>2025-1</x:v>
      </x:c>
    </x:row>
    <x:row r="2491" ht="21" customHeight="1">
      <x:c r="A2491" s="3" t="str">
        <x:v>2201012</x:v>
      </x:c>
      <x:c r="B2491" s="3" t="str">
        <x:v>SEC026</x:v>
      </x:c>
      <x:c r="C2491" s="3" t="n">
        <x:v>12</x:v>
      </x:c>
      <x:c r="D2491" s="3" t="str">
        <x:v>present</x:v>
      </x:c>
      <x:c r="E2491" s="5" t="str">
        <x:f>VLOOKUP(B2491,Sections!$A$5:$I$45,3,FALSE)</x:f>
        <x:v>2025-1</x:v>
      </x:c>
    </x:row>
    <x:row r="2492" ht="21" customHeight="1">
      <x:c r="A2492" s="3" t="str">
        <x:v>2201012</x:v>
      </x:c>
      <x:c r="B2492" s="3" t="str">
        <x:v>SEC026</x:v>
      </x:c>
      <x:c r="C2492" s="3" t="n">
        <x:v>13</x:v>
      </x:c>
      <x:c r="D2492" s="3" t="str">
        <x:v>present</x:v>
      </x:c>
      <x:c r="E2492" s="5" t="str">
        <x:f>VLOOKUP(B2492,Sections!$A$5:$I$45,3,FALSE)</x:f>
        <x:v>2025-1</x:v>
      </x:c>
    </x:row>
    <x:row r="2493" ht="21" customHeight="1">
      <x:c r="A2493" s="3" t="str">
        <x:v>2201012</x:v>
      </x:c>
      <x:c r="B2493" s="3" t="str">
        <x:v>SEC026</x:v>
      </x:c>
      <x:c r="C2493" s="3" t="n">
        <x:v>14</x:v>
      </x:c>
      <x:c r="D2493" s="3" t="str">
        <x:v>present</x:v>
      </x:c>
      <x:c r="E2493" s="5" t="str">
        <x:f>VLOOKUP(B2493,Sections!$A$5:$I$45,3,FALSE)</x:f>
        <x:v>2025-1</x:v>
      </x:c>
    </x:row>
    <x:row r="2494" ht="21" customHeight="1">
      <x:c r="A2494" s="3" t="str">
        <x:v>2201012</x:v>
      </x:c>
      <x:c r="B2494" s="3" t="str">
        <x:v>SEC026</x:v>
      </x:c>
      <x:c r="C2494" s="3" t="n">
        <x:v>15</x:v>
      </x:c>
      <x:c r="D2494" s="3" t="str">
        <x:v>present</x:v>
      </x:c>
      <x:c r="E2494" s="5" t="str">
        <x:f>VLOOKUP(B2494,Sections!$A$5:$I$45,3,FALSE)</x:f>
        <x:v>2025-1</x:v>
      </x:c>
    </x:row>
    <x:row r="2495" ht="21" customHeight="1">
      <x:c r="A2495" s="3" t="str">
        <x:v>2201013</x:v>
      </x:c>
      <x:c r="B2495" s="3" t="str">
        <x:v>SEC026</x:v>
      </x:c>
      <x:c r="C2495" s="3" t="n">
        <x:v>1</x:v>
      </x:c>
      <x:c r="D2495" s="3" t="str">
        <x:v>excused</x:v>
      </x:c>
      <x:c r="E2495" s="5" t="str">
        <x:f>VLOOKUP(B2495,Sections!$A$5:$I$45,3,FALSE)</x:f>
        <x:v>2025-1</x:v>
      </x:c>
    </x:row>
    <x:row r="2496" ht="21" customHeight="1">
      <x:c r="A2496" s="3" t="str">
        <x:v>2201013</x:v>
      </x:c>
      <x:c r="B2496" s="3" t="str">
        <x:v>SEC026</x:v>
      </x:c>
      <x:c r="C2496" s="3" t="n">
        <x:v>2</x:v>
      </x:c>
      <x:c r="D2496" s="3" t="str">
        <x:v>present</x:v>
      </x:c>
      <x:c r="E2496" s="5" t="str">
        <x:f>VLOOKUP(B2496,Sections!$A$5:$I$45,3,FALSE)</x:f>
        <x:v>2025-1</x:v>
      </x:c>
    </x:row>
    <x:row r="2497" ht="21" customHeight="1">
      <x:c r="A2497" s="3" t="str">
        <x:v>2201013</x:v>
      </x:c>
      <x:c r="B2497" s="3" t="str">
        <x:v>SEC026</x:v>
      </x:c>
      <x:c r="C2497" s="3" t="n">
        <x:v>3</x:v>
      </x:c>
      <x:c r="D2497" s="3" t="str">
        <x:v>absent</x:v>
      </x:c>
      <x:c r="E2497" s="5" t="str">
        <x:f>VLOOKUP(B2497,Sections!$A$5:$I$45,3,FALSE)</x:f>
        <x:v>2025-1</x:v>
      </x:c>
    </x:row>
    <x:row r="2498" ht="21" customHeight="1">
      <x:c r="A2498" s="3" t="str">
        <x:v>2201013</x:v>
      </x:c>
      <x:c r="B2498" s="3" t="str">
        <x:v>SEC026</x:v>
      </x:c>
      <x:c r="C2498" s="3" t="n">
        <x:v>4</x:v>
      </x:c>
      <x:c r="D2498" s="3" t="str">
        <x:v>absent</x:v>
      </x:c>
      <x:c r="E2498" s="5" t="str">
        <x:f>VLOOKUP(B2498,Sections!$A$5:$I$45,3,FALSE)</x:f>
        <x:v>2025-1</x:v>
      </x:c>
    </x:row>
    <x:row r="2499" ht="21" customHeight="1">
      <x:c r="A2499" s="3" t="str">
        <x:v>2201013</x:v>
      </x:c>
      <x:c r="B2499" s="3" t="str">
        <x:v>SEC026</x:v>
      </x:c>
      <x:c r="C2499" s="3" t="n">
        <x:v>5</x:v>
      </x:c>
      <x:c r="D2499" s="3" t="str">
        <x:v>present</x:v>
      </x:c>
      <x:c r="E2499" s="5" t="str">
        <x:f>VLOOKUP(B2499,Sections!$A$5:$I$45,3,FALSE)</x:f>
        <x:v>2025-1</x:v>
      </x:c>
    </x:row>
    <x:row r="2500" ht="21" customHeight="1">
      <x:c r="A2500" s="3" t="str">
        <x:v>2201013</x:v>
      </x:c>
      <x:c r="B2500" s="3" t="str">
        <x:v>SEC026</x:v>
      </x:c>
      <x:c r="C2500" s="3" t="n">
        <x:v>6</x:v>
      </x:c>
      <x:c r="D2500" s="3" t="str">
        <x:v>present</x:v>
      </x:c>
      <x:c r="E2500" s="5" t="str">
        <x:f>VLOOKUP(B2500,Sections!$A$5:$I$45,3,FALSE)</x:f>
        <x:v>2025-1</x:v>
      </x:c>
    </x:row>
    <x:row r="2501" ht="21" customHeight="1">
      <x:c r="A2501" s="3" t="str">
        <x:v>2201013</x:v>
      </x:c>
      <x:c r="B2501" s="3" t="str">
        <x:v>SEC026</x:v>
      </x:c>
      <x:c r="C2501" s="3" t="n">
        <x:v>7</x:v>
      </x:c>
      <x:c r="D2501" s="3" t="str">
        <x:v>present</x:v>
      </x:c>
      <x:c r="E2501" s="5" t="str">
        <x:f>VLOOKUP(B2501,Sections!$A$5:$I$45,3,FALSE)</x:f>
        <x:v>2025-1</x:v>
      </x:c>
    </x:row>
    <x:row r="2502" ht="21" customHeight="1">
      <x:c r="A2502" s="3" t="str">
        <x:v>2201013</x:v>
      </x:c>
      <x:c r="B2502" s="3" t="str">
        <x:v>SEC026</x:v>
      </x:c>
      <x:c r="C2502" s="3" t="n">
        <x:v>8</x:v>
      </x:c>
      <x:c r="D2502" s="3" t="str">
        <x:v>present</x:v>
      </x:c>
      <x:c r="E2502" s="5" t="str">
        <x:f>VLOOKUP(B2502,Sections!$A$5:$I$45,3,FALSE)</x:f>
        <x:v>2025-1</x:v>
      </x:c>
    </x:row>
    <x:row r="2503" ht="21" customHeight="1">
      <x:c r="A2503" s="3" t="str">
        <x:v>2201013</x:v>
      </x:c>
      <x:c r="B2503" s="3" t="str">
        <x:v>SEC026</x:v>
      </x:c>
      <x:c r="C2503" s="3" t="n">
        <x:v>9</x:v>
      </x:c>
      <x:c r="D2503" s="3" t="str">
        <x:v>present</x:v>
      </x:c>
      <x:c r="E2503" s="5" t="str">
        <x:f>VLOOKUP(B2503,Sections!$A$5:$I$45,3,FALSE)</x:f>
        <x:v>2025-1</x:v>
      </x:c>
    </x:row>
    <x:row r="2504" ht="21" customHeight="1">
      <x:c r="A2504" s="3" t="str">
        <x:v>2201013</x:v>
      </x:c>
      <x:c r="B2504" s="3" t="str">
        <x:v>SEC026</x:v>
      </x:c>
      <x:c r="C2504" s="3" t="n">
        <x:v>10</x:v>
      </x:c>
      <x:c r="D2504" s="3" t="str">
        <x:v>present</x:v>
      </x:c>
      <x:c r="E2504" s="5" t="str">
        <x:f>VLOOKUP(B2504,Sections!$A$5:$I$45,3,FALSE)</x:f>
        <x:v>2025-1</x:v>
      </x:c>
    </x:row>
    <x:row r="2505" ht="21" customHeight="1">
      <x:c r="A2505" s="3" t="str">
        <x:v>2201013</x:v>
      </x:c>
      <x:c r="B2505" s="3" t="str">
        <x:v>SEC026</x:v>
      </x:c>
      <x:c r="C2505" s="3" t="n">
        <x:v>11</x:v>
      </x:c>
      <x:c r="D2505" s="3" t="str">
        <x:v>present</x:v>
      </x:c>
      <x:c r="E2505" s="5" t="str">
        <x:f>VLOOKUP(B2505,Sections!$A$5:$I$45,3,FALSE)</x:f>
        <x:v>2025-1</x:v>
      </x:c>
    </x:row>
    <x:row r="2506" ht="21" customHeight="1">
      <x:c r="A2506" s="3" t="str">
        <x:v>2201013</x:v>
      </x:c>
      <x:c r="B2506" s="3" t="str">
        <x:v>SEC026</x:v>
      </x:c>
      <x:c r="C2506" s="3" t="n">
        <x:v>12</x:v>
      </x:c>
      <x:c r="D2506" s="3" t="str">
        <x:v>present</x:v>
      </x:c>
      <x:c r="E2506" s="5" t="str">
        <x:f>VLOOKUP(B2506,Sections!$A$5:$I$45,3,FALSE)</x:f>
        <x:v>2025-1</x:v>
      </x:c>
    </x:row>
    <x:row r="2507" ht="21" customHeight="1">
      <x:c r="A2507" s="3" t="str">
        <x:v>2201013</x:v>
      </x:c>
      <x:c r="B2507" s="3" t="str">
        <x:v>SEC026</x:v>
      </x:c>
      <x:c r="C2507" s="3" t="n">
        <x:v>13</x:v>
      </x:c>
      <x:c r="D2507" s="3" t="str">
        <x:v>present</x:v>
      </x:c>
      <x:c r="E2507" s="5" t="str">
        <x:f>VLOOKUP(B2507,Sections!$A$5:$I$45,3,FALSE)</x:f>
        <x:v>2025-1</x:v>
      </x:c>
    </x:row>
    <x:row r="2508" ht="21" customHeight="1">
      <x:c r="A2508" s="3" t="str">
        <x:v>2201013</x:v>
      </x:c>
      <x:c r="B2508" s="3" t="str">
        <x:v>SEC026</x:v>
      </x:c>
      <x:c r="C2508" s="3" t="n">
        <x:v>14</x:v>
      </x:c>
      <x:c r="D2508" s="3" t="str">
        <x:v>present</x:v>
      </x:c>
      <x:c r="E2508" s="5" t="str">
        <x:f>VLOOKUP(B2508,Sections!$A$5:$I$45,3,FALSE)</x:f>
        <x:v>2025-1</x:v>
      </x:c>
    </x:row>
    <x:row r="2509" ht="21" customHeight="1">
      <x:c r="A2509" s="3" t="str">
        <x:v>2201013</x:v>
      </x:c>
      <x:c r="B2509" s="3" t="str">
        <x:v>SEC026</x:v>
      </x:c>
      <x:c r="C2509" s="3" t="n">
        <x:v>15</x:v>
      </x:c>
      <x:c r="D2509" s="3" t="str">
        <x:v>present</x:v>
      </x:c>
      <x:c r="E2509" s="5" t="str">
        <x:f>VLOOKUP(B2509,Sections!$A$5:$I$45,3,FALSE)</x:f>
        <x:v>2025-1</x:v>
      </x:c>
    </x:row>
    <x:row r="2510" ht="21" customHeight="1">
      <x:c r="A2510" s="3" t="str">
        <x:v>2201014</x:v>
      </x:c>
      <x:c r="B2510" s="3" t="str">
        <x:v>SEC026</x:v>
      </x:c>
      <x:c r="C2510" s="3" t="n">
        <x:v>1</x:v>
      </x:c>
      <x:c r="D2510" s="3" t="str">
        <x:v>present</x:v>
      </x:c>
      <x:c r="E2510" s="5" t="str">
        <x:f>VLOOKUP(B2510,Sections!$A$5:$I$45,3,FALSE)</x:f>
        <x:v>2025-1</x:v>
      </x:c>
    </x:row>
    <x:row r="2511" ht="21" customHeight="1">
      <x:c r="A2511" s="3" t="str">
        <x:v>2201014</x:v>
      </x:c>
      <x:c r="B2511" s="3" t="str">
        <x:v>SEC026</x:v>
      </x:c>
      <x:c r="C2511" s="3" t="n">
        <x:v>2</x:v>
      </x:c>
      <x:c r="D2511" s="3" t="str">
        <x:v>present</x:v>
      </x:c>
      <x:c r="E2511" s="5" t="str">
        <x:f>VLOOKUP(B2511,Sections!$A$5:$I$45,3,FALSE)</x:f>
        <x:v>2025-1</x:v>
      </x:c>
    </x:row>
    <x:row r="2512" ht="21" customHeight="1">
      <x:c r="A2512" s="3" t="str">
        <x:v>2201014</x:v>
      </x:c>
      <x:c r="B2512" s="3" t="str">
        <x:v>SEC026</x:v>
      </x:c>
      <x:c r="C2512" s="3" t="n">
        <x:v>3</x:v>
      </x:c>
      <x:c r="D2512" s="3" t="str">
        <x:v>present</x:v>
      </x:c>
      <x:c r="E2512" s="5" t="str">
        <x:f>VLOOKUP(B2512,Sections!$A$5:$I$45,3,FALSE)</x:f>
        <x:v>2025-1</x:v>
      </x:c>
    </x:row>
    <x:row r="2513" ht="21" customHeight="1">
      <x:c r="A2513" s="3" t="str">
        <x:v>2201014</x:v>
      </x:c>
      <x:c r="B2513" s="3" t="str">
        <x:v>SEC026</x:v>
      </x:c>
      <x:c r="C2513" s="3" t="n">
        <x:v>4</x:v>
      </x:c>
      <x:c r="D2513" s="3" t="str">
        <x:v>present</x:v>
      </x:c>
      <x:c r="E2513" s="5" t="str">
        <x:f>VLOOKUP(B2513,Sections!$A$5:$I$45,3,FALSE)</x:f>
        <x:v>2025-1</x:v>
      </x:c>
    </x:row>
    <x:row r="2514" ht="21" customHeight="1">
      <x:c r="A2514" s="3" t="str">
        <x:v>2201014</x:v>
      </x:c>
      <x:c r="B2514" s="3" t="str">
        <x:v>SEC026</x:v>
      </x:c>
      <x:c r="C2514" s="3" t="n">
        <x:v>5</x:v>
      </x:c>
      <x:c r="D2514" s="3" t="str">
        <x:v>present</x:v>
      </x:c>
      <x:c r="E2514" s="5" t="str">
        <x:f>VLOOKUP(B2514,Sections!$A$5:$I$45,3,FALSE)</x:f>
        <x:v>2025-1</x:v>
      </x:c>
    </x:row>
    <x:row r="2515" ht="21" customHeight="1">
      <x:c r="A2515" s="3" t="str">
        <x:v>2201014</x:v>
      </x:c>
      <x:c r="B2515" s="3" t="str">
        <x:v>SEC026</x:v>
      </x:c>
      <x:c r="C2515" s="3" t="n">
        <x:v>6</x:v>
      </x:c>
      <x:c r="D2515" s="3" t="str">
        <x:v>present</x:v>
      </x:c>
      <x:c r="E2515" s="5" t="str">
        <x:f>VLOOKUP(B2515,Sections!$A$5:$I$45,3,FALSE)</x:f>
        <x:v>2025-1</x:v>
      </x:c>
    </x:row>
    <x:row r="2516" ht="21" customHeight="1">
      <x:c r="A2516" s="3" t="str">
        <x:v>2201014</x:v>
      </x:c>
      <x:c r="B2516" s="3" t="str">
        <x:v>SEC026</x:v>
      </x:c>
      <x:c r="C2516" s="3" t="n">
        <x:v>7</x:v>
      </x:c>
      <x:c r="D2516" s="3" t="str">
        <x:v>present</x:v>
      </x:c>
      <x:c r="E2516" s="5" t="str">
        <x:f>VLOOKUP(B2516,Sections!$A$5:$I$45,3,FALSE)</x:f>
        <x:v>2025-1</x:v>
      </x:c>
    </x:row>
    <x:row r="2517" ht="21" customHeight="1">
      <x:c r="A2517" s="3" t="str">
        <x:v>2201014</x:v>
      </x:c>
      <x:c r="B2517" s="3" t="str">
        <x:v>SEC026</x:v>
      </x:c>
      <x:c r="C2517" s="3" t="n">
        <x:v>8</x:v>
      </x:c>
      <x:c r="D2517" s="3" t="str">
        <x:v>present</x:v>
      </x:c>
      <x:c r="E2517" s="5" t="str">
        <x:f>VLOOKUP(B2517,Sections!$A$5:$I$45,3,FALSE)</x:f>
        <x:v>2025-1</x:v>
      </x:c>
    </x:row>
    <x:row r="2518" ht="21" customHeight="1">
      <x:c r="A2518" s="3" t="str">
        <x:v>2201014</x:v>
      </x:c>
      <x:c r="B2518" s="3" t="str">
        <x:v>SEC026</x:v>
      </x:c>
      <x:c r="C2518" s="3" t="n">
        <x:v>9</x:v>
      </x:c>
      <x:c r="D2518" s="3" t="str">
        <x:v>excused</x:v>
      </x:c>
      <x:c r="E2518" s="5" t="str">
        <x:f>VLOOKUP(B2518,Sections!$A$5:$I$45,3,FALSE)</x:f>
        <x:v>2025-1</x:v>
      </x:c>
    </x:row>
    <x:row r="2519" ht="21" customHeight="1">
      <x:c r="A2519" s="3" t="str">
        <x:v>2201014</x:v>
      </x:c>
      <x:c r="B2519" s="3" t="str">
        <x:v>SEC026</x:v>
      </x:c>
      <x:c r="C2519" s="3" t="n">
        <x:v>10</x:v>
      </x:c>
      <x:c r="D2519" s="3" t="str">
        <x:v>present</x:v>
      </x:c>
      <x:c r="E2519" s="5" t="str">
        <x:f>VLOOKUP(B2519,Sections!$A$5:$I$45,3,FALSE)</x:f>
        <x:v>2025-1</x:v>
      </x:c>
    </x:row>
    <x:row r="2520" ht="21" customHeight="1">
      <x:c r="A2520" s="3" t="str">
        <x:v>2201014</x:v>
      </x:c>
      <x:c r="B2520" s="3" t="str">
        <x:v>SEC026</x:v>
      </x:c>
      <x:c r="C2520" s="3" t="n">
        <x:v>11</x:v>
      </x:c>
      <x:c r="D2520" s="3" t="str">
        <x:v>present</x:v>
      </x:c>
      <x:c r="E2520" s="5" t="str">
        <x:f>VLOOKUP(B2520,Sections!$A$5:$I$45,3,FALSE)</x:f>
        <x:v>2025-1</x:v>
      </x:c>
    </x:row>
    <x:row r="2521" ht="21" customHeight="1">
      <x:c r="A2521" s="3" t="str">
        <x:v>2201014</x:v>
      </x:c>
      <x:c r="B2521" s="3" t="str">
        <x:v>SEC026</x:v>
      </x:c>
      <x:c r="C2521" s="3" t="n">
        <x:v>12</x:v>
      </x:c>
      <x:c r="D2521" s="3" t="str">
        <x:v>present</x:v>
      </x:c>
      <x:c r="E2521" s="5" t="str">
        <x:f>VLOOKUP(B2521,Sections!$A$5:$I$45,3,FALSE)</x:f>
        <x:v>2025-1</x:v>
      </x:c>
    </x:row>
    <x:row r="2522" ht="21" customHeight="1">
      <x:c r="A2522" s="3" t="str">
        <x:v>2201014</x:v>
      </x:c>
      <x:c r="B2522" s="3" t="str">
        <x:v>SEC026</x:v>
      </x:c>
      <x:c r="C2522" s="3" t="n">
        <x:v>13</x:v>
      </x:c>
      <x:c r="D2522" s="3" t="str">
        <x:v>present</x:v>
      </x:c>
      <x:c r="E2522" s="5" t="str">
        <x:f>VLOOKUP(B2522,Sections!$A$5:$I$45,3,FALSE)</x:f>
        <x:v>2025-1</x:v>
      </x:c>
    </x:row>
    <x:row r="2523" ht="21" customHeight="1">
      <x:c r="A2523" s="3" t="str">
        <x:v>2201014</x:v>
      </x:c>
      <x:c r="B2523" s="3" t="str">
        <x:v>SEC026</x:v>
      </x:c>
      <x:c r="C2523" s="3" t="n">
        <x:v>14</x:v>
      </x:c>
      <x:c r="D2523" s="3" t="str">
        <x:v>late</x:v>
      </x:c>
      <x:c r="E2523" s="5" t="str">
        <x:f>VLOOKUP(B2523,Sections!$A$5:$I$45,3,FALSE)</x:f>
        <x:v>2025-1</x:v>
      </x:c>
    </x:row>
    <x:row r="2524" ht="21" customHeight="1">
      <x:c r="A2524" s="3" t="str">
        <x:v>2201014</x:v>
      </x:c>
      <x:c r="B2524" s="3" t="str">
        <x:v>SEC026</x:v>
      </x:c>
      <x:c r="C2524" s="3" t="n">
        <x:v>15</x:v>
      </x:c>
      <x:c r="D2524" s="3" t="str">
        <x:v>present</x:v>
      </x:c>
      <x:c r="E2524" s="5" t="str">
        <x:f>VLOOKUP(B2524,Sections!$A$5:$I$45,3,FALSE)</x:f>
        <x:v>2025-1</x:v>
      </x:c>
    </x:row>
    <x:row r="2525" ht="21" customHeight="1">
      <x:c r="A2525" s="3" t="str">
        <x:v>2201015</x:v>
      </x:c>
      <x:c r="B2525" s="3" t="str">
        <x:v>SEC026</x:v>
      </x:c>
      <x:c r="C2525" s="3" t="n">
        <x:v>1</x:v>
      </x:c>
      <x:c r="D2525" s="3" t="str">
        <x:v>present</x:v>
      </x:c>
      <x:c r="E2525" s="5" t="str">
        <x:f>VLOOKUP(B2525,Sections!$A$5:$I$45,3,FALSE)</x:f>
        <x:v>2025-1</x:v>
      </x:c>
    </x:row>
    <x:row r="2526" ht="21" customHeight="1">
      <x:c r="A2526" s="3" t="str">
        <x:v>2201015</x:v>
      </x:c>
      <x:c r="B2526" s="3" t="str">
        <x:v>SEC026</x:v>
      </x:c>
      <x:c r="C2526" s="3" t="n">
        <x:v>2</x:v>
      </x:c>
      <x:c r="D2526" s="3" t="str">
        <x:v>absent</x:v>
      </x:c>
      <x:c r="E2526" s="5" t="str">
        <x:f>VLOOKUP(B2526,Sections!$A$5:$I$45,3,FALSE)</x:f>
        <x:v>2025-1</x:v>
      </x:c>
    </x:row>
    <x:row r="2527" ht="21" customHeight="1">
      <x:c r="A2527" s="3" t="str">
        <x:v>2201015</x:v>
      </x:c>
      <x:c r="B2527" s="3" t="str">
        <x:v>SEC026</x:v>
      </x:c>
      <x:c r="C2527" s="3" t="n">
        <x:v>3</x:v>
      </x:c>
      <x:c r="D2527" s="3" t="str">
        <x:v>present</x:v>
      </x:c>
      <x:c r="E2527" s="5" t="str">
        <x:f>VLOOKUP(B2527,Sections!$A$5:$I$45,3,FALSE)</x:f>
        <x:v>2025-1</x:v>
      </x:c>
    </x:row>
    <x:row r="2528" ht="21" customHeight="1">
      <x:c r="A2528" s="3" t="str">
        <x:v>2201015</x:v>
      </x:c>
      <x:c r="B2528" s="3" t="str">
        <x:v>SEC026</x:v>
      </x:c>
      <x:c r="C2528" s="3" t="n">
        <x:v>4</x:v>
      </x:c>
      <x:c r="D2528" s="3" t="str">
        <x:v>late</x:v>
      </x:c>
      <x:c r="E2528" s="5" t="str">
        <x:f>VLOOKUP(B2528,Sections!$A$5:$I$45,3,FALSE)</x:f>
        <x:v>2025-1</x:v>
      </x:c>
    </x:row>
    <x:row r="2529" ht="21" customHeight="1">
      <x:c r="A2529" s="3" t="str">
        <x:v>2201015</x:v>
      </x:c>
      <x:c r="B2529" s="3" t="str">
        <x:v>SEC026</x:v>
      </x:c>
      <x:c r="C2529" s="3" t="n">
        <x:v>5</x:v>
      </x:c>
      <x:c r="D2529" s="3" t="str">
        <x:v>late</x:v>
      </x:c>
      <x:c r="E2529" s="5" t="str">
        <x:f>VLOOKUP(B2529,Sections!$A$5:$I$45,3,FALSE)</x:f>
        <x:v>2025-1</x:v>
      </x:c>
    </x:row>
    <x:row r="2530" ht="21" customHeight="1">
      <x:c r="A2530" s="3" t="str">
        <x:v>2201015</x:v>
      </x:c>
      <x:c r="B2530" s="3" t="str">
        <x:v>SEC026</x:v>
      </x:c>
      <x:c r="C2530" s="3" t="n">
        <x:v>6</x:v>
      </x:c>
      <x:c r="D2530" s="3" t="str">
        <x:v>absent</x:v>
      </x:c>
      <x:c r="E2530" s="5" t="str">
        <x:f>VLOOKUP(B2530,Sections!$A$5:$I$45,3,FALSE)</x:f>
        <x:v>2025-1</x:v>
      </x:c>
    </x:row>
    <x:row r="2531" ht="21" customHeight="1">
      <x:c r="A2531" s="3" t="str">
        <x:v>2201015</x:v>
      </x:c>
      <x:c r="B2531" s="3" t="str">
        <x:v>SEC026</x:v>
      </x:c>
      <x:c r="C2531" s="3" t="n">
        <x:v>7</x:v>
      </x:c>
      <x:c r="D2531" s="3" t="str">
        <x:v>present</x:v>
      </x:c>
      <x:c r="E2531" s="5" t="str">
        <x:f>VLOOKUP(B2531,Sections!$A$5:$I$45,3,FALSE)</x:f>
        <x:v>2025-1</x:v>
      </x:c>
    </x:row>
    <x:row r="2532" ht="21" customHeight="1">
      <x:c r="A2532" s="3" t="str">
        <x:v>2201015</x:v>
      </x:c>
      <x:c r="B2532" s="3" t="str">
        <x:v>SEC026</x:v>
      </x:c>
      <x:c r="C2532" s="3" t="n">
        <x:v>8</x:v>
      </x:c>
      <x:c r="D2532" s="3" t="str">
        <x:v>present</x:v>
      </x:c>
      <x:c r="E2532" s="5" t="str">
        <x:f>VLOOKUP(B2532,Sections!$A$5:$I$45,3,FALSE)</x:f>
        <x:v>2025-1</x:v>
      </x:c>
    </x:row>
    <x:row r="2533" ht="21" customHeight="1">
      <x:c r="A2533" s="3" t="str">
        <x:v>2201015</x:v>
      </x:c>
      <x:c r="B2533" s="3" t="str">
        <x:v>SEC026</x:v>
      </x:c>
      <x:c r="C2533" s="3" t="n">
        <x:v>9</x:v>
      </x:c>
      <x:c r="D2533" s="3" t="str">
        <x:v>late</x:v>
      </x:c>
      <x:c r="E2533" s="5" t="str">
        <x:f>VLOOKUP(B2533,Sections!$A$5:$I$45,3,FALSE)</x:f>
        <x:v>2025-1</x:v>
      </x:c>
    </x:row>
    <x:row r="2534" ht="21" customHeight="1">
      <x:c r="A2534" s="3" t="str">
        <x:v>2201015</x:v>
      </x:c>
      <x:c r="B2534" s="3" t="str">
        <x:v>SEC026</x:v>
      </x:c>
      <x:c r="C2534" s="3" t="n">
        <x:v>10</x:v>
      </x:c>
      <x:c r="D2534" s="3" t="str">
        <x:v>present</x:v>
      </x:c>
      <x:c r="E2534" s="5" t="str">
        <x:f>VLOOKUP(B2534,Sections!$A$5:$I$45,3,FALSE)</x:f>
        <x:v>2025-1</x:v>
      </x:c>
    </x:row>
    <x:row r="2535" ht="21" customHeight="1">
      <x:c r="A2535" s="3" t="str">
        <x:v>2201015</x:v>
      </x:c>
      <x:c r="B2535" s="3" t="str">
        <x:v>SEC026</x:v>
      </x:c>
      <x:c r="C2535" s="3" t="n">
        <x:v>11</x:v>
      </x:c>
      <x:c r="D2535" s="3" t="str">
        <x:v>present</x:v>
      </x:c>
      <x:c r="E2535" s="5" t="str">
        <x:f>VLOOKUP(B2535,Sections!$A$5:$I$45,3,FALSE)</x:f>
        <x:v>2025-1</x:v>
      </x:c>
    </x:row>
    <x:row r="2536" ht="21" customHeight="1">
      <x:c r="A2536" s="3" t="str">
        <x:v>2201015</x:v>
      </x:c>
      <x:c r="B2536" s="3" t="str">
        <x:v>SEC026</x:v>
      </x:c>
      <x:c r="C2536" s="3" t="n">
        <x:v>12</x:v>
      </x:c>
      <x:c r="D2536" s="3" t="str">
        <x:v>present</x:v>
      </x:c>
      <x:c r="E2536" s="5" t="str">
        <x:f>VLOOKUP(B2536,Sections!$A$5:$I$45,3,FALSE)</x:f>
        <x:v>2025-1</x:v>
      </x:c>
    </x:row>
    <x:row r="2537" ht="21" customHeight="1">
      <x:c r="A2537" s="3" t="str">
        <x:v>2201015</x:v>
      </x:c>
      <x:c r="B2537" s="3" t="str">
        <x:v>SEC026</x:v>
      </x:c>
      <x:c r="C2537" s="3" t="n">
        <x:v>13</x:v>
      </x:c>
      <x:c r="D2537" s="3" t="str">
        <x:v>absent</x:v>
      </x:c>
      <x:c r="E2537" s="5" t="str">
        <x:f>VLOOKUP(B2537,Sections!$A$5:$I$45,3,FALSE)</x:f>
        <x:v>2025-1</x:v>
      </x:c>
    </x:row>
    <x:row r="2538" ht="21" customHeight="1">
      <x:c r="A2538" s="3" t="str">
        <x:v>2201015</x:v>
      </x:c>
      <x:c r="B2538" s="3" t="str">
        <x:v>SEC026</x:v>
      </x:c>
      <x:c r="C2538" s="3" t="n">
        <x:v>14</x:v>
      </x:c>
      <x:c r="D2538" s="3" t="str">
        <x:v>present</x:v>
      </x:c>
      <x:c r="E2538" s="5" t="str">
        <x:f>VLOOKUP(B2538,Sections!$A$5:$I$45,3,FALSE)</x:f>
        <x:v>2025-1</x:v>
      </x:c>
    </x:row>
    <x:row r="2539" ht="21" customHeight="1">
      <x:c r="A2539" s="3" t="str">
        <x:v>2201015</x:v>
      </x:c>
      <x:c r="B2539" s="3" t="str">
        <x:v>SEC026</x:v>
      </x:c>
      <x:c r="C2539" s="3" t="n">
        <x:v>15</x:v>
      </x:c>
      <x:c r="D2539" s="3" t="str">
        <x:v>present</x:v>
      </x:c>
      <x:c r="E2539" s="5" t="str">
        <x:f>VLOOKUP(B2539,Sections!$A$5:$I$45,3,FALSE)</x:f>
        <x:v>2025-1</x:v>
      </x:c>
    </x:row>
    <x:row r="2540" ht="21" customHeight="1">
      <x:c r="A2540" s="3" t="str">
        <x:v>2201016</x:v>
      </x:c>
      <x:c r="B2540" s="3" t="str">
        <x:v>SEC026</x:v>
      </x:c>
      <x:c r="C2540" s="3" t="n">
        <x:v>1</x:v>
      </x:c>
      <x:c r="D2540" s="3" t="str">
        <x:v>present</x:v>
      </x:c>
      <x:c r="E2540" s="5" t="str">
        <x:f>VLOOKUP(B2540,Sections!$A$5:$I$45,3,FALSE)</x:f>
        <x:v>2025-1</x:v>
      </x:c>
    </x:row>
    <x:row r="2541" ht="21" customHeight="1">
      <x:c r="A2541" s="3" t="str">
        <x:v>2201016</x:v>
      </x:c>
      <x:c r="B2541" s="3" t="str">
        <x:v>SEC026</x:v>
      </x:c>
      <x:c r="C2541" s="3" t="n">
        <x:v>2</x:v>
      </x:c>
      <x:c r="D2541" s="3" t="str">
        <x:v>present</x:v>
      </x:c>
      <x:c r="E2541" s="5" t="str">
        <x:f>VLOOKUP(B2541,Sections!$A$5:$I$45,3,FALSE)</x:f>
        <x:v>2025-1</x:v>
      </x:c>
    </x:row>
    <x:row r="2542" ht="21" customHeight="1">
      <x:c r="A2542" s="3" t="str">
        <x:v>2201016</x:v>
      </x:c>
      <x:c r="B2542" s="3" t="str">
        <x:v>SEC026</x:v>
      </x:c>
      <x:c r="C2542" s="3" t="n">
        <x:v>3</x:v>
      </x:c>
      <x:c r="D2542" s="3" t="str">
        <x:v>present</x:v>
      </x:c>
      <x:c r="E2542" s="5" t="str">
        <x:f>VLOOKUP(B2542,Sections!$A$5:$I$45,3,FALSE)</x:f>
        <x:v>2025-1</x:v>
      </x:c>
    </x:row>
    <x:row r="2543" ht="21" customHeight="1">
      <x:c r="A2543" s="3" t="str">
        <x:v>2201016</x:v>
      </x:c>
      <x:c r="B2543" s="3" t="str">
        <x:v>SEC026</x:v>
      </x:c>
      <x:c r="C2543" s="3" t="n">
        <x:v>4</x:v>
      </x:c>
      <x:c r="D2543" s="3" t="str">
        <x:v>late</x:v>
      </x:c>
      <x:c r="E2543" s="5" t="str">
        <x:f>VLOOKUP(B2543,Sections!$A$5:$I$45,3,FALSE)</x:f>
        <x:v>2025-1</x:v>
      </x:c>
    </x:row>
    <x:row r="2544" ht="21" customHeight="1">
      <x:c r="A2544" s="3" t="str">
        <x:v>2201016</x:v>
      </x:c>
      <x:c r="B2544" s="3" t="str">
        <x:v>SEC026</x:v>
      </x:c>
      <x:c r="C2544" s="3" t="n">
        <x:v>5</x:v>
      </x:c>
      <x:c r="D2544" s="3" t="str">
        <x:v>present</x:v>
      </x:c>
      <x:c r="E2544" s="5" t="str">
        <x:f>VLOOKUP(B2544,Sections!$A$5:$I$45,3,FALSE)</x:f>
        <x:v>2025-1</x:v>
      </x:c>
    </x:row>
    <x:row r="2545" ht="21" customHeight="1">
      <x:c r="A2545" s="3" t="str">
        <x:v>2201016</x:v>
      </x:c>
      <x:c r="B2545" s="3" t="str">
        <x:v>SEC026</x:v>
      </x:c>
      <x:c r="C2545" s="3" t="n">
        <x:v>6</x:v>
      </x:c>
      <x:c r="D2545" s="3" t="str">
        <x:v>present</x:v>
      </x:c>
      <x:c r="E2545" s="5" t="str">
        <x:f>VLOOKUP(B2545,Sections!$A$5:$I$45,3,FALSE)</x:f>
        <x:v>2025-1</x:v>
      </x:c>
    </x:row>
    <x:row r="2546" ht="21" customHeight="1">
      <x:c r="A2546" s="3" t="str">
        <x:v>2201016</x:v>
      </x:c>
      <x:c r="B2546" s="3" t="str">
        <x:v>SEC026</x:v>
      </x:c>
      <x:c r="C2546" s="3" t="n">
        <x:v>7</x:v>
      </x:c>
      <x:c r="D2546" s="3" t="str">
        <x:v>present</x:v>
      </x:c>
      <x:c r="E2546" s="5" t="str">
        <x:f>VLOOKUP(B2546,Sections!$A$5:$I$45,3,FALSE)</x:f>
        <x:v>2025-1</x:v>
      </x:c>
    </x:row>
    <x:row r="2547" ht="21" customHeight="1">
      <x:c r="A2547" s="3" t="str">
        <x:v>2201016</x:v>
      </x:c>
      <x:c r="B2547" s="3" t="str">
        <x:v>SEC026</x:v>
      </x:c>
      <x:c r="C2547" s="3" t="n">
        <x:v>8</x:v>
      </x:c>
      <x:c r="D2547" s="3" t="str">
        <x:v>present</x:v>
      </x:c>
      <x:c r="E2547" s="5" t="str">
        <x:f>VLOOKUP(B2547,Sections!$A$5:$I$45,3,FALSE)</x:f>
        <x:v>2025-1</x:v>
      </x:c>
    </x:row>
    <x:row r="2548" ht="21" customHeight="1">
      <x:c r="A2548" s="3" t="str">
        <x:v>2201016</x:v>
      </x:c>
      <x:c r="B2548" s="3" t="str">
        <x:v>SEC026</x:v>
      </x:c>
      <x:c r="C2548" s="3" t="n">
        <x:v>9</x:v>
      </x:c>
      <x:c r="D2548" s="3" t="str">
        <x:v>present</x:v>
      </x:c>
      <x:c r="E2548" s="5" t="str">
        <x:f>VLOOKUP(B2548,Sections!$A$5:$I$45,3,FALSE)</x:f>
        <x:v>2025-1</x:v>
      </x:c>
    </x:row>
    <x:row r="2549" ht="21" customHeight="1">
      <x:c r="A2549" s="3" t="str">
        <x:v>2201016</x:v>
      </x:c>
      <x:c r="B2549" s="3" t="str">
        <x:v>SEC026</x:v>
      </x:c>
      <x:c r="C2549" s="3" t="n">
        <x:v>10</x:v>
      </x:c>
      <x:c r="D2549" s="3" t="str">
        <x:v>present</x:v>
      </x:c>
      <x:c r="E2549" s="5" t="str">
        <x:f>VLOOKUP(B2549,Sections!$A$5:$I$45,3,FALSE)</x:f>
        <x:v>2025-1</x:v>
      </x:c>
    </x:row>
    <x:row r="2550" ht="21" customHeight="1">
      <x:c r="A2550" s="3" t="str">
        <x:v>2201016</x:v>
      </x:c>
      <x:c r="B2550" s="3" t="str">
        <x:v>SEC026</x:v>
      </x:c>
      <x:c r="C2550" s="3" t="n">
        <x:v>11</x:v>
      </x:c>
      <x:c r="D2550" s="3" t="str">
        <x:v>present</x:v>
      </x:c>
      <x:c r="E2550" s="5" t="str">
        <x:f>VLOOKUP(B2550,Sections!$A$5:$I$45,3,FALSE)</x:f>
        <x:v>2025-1</x:v>
      </x:c>
    </x:row>
    <x:row r="2551" ht="21" customHeight="1">
      <x:c r="A2551" s="3" t="str">
        <x:v>2201016</x:v>
      </x:c>
      <x:c r="B2551" s="3" t="str">
        <x:v>SEC026</x:v>
      </x:c>
      <x:c r="C2551" s="3" t="n">
        <x:v>12</x:v>
      </x:c>
      <x:c r="D2551" s="3" t="str">
        <x:v>present</x:v>
      </x:c>
      <x:c r="E2551" s="5" t="str">
        <x:f>VLOOKUP(B2551,Sections!$A$5:$I$45,3,FALSE)</x:f>
        <x:v>2025-1</x:v>
      </x:c>
    </x:row>
    <x:row r="2552" ht="21" customHeight="1">
      <x:c r="A2552" s="3" t="str">
        <x:v>2201016</x:v>
      </x:c>
      <x:c r="B2552" s="3" t="str">
        <x:v>SEC026</x:v>
      </x:c>
      <x:c r="C2552" s="3" t="n">
        <x:v>13</x:v>
      </x:c>
      <x:c r="D2552" s="3" t="str">
        <x:v>present</x:v>
      </x:c>
      <x:c r="E2552" s="5" t="str">
        <x:f>VLOOKUP(B2552,Sections!$A$5:$I$45,3,FALSE)</x:f>
        <x:v>2025-1</x:v>
      </x:c>
    </x:row>
    <x:row r="2553" ht="21" customHeight="1">
      <x:c r="A2553" s="3" t="str">
        <x:v>2201016</x:v>
      </x:c>
      <x:c r="B2553" s="3" t="str">
        <x:v>SEC026</x:v>
      </x:c>
      <x:c r="C2553" s="3" t="n">
        <x:v>14</x:v>
      </x:c>
      <x:c r="D2553" s="3" t="str">
        <x:v>present</x:v>
      </x:c>
      <x:c r="E2553" s="5" t="str">
        <x:f>VLOOKUP(B2553,Sections!$A$5:$I$45,3,FALSE)</x:f>
        <x:v>2025-1</x:v>
      </x:c>
    </x:row>
    <x:row r="2554" ht="21" customHeight="1">
      <x:c r="A2554" s="3" t="str">
        <x:v>2201016</x:v>
      </x:c>
      <x:c r="B2554" s="3" t="str">
        <x:v>SEC026</x:v>
      </x:c>
      <x:c r="C2554" s="3" t="n">
        <x:v>15</x:v>
      </x:c>
      <x:c r="D2554" s="3" t="str">
        <x:v>present</x:v>
      </x:c>
      <x:c r="E2554" s="5" t="str">
        <x:f>VLOOKUP(B2554,Sections!$A$5:$I$45,3,FALSE)</x:f>
        <x:v>2025-1</x:v>
      </x:c>
    </x:row>
    <x:row r="2555" ht="21" customHeight="1">
      <x:c r="A2555" s="3" t="str">
        <x:v>2201017</x:v>
      </x:c>
      <x:c r="B2555" s="3" t="str">
        <x:v>SEC026</x:v>
      </x:c>
      <x:c r="C2555" s="3" t="n">
        <x:v>1</x:v>
      </x:c>
      <x:c r="D2555" s="3" t="str">
        <x:v>present</x:v>
      </x:c>
      <x:c r="E2555" s="5" t="str">
        <x:f>VLOOKUP(B2555,Sections!$A$5:$I$45,3,FALSE)</x:f>
        <x:v>2025-1</x:v>
      </x:c>
    </x:row>
    <x:row r="2556" ht="21" customHeight="1">
      <x:c r="A2556" s="3" t="str">
        <x:v>2201017</x:v>
      </x:c>
      <x:c r="B2556" s="3" t="str">
        <x:v>SEC026</x:v>
      </x:c>
      <x:c r="C2556" s="3" t="n">
        <x:v>2</x:v>
      </x:c>
      <x:c r="D2556" s="3" t="str">
        <x:v>present</x:v>
      </x:c>
      <x:c r="E2556" s="5" t="str">
        <x:f>VLOOKUP(B2556,Sections!$A$5:$I$45,3,FALSE)</x:f>
        <x:v>2025-1</x:v>
      </x:c>
    </x:row>
    <x:row r="2557" ht="21" customHeight="1">
      <x:c r="A2557" s="3" t="str">
        <x:v>2201017</x:v>
      </x:c>
      <x:c r="B2557" s="3" t="str">
        <x:v>SEC026</x:v>
      </x:c>
      <x:c r="C2557" s="3" t="n">
        <x:v>3</x:v>
      </x:c>
      <x:c r="D2557" s="3" t="str">
        <x:v>present</x:v>
      </x:c>
      <x:c r="E2557" s="5" t="str">
        <x:f>VLOOKUP(B2557,Sections!$A$5:$I$45,3,FALSE)</x:f>
        <x:v>2025-1</x:v>
      </x:c>
    </x:row>
    <x:row r="2558" ht="21" customHeight="1">
      <x:c r="A2558" s="3" t="str">
        <x:v>2201017</x:v>
      </x:c>
      <x:c r="B2558" s="3" t="str">
        <x:v>SEC026</x:v>
      </x:c>
      <x:c r="C2558" s="3" t="n">
        <x:v>4</x:v>
      </x:c>
      <x:c r="D2558" s="3" t="str">
        <x:v>present</x:v>
      </x:c>
      <x:c r="E2558" s="5" t="str">
        <x:f>VLOOKUP(B2558,Sections!$A$5:$I$45,3,FALSE)</x:f>
        <x:v>2025-1</x:v>
      </x:c>
    </x:row>
    <x:row r="2559" ht="21" customHeight="1">
      <x:c r="A2559" s="3" t="str">
        <x:v>2201017</x:v>
      </x:c>
      <x:c r="B2559" s="3" t="str">
        <x:v>SEC026</x:v>
      </x:c>
      <x:c r="C2559" s="3" t="n">
        <x:v>5</x:v>
      </x:c>
      <x:c r="D2559" s="3" t="str">
        <x:v>present</x:v>
      </x:c>
      <x:c r="E2559" s="5" t="str">
        <x:f>VLOOKUP(B2559,Sections!$A$5:$I$45,3,FALSE)</x:f>
        <x:v>2025-1</x:v>
      </x:c>
    </x:row>
    <x:row r="2560" ht="21" customHeight="1">
      <x:c r="A2560" s="3" t="str">
        <x:v>2201017</x:v>
      </x:c>
      <x:c r="B2560" s="3" t="str">
        <x:v>SEC026</x:v>
      </x:c>
      <x:c r="C2560" s="3" t="n">
        <x:v>6</x:v>
      </x:c>
      <x:c r="D2560" s="3" t="str">
        <x:v>present</x:v>
      </x:c>
      <x:c r="E2560" s="5" t="str">
        <x:f>VLOOKUP(B2560,Sections!$A$5:$I$45,3,FALSE)</x:f>
        <x:v>2025-1</x:v>
      </x:c>
    </x:row>
    <x:row r="2561" ht="21" customHeight="1">
      <x:c r="A2561" s="3" t="str">
        <x:v>2201017</x:v>
      </x:c>
      <x:c r="B2561" s="3" t="str">
        <x:v>SEC026</x:v>
      </x:c>
      <x:c r="C2561" s="3" t="n">
        <x:v>7</x:v>
      </x:c>
      <x:c r="D2561" s="3" t="str">
        <x:v>absent</x:v>
      </x:c>
      <x:c r="E2561" s="5" t="str">
        <x:f>VLOOKUP(B2561,Sections!$A$5:$I$45,3,FALSE)</x:f>
        <x:v>2025-1</x:v>
      </x:c>
    </x:row>
    <x:row r="2562" ht="21" customHeight="1">
      <x:c r="A2562" s="3" t="str">
        <x:v>2201017</x:v>
      </x:c>
      <x:c r="B2562" s="3" t="str">
        <x:v>SEC026</x:v>
      </x:c>
      <x:c r="C2562" s="3" t="n">
        <x:v>8</x:v>
      </x:c>
      <x:c r="D2562" s="3" t="str">
        <x:v>present</x:v>
      </x:c>
      <x:c r="E2562" s="5" t="str">
        <x:f>VLOOKUP(B2562,Sections!$A$5:$I$45,3,FALSE)</x:f>
        <x:v>2025-1</x:v>
      </x:c>
    </x:row>
    <x:row r="2563" ht="21" customHeight="1">
      <x:c r="A2563" s="3" t="str">
        <x:v>2201017</x:v>
      </x:c>
      <x:c r="B2563" s="3" t="str">
        <x:v>SEC026</x:v>
      </x:c>
      <x:c r="C2563" s="3" t="n">
        <x:v>9</x:v>
      </x:c>
      <x:c r="D2563" s="3" t="str">
        <x:v>present</x:v>
      </x:c>
      <x:c r="E2563" s="5" t="str">
        <x:f>VLOOKUP(B2563,Sections!$A$5:$I$45,3,FALSE)</x:f>
        <x:v>2025-1</x:v>
      </x:c>
    </x:row>
    <x:row r="2564" ht="21" customHeight="1">
      <x:c r="A2564" s="3" t="str">
        <x:v>2201017</x:v>
      </x:c>
      <x:c r="B2564" s="3" t="str">
        <x:v>SEC026</x:v>
      </x:c>
      <x:c r="C2564" s="3" t="n">
        <x:v>10</x:v>
      </x:c>
      <x:c r="D2564" s="3" t="str">
        <x:v>present</x:v>
      </x:c>
      <x:c r="E2564" s="5" t="str">
        <x:f>VLOOKUP(B2564,Sections!$A$5:$I$45,3,FALSE)</x:f>
        <x:v>2025-1</x:v>
      </x:c>
    </x:row>
    <x:row r="2565" ht="21" customHeight="1">
      <x:c r="A2565" s="3" t="str">
        <x:v>2201017</x:v>
      </x:c>
      <x:c r="B2565" s="3" t="str">
        <x:v>SEC026</x:v>
      </x:c>
      <x:c r="C2565" s="3" t="n">
        <x:v>11</x:v>
      </x:c>
      <x:c r="D2565" s="3" t="str">
        <x:v>present</x:v>
      </x:c>
      <x:c r="E2565" s="5" t="str">
        <x:f>VLOOKUP(B2565,Sections!$A$5:$I$45,3,FALSE)</x:f>
        <x:v>2025-1</x:v>
      </x:c>
    </x:row>
    <x:row r="2566" ht="21" customHeight="1">
      <x:c r="A2566" s="3" t="str">
        <x:v>2201017</x:v>
      </x:c>
      <x:c r="B2566" s="3" t="str">
        <x:v>SEC026</x:v>
      </x:c>
      <x:c r="C2566" s="3" t="n">
        <x:v>12</x:v>
      </x:c>
      <x:c r="D2566" s="3" t="str">
        <x:v>absent</x:v>
      </x:c>
      <x:c r="E2566" s="5" t="str">
        <x:f>VLOOKUP(B2566,Sections!$A$5:$I$45,3,FALSE)</x:f>
        <x:v>2025-1</x:v>
      </x:c>
    </x:row>
    <x:row r="2567" ht="21" customHeight="1">
      <x:c r="A2567" s="3" t="str">
        <x:v>2201017</x:v>
      </x:c>
      <x:c r="B2567" s="3" t="str">
        <x:v>SEC026</x:v>
      </x:c>
      <x:c r="C2567" s="3" t="n">
        <x:v>13</x:v>
      </x:c>
      <x:c r="D2567" s="3" t="str">
        <x:v>absent</x:v>
      </x:c>
      <x:c r="E2567" s="5" t="str">
        <x:f>VLOOKUP(B2567,Sections!$A$5:$I$45,3,FALSE)</x:f>
        <x:v>2025-1</x:v>
      </x:c>
    </x:row>
    <x:row r="2568" ht="21" customHeight="1">
      <x:c r="A2568" s="3" t="str">
        <x:v>2201017</x:v>
      </x:c>
      <x:c r="B2568" s="3" t="str">
        <x:v>SEC026</x:v>
      </x:c>
      <x:c r="C2568" s="3" t="n">
        <x:v>14</x:v>
      </x:c>
      <x:c r="D2568" s="3" t="str">
        <x:v>present</x:v>
      </x:c>
      <x:c r="E2568" s="5" t="str">
        <x:f>VLOOKUP(B2568,Sections!$A$5:$I$45,3,FALSE)</x:f>
        <x:v>2025-1</x:v>
      </x:c>
    </x:row>
    <x:row r="2569" ht="21" customHeight="1">
      <x:c r="A2569" s="3" t="str">
        <x:v>2201017</x:v>
      </x:c>
      <x:c r="B2569" s="3" t="str">
        <x:v>SEC026</x:v>
      </x:c>
      <x:c r="C2569" s="3" t="n">
        <x:v>15</x:v>
      </x:c>
      <x:c r="D2569" s="3" t="str">
        <x:v>present</x:v>
      </x:c>
      <x:c r="E2569" s="5" t="str">
        <x:f>VLOOKUP(B2569,Sections!$A$5:$I$45,3,FALSE)</x:f>
        <x:v>2025-1</x:v>
      </x:c>
    </x:row>
    <x:row r="2570" ht="21" customHeight="1">
      <x:c r="A2570" s="3" t="str">
        <x:v>2201018</x:v>
      </x:c>
      <x:c r="B2570" s="3" t="str">
        <x:v>SEC026</x:v>
      </x:c>
      <x:c r="C2570" s="3" t="n">
        <x:v>1</x:v>
      </x:c>
      <x:c r="D2570" s="3" t="str">
        <x:v>present</x:v>
      </x:c>
      <x:c r="E2570" s="5" t="str">
        <x:f>VLOOKUP(B2570,Sections!$A$5:$I$45,3,FALSE)</x:f>
        <x:v>2025-1</x:v>
      </x:c>
    </x:row>
    <x:row r="2571" ht="21" customHeight="1">
      <x:c r="A2571" s="3" t="str">
        <x:v>2201018</x:v>
      </x:c>
      <x:c r="B2571" s="3" t="str">
        <x:v>SEC026</x:v>
      </x:c>
      <x:c r="C2571" s="3" t="n">
        <x:v>2</x:v>
      </x:c>
      <x:c r="D2571" s="3" t="str">
        <x:v>present</x:v>
      </x:c>
      <x:c r="E2571" s="5" t="str">
        <x:f>VLOOKUP(B2571,Sections!$A$5:$I$45,3,FALSE)</x:f>
        <x:v>2025-1</x:v>
      </x:c>
    </x:row>
    <x:row r="2572" ht="21" customHeight="1">
      <x:c r="A2572" s="3" t="str">
        <x:v>2201018</x:v>
      </x:c>
      <x:c r="B2572" s="3" t="str">
        <x:v>SEC026</x:v>
      </x:c>
      <x:c r="C2572" s="3" t="n">
        <x:v>3</x:v>
      </x:c>
      <x:c r="D2572" s="3" t="str">
        <x:v>present</x:v>
      </x:c>
      <x:c r="E2572" s="5" t="str">
        <x:f>VLOOKUP(B2572,Sections!$A$5:$I$45,3,FALSE)</x:f>
        <x:v>2025-1</x:v>
      </x:c>
    </x:row>
    <x:row r="2573" ht="21" customHeight="1">
      <x:c r="A2573" s="3" t="str">
        <x:v>2201018</x:v>
      </x:c>
      <x:c r="B2573" s="3" t="str">
        <x:v>SEC026</x:v>
      </x:c>
      <x:c r="C2573" s="3" t="n">
        <x:v>4</x:v>
      </x:c>
      <x:c r="D2573" s="3" t="str">
        <x:v>present</x:v>
      </x:c>
      <x:c r="E2573" s="5" t="str">
        <x:f>VLOOKUP(B2573,Sections!$A$5:$I$45,3,FALSE)</x:f>
        <x:v>2025-1</x:v>
      </x:c>
    </x:row>
    <x:row r="2574" ht="21" customHeight="1">
      <x:c r="A2574" s="3" t="str">
        <x:v>2201018</x:v>
      </x:c>
      <x:c r="B2574" s="3" t="str">
        <x:v>SEC026</x:v>
      </x:c>
      <x:c r="C2574" s="3" t="n">
        <x:v>5</x:v>
      </x:c>
      <x:c r="D2574" s="3" t="str">
        <x:v>present</x:v>
      </x:c>
      <x:c r="E2574" s="5" t="str">
        <x:f>VLOOKUP(B2574,Sections!$A$5:$I$45,3,FALSE)</x:f>
        <x:v>2025-1</x:v>
      </x:c>
    </x:row>
    <x:row r="2575" ht="21" customHeight="1">
      <x:c r="A2575" s="3" t="str">
        <x:v>2201018</x:v>
      </x:c>
      <x:c r="B2575" s="3" t="str">
        <x:v>SEC026</x:v>
      </x:c>
      <x:c r="C2575" s="3" t="n">
        <x:v>6</x:v>
      </x:c>
      <x:c r="D2575" s="3" t="str">
        <x:v>present</x:v>
      </x:c>
      <x:c r="E2575" s="5" t="str">
        <x:f>VLOOKUP(B2575,Sections!$A$5:$I$45,3,FALSE)</x:f>
        <x:v>2025-1</x:v>
      </x:c>
    </x:row>
    <x:row r="2576" ht="21" customHeight="1">
      <x:c r="A2576" s="3" t="str">
        <x:v>2201018</x:v>
      </x:c>
      <x:c r="B2576" s="3" t="str">
        <x:v>SEC026</x:v>
      </x:c>
      <x:c r="C2576" s="3" t="n">
        <x:v>7</x:v>
      </x:c>
      <x:c r="D2576" s="3" t="str">
        <x:v>present</x:v>
      </x:c>
      <x:c r="E2576" s="5" t="str">
        <x:f>VLOOKUP(B2576,Sections!$A$5:$I$45,3,FALSE)</x:f>
        <x:v>2025-1</x:v>
      </x:c>
    </x:row>
    <x:row r="2577" ht="21" customHeight="1">
      <x:c r="A2577" s="3" t="str">
        <x:v>2201018</x:v>
      </x:c>
      <x:c r="B2577" s="3" t="str">
        <x:v>SEC026</x:v>
      </x:c>
      <x:c r="C2577" s="3" t="n">
        <x:v>8</x:v>
      </x:c>
      <x:c r="D2577" s="3" t="str">
        <x:v>present</x:v>
      </x:c>
      <x:c r="E2577" s="5" t="str">
        <x:f>VLOOKUP(B2577,Sections!$A$5:$I$45,3,FALSE)</x:f>
        <x:v>2025-1</x:v>
      </x:c>
    </x:row>
    <x:row r="2578" ht="21" customHeight="1">
      <x:c r="A2578" s="3" t="str">
        <x:v>2201018</x:v>
      </x:c>
      <x:c r="B2578" s="3" t="str">
        <x:v>SEC026</x:v>
      </x:c>
      <x:c r="C2578" s="3" t="n">
        <x:v>9</x:v>
      </x:c>
      <x:c r="D2578" s="3" t="str">
        <x:v>present</x:v>
      </x:c>
      <x:c r="E2578" s="5" t="str">
        <x:f>VLOOKUP(B2578,Sections!$A$5:$I$45,3,FALSE)</x:f>
        <x:v>2025-1</x:v>
      </x:c>
    </x:row>
    <x:row r="2579" ht="21" customHeight="1">
      <x:c r="A2579" s="3" t="str">
        <x:v>2201018</x:v>
      </x:c>
      <x:c r="B2579" s="3" t="str">
        <x:v>SEC026</x:v>
      </x:c>
      <x:c r="C2579" s="3" t="n">
        <x:v>10</x:v>
      </x:c>
      <x:c r="D2579" s="3" t="str">
        <x:v>present</x:v>
      </x:c>
      <x:c r="E2579" s="5" t="str">
        <x:f>VLOOKUP(B2579,Sections!$A$5:$I$45,3,FALSE)</x:f>
        <x:v>2025-1</x:v>
      </x:c>
    </x:row>
    <x:row r="2580" ht="21" customHeight="1">
      <x:c r="A2580" s="3" t="str">
        <x:v>2201018</x:v>
      </x:c>
      <x:c r="B2580" s="3" t="str">
        <x:v>SEC026</x:v>
      </x:c>
      <x:c r="C2580" s="3" t="n">
        <x:v>11</x:v>
      </x:c>
      <x:c r="D2580" s="3" t="str">
        <x:v>present</x:v>
      </x:c>
      <x:c r="E2580" s="5" t="str">
        <x:f>VLOOKUP(B2580,Sections!$A$5:$I$45,3,FALSE)</x:f>
        <x:v>2025-1</x:v>
      </x:c>
    </x:row>
    <x:row r="2581" ht="21" customHeight="1">
      <x:c r="A2581" s="3" t="str">
        <x:v>2201018</x:v>
      </x:c>
      <x:c r="B2581" s="3" t="str">
        <x:v>SEC026</x:v>
      </x:c>
      <x:c r="C2581" s="3" t="n">
        <x:v>12</x:v>
      </x:c>
      <x:c r="D2581" s="3" t="str">
        <x:v>present</x:v>
      </x:c>
      <x:c r="E2581" s="5" t="str">
        <x:f>VLOOKUP(B2581,Sections!$A$5:$I$45,3,FALSE)</x:f>
        <x:v>2025-1</x:v>
      </x:c>
    </x:row>
    <x:row r="2582" ht="21" customHeight="1">
      <x:c r="A2582" s="3" t="str">
        <x:v>2201018</x:v>
      </x:c>
      <x:c r="B2582" s="3" t="str">
        <x:v>SEC026</x:v>
      </x:c>
      <x:c r="C2582" s="3" t="n">
        <x:v>13</x:v>
      </x:c>
      <x:c r="D2582" s="3" t="str">
        <x:v>present</x:v>
      </x:c>
      <x:c r="E2582" s="5" t="str">
        <x:f>VLOOKUP(B2582,Sections!$A$5:$I$45,3,FALSE)</x:f>
        <x:v>2025-1</x:v>
      </x:c>
    </x:row>
    <x:row r="2583" ht="21" customHeight="1">
      <x:c r="A2583" s="3" t="str">
        <x:v>2201018</x:v>
      </x:c>
      <x:c r="B2583" s="3" t="str">
        <x:v>SEC026</x:v>
      </x:c>
      <x:c r="C2583" s="3" t="n">
        <x:v>14</x:v>
      </x:c>
      <x:c r="D2583" s="3" t="str">
        <x:v>present</x:v>
      </x:c>
      <x:c r="E2583" s="5" t="str">
        <x:f>VLOOKUP(B2583,Sections!$A$5:$I$45,3,FALSE)</x:f>
        <x:v>2025-1</x:v>
      </x:c>
    </x:row>
    <x:row r="2584" ht="21" customHeight="1">
      <x:c r="A2584" s="3" t="str">
        <x:v>2201018</x:v>
      </x:c>
      <x:c r="B2584" s="3" t="str">
        <x:v>SEC026</x:v>
      </x:c>
      <x:c r="C2584" s="3" t="n">
        <x:v>15</x:v>
      </x:c>
      <x:c r="D2584" s="3" t="str">
        <x:v>late</x:v>
      </x:c>
      <x:c r="E2584" s="5" t="str">
        <x:f>VLOOKUP(B2584,Sections!$A$5:$I$45,3,FALSE)</x:f>
        <x:v>2025-1</x:v>
      </x:c>
    </x:row>
    <x:row r="2585" ht="21" customHeight="1">
      <x:c r="A2585" s="3" t="str">
        <x:v>2201019</x:v>
      </x:c>
      <x:c r="B2585" s="3" t="str">
        <x:v>SEC026</x:v>
      </x:c>
      <x:c r="C2585" s="3" t="n">
        <x:v>1</x:v>
      </x:c>
      <x:c r="D2585" s="3" t="str">
        <x:v>absent</x:v>
      </x:c>
      <x:c r="E2585" s="5" t="str">
        <x:f>VLOOKUP(B2585,Sections!$A$5:$I$45,3,FALSE)</x:f>
        <x:v>2025-1</x:v>
      </x:c>
    </x:row>
    <x:row r="2586" ht="21" customHeight="1">
      <x:c r="A2586" s="3" t="str">
        <x:v>2201019</x:v>
      </x:c>
      <x:c r="B2586" s="3" t="str">
        <x:v>SEC026</x:v>
      </x:c>
      <x:c r="C2586" s="3" t="n">
        <x:v>2</x:v>
      </x:c>
      <x:c r="D2586" s="3" t="str">
        <x:v>present</x:v>
      </x:c>
      <x:c r="E2586" s="5" t="str">
        <x:f>VLOOKUP(B2586,Sections!$A$5:$I$45,3,FALSE)</x:f>
        <x:v>2025-1</x:v>
      </x:c>
    </x:row>
    <x:row r="2587" ht="21" customHeight="1">
      <x:c r="A2587" s="3" t="str">
        <x:v>2201019</x:v>
      </x:c>
      <x:c r="B2587" s="3" t="str">
        <x:v>SEC026</x:v>
      </x:c>
      <x:c r="C2587" s="3" t="n">
        <x:v>3</x:v>
      </x:c>
      <x:c r="D2587" s="3" t="str">
        <x:v>present</x:v>
      </x:c>
      <x:c r="E2587" s="5" t="str">
        <x:f>VLOOKUP(B2587,Sections!$A$5:$I$45,3,FALSE)</x:f>
        <x:v>2025-1</x:v>
      </x:c>
    </x:row>
    <x:row r="2588" ht="21" customHeight="1">
      <x:c r="A2588" s="3" t="str">
        <x:v>2201019</x:v>
      </x:c>
      <x:c r="B2588" s="3" t="str">
        <x:v>SEC026</x:v>
      </x:c>
      <x:c r="C2588" s="3" t="n">
        <x:v>4</x:v>
      </x:c>
      <x:c r="D2588" s="3" t="str">
        <x:v>present</x:v>
      </x:c>
      <x:c r="E2588" s="5" t="str">
        <x:f>VLOOKUP(B2588,Sections!$A$5:$I$45,3,FALSE)</x:f>
        <x:v>2025-1</x:v>
      </x:c>
    </x:row>
    <x:row r="2589" ht="21" customHeight="1">
      <x:c r="A2589" s="3" t="str">
        <x:v>2201019</x:v>
      </x:c>
      <x:c r="B2589" s="3" t="str">
        <x:v>SEC026</x:v>
      </x:c>
      <x:c r="C2589" s="3" t="n">
        <x:v>5</x:v>
      </x:c>
      <x:c r="D2589" s="3" t="str">
        <x:v>present</x:v>
      </x:c>
      <x:c r="E2589" s="5" t="str">
        <x:f>VLOOKUP(B2589,Sections!$A$5:$I$45,3,FALSE)</x:f>
        <x:v>2025-1</x:v>
      </x:c>
    </x:row>
    <x:row r="2590" ht="21" customHeight="1">
      <x:c r="A2590" s="3" t="str">
        <x:v>2201019</x:v>
      </x:c>
      <x:c r="B2590" s="3" t="str">
        <x:v>SEC026</x:v>
      </x:c>
      <x:c r="C2590" s="3" t="n">
        <x:v>6</x:v>
      </x:c>
      <x:c r="D2590" s="3" t="str">
        <x:v>present</x:v>
      </x:c>
      <x:c r="E2590" s="5" t="str">
        <x:f>VLOOKUP(B2590,Sections!$A$5:$I$45,3,FALSE)</x:f>
        <x:v>2025-1</x:v>
      </x:c>
    </x:row>
    <x:row r="2591" ht="21" customHeight="1">
      <x:c r="A2591" s="3" t="str">
        <x:v>2201019</x:v>
      </x:c>
      <x:c r="B2591" s="3" t="str">
        <x:v>SEC026</x:v>
      </x:c>
      <x:c r="C2591" s="3" t="n">
        <x:v>7</x:v>
      </x:c>
      <x:c r="D2591" s="3" t="str">
        <x:v>present</x:v>
      </x:c>
      <x:c r="E2591" s="5" t="str">
        <x:f>VLOOKUP(B2591,Sections!$A$5:$I$45,3,FALSE)</x:f>
        <x:v>2025-1</x:v>
      </x:c>
    </x:row>
    <x:row r="2592" ht="21" customHeight="1">
      <x:c r="A2592" s="3" t="str">
        <x:v>2201019</x:v>
      </x:c>
      <x:c r="B2592" s="3" t="str">
        <x:v>SEC026</x:v>
      </x:c>
      <x:c r="C2592" s="3" t="n">
        <x:v>8</x:v>
      </x:c>
      <x:c r="D2592" s="3" t="str">
        <x:v>present</x:v>
      </x:c>
      <x:c r="E2592" s="5" t="str">
        <x:f>VLOOKUP(B2592,Sections!$A$5:$I$45,3,FALSE)</x:f>
        <x:v>2025-1</x:v>
      </x:c>
    </x:row>
    <x:row r="2593" ht="21" customHeight="1">
      <x:c r="A2593" s="3" t="str">
        <x:v>2201019</x:v>
      </x:c>
      <x:c r="B2593" s="3" t="str">
        <x:v>SEC026</x:v>
      </x:c>
      <x:c r="C2593" s="3" t="n">
        <x:v>9</x:v>
      </x:c>
      <x:c r="D2593" s="3" t="str">
        <x:v>present</x:v>
      </x:c>
      <x:c r="E2593" s="5" t="str">
        <x:f>VLOOKUP(B2593,Sections!$A$5:$I$45,3,FALSE)</x:f>
        <x:v>2025-1</x:v>
      </x:c>
    </x:row>
    <x:row r="2594" ht="21" customHeight="1">
      <x:c r="A2594" s="3" t="str">
        <x:v>2201019</x:v>
      </x:c>
      <x:c r="B2594" s="3" t="str">
        <x:v>SEC026</x:v>
      </x:c>
      <x:c r="C2594" s="3" t="n">
        <x:v>10</x:v>
      </x:c>
      <x:c r="D2594" s="3" t="str">
        <x:v>present</x:v>
      </x:c>
      <x:c r="E2594" s="5" t="str">
        <x:f>VLOOKUP(B2594,Sections!$A$5:$I$45,3,FALSE)</x:f>
        <x:v>2025-1</x:v>
      </x:c>
    </x:row>
    <x:row r="2595" ht="21" customHeight="1">
      <x:c r="A2595" s="3" t="str">
        <x:v>2201019</x:v>
      </x:c>
      <x:c r="B2595" s="3" t="str">
        <x:v>SEC026</x:v>
      </x:c>
      <x:c r="C2595" s="3" t="n">
        <x:v>11</x:v>
      </x:c>
      <x:c r="D2595" s="3" t="str">
        <x:v>present</x:v>
      </x:c>
      <x:c r="E2595" s="5" t="str">
        <x:f>VLOOKUP(B2595,Sections!$A$5:$I$45,3,FALSE)</x:f>
        <x:v>2025-1</x:v>
      </x:c>
    </x:row>
    <x:row r="2596" ht="21" customHeight="1">
      <x:c r="A2596" s="3" t="str">
        <x:v>2201019</x:v>
      </x:c>
      <x:c r="B2596" s="3" t="str">
        <x:v>SEC026</x:v>
      </x:c>
      <x:c r="C2596" s="3" t="n">
        <x:v>12</x:v>
      </x:c>
      <x:c r="D2596" s="3" t="str">
        <x:v>present</x:v>
      </x:c>
      <x:c r="E2596" s="5" t="str">
        <x:f>VLOOKUP(B2596,Sections!$A$5:$I$45,3,FALSE)</x:f>
        <x:v>2025-1</x:v>
      </x:c>
    </x:row>
    <x:row r="2597" ht="21" customHeight="1">
      <x:c r="A2597" s="3" t="str">
        <x:v>2201019</x:v>
      </x:c>
      <x:c r="B2597" s="3" t="str">
        <x:v>SEC026</x:v>
      </x:c>
      <x:c r="C2597" s="3" t="n">
        <x:v>13</x:v>
      </x:c>
      <x:c r="D2597" s="3" t="str">
        <x:v>present</x:v>
      </x:c>
      <x:c r="E2597" s="5" t="str">
        <x:f>VLOOKUP(B2597,Sections!$A$5:$I$45,3,FALSE)</x:f>
        <x:v>2025-1</x:v>
      </x:c>
    </x:row>
    <x:row r="2598" ht="21" customHeight="1">
      <x:c r="A2598" s="3" t="str">
        <x:v>2201019</x:v>
      </x:c>
      <x:c r="B2598" s="3" t="str">
        <x:v>SEC026</x:v>
      </x:c>
      <x:c r="C2598" s="3" t="n">
        <x:v>14</x:v>
      </x:c>
      <x:c r="D2598" s="3" t="str">
        <x:v>present</x:v>
      </x:c>
      <x:c r="E2598" s="5" t="str">
        <x:f>VLOOKUP(B2598,Sections!$A$5:$I$45,3,FALSE)</x:f>
        <x:v>2025-1</x:v>
      </x:c>
    </x:row>
    <x:row r="2599" ht="21" customHeight="1">
      <x:c r="A2599" s="3" t="str">
        <x:v>2201019</x:v>
      </x:c>
      <x:c r="B2599" s="3" t="str">
        <x:v>SEC026</x:v>
      </x:c>
      <x:c r="C2599" s="3" t="n">
        <x:v>15</x:v>
      </x:c>
      <x:c r="D2599" s="3" t="str">
        <x:v>present</x:v>
      </x:c>
      <x:c r="E2599" s="5" t="str">
        <x:f>VLOOKUP(B2599,Sections!$A$5:$I$45,3,FALSE)</x:f>
        <x:v>2025-1</x:v>
      </x:c>
    </x:row>
    <x:row r="2600" ht="21" customHeight="1">
      <x:c r="A2600" s="3" t="str">
        <x:v>2201020</x:v>
      </x:c>
      <x:c r="B2600" s="3" t="str">
        <x:v>SEC026</x:v>
      </x:c>
      <x:c r="C2600" s="3" t="n">
        <x:v>1</x:v>
      </x:c>
      <x:c r="D2600" s="3" t="str">
        <x:v>present</x:v>
      </x:c>
      <x:c r="E2600" s="5" t="str">
        <x:f>VLOOKUP(B2600,Sections!$A$5:$I$45,3,FALSE)</x:f>
        <x:v>2025-1</x:v>
      </x:c>
    </x:row>
    <x:row r="2601" ht="21" customHeight="1">
      <x:c r="A2601" s="3" t="str">
        <x:v>2201020</x:v>
      </x:c>
      <x:c r="B2601" s="3" t="str">
        <x:v>SEC026</x:v>
      </x:c>
      <x:c r="C2601" s="3" t="n">
        <x:v>2</x:v>
      </x:c>
      <x:c r="D2601" s="3" t="str">
        <x:v>present</x:v>
      </x:c>
      <x:c r="E2601" s="5" t="str">
        <x:f>VLOOKUP(B2601,Sections!$A$5:$I$45,3,FALSE)</x:f>
        <x:v>2025-1</x:v>
      </x:c>
    </x:row>
    <x:row r="2602" ht="21" customHeight="1">
      <x:c r="A2602" s="3" t="str">
        <x:v>2201020</x:v>
      </x:c>
      <x:c r="B2602" s="3" t="str">
        <x:v>SEC026</x:v>
      </x:c>
      <x:c r="C2602" s="3" t="n">
        <x:v>3</x:v>
      </x:c>
      <x:c r="D2602" s="3" t="str">
        <x:v>present</x:v>
      </x:c>
      <x:c r="E2602" s="5" t="str">
        <x:f>VLOOKUP(B2602,Sections!$A$5:$I$45,3,FALSE)</x:f>
        <x:v>2025-1</x:v>
      </x:c>
    </x:row>
    <x:row r="2603" ht="21" customHeight="1">
      <x:c r="A2603" s="3" t="str">
        <x:v>2201020</x:v>
      </x:c>
      <x:c r="B2603" s="3" t="str">
        <x:v>SEC026</x:v>
      </x:c>
      <x:c r="C2603" s="3" t="n">
        <x:v>4</x:v>
      </x:c>
      <x:c r="D2603" s="3" t="str">
        <x:v>present</x:v>
      </x:c>
      <x:c r="E2603" s="5" t="str">
        <x:f>VLOOKUP(B2603,Sections!$A$5:$I$45,3,FALSE)</x:f>
        <x:v>2025-1</x:v>
      </x:c>
    </x:row>
    <x:row r="2604" ht="21" customHeight="1">
      <x:c r="A2604" s="3" t="str">
        <x:v>2201020</x:v>
      </x:c>
      <x:c r="B2604" s="3" t="str">
        <x:v>SEC026</x:v>
      </x:c>
      <x:c r="C2604" s="3" t="n">
        <x:v>5</x:v>
      </x:c>
      <x:c r="D2604" s="3" t="str">
        <x:v>present</x:v>
      </x:c>
      <x:c r="E2604" s="5" t="str">
        <x:f>VLOOKUP(B2604,Sections!$A$5:$I$45,3,FALSE)</x:f>
        <x:v>2025-1</x:v>
      </x:c>
    </x:row>
    <x:row r="2605" ht="21" customHeight="1">
      <x:c r="A2605" s="3" t="str">
        <x:v>2201020</x:v>
      </x:c>
      <x:c r="B2605" s="3" t="str">
        <x:v>SEC026</x:v>
      </x:c>
      <x:c r="C2605" s="3" t="n">
        <x:v>6</x:v>
      </x:c>
      <x:c r="D2605" s="3" t="str">
        <x:v>present</x:v>
      </x:c>
      <x:c r="E2605" s="5" t="str">
        <x:f>VLOOKUP(B2605,Sections!$A$5:$I$45,3,FALSE)</x:f>
        <x:v>2025-1</x:v>
      </x:c>
    </x:row>
    <x:row r="2606" ht="21" customHeight="1">
      <x:c r="A2606" s="3" t="str">
        <x:v>2201020</x:v>
      </x:c>
      <x:c r="B2606" s="3" t="str">
        <x:v>SEC026</x:v>
      </x:c>
      <x:c r="C2606" s="3" t="n">
        <x:v>7</x:v>
      </x:c>
      <x:c r="D2606" s="3" t="str">
        <x:v>present</x:v>
      </x:c>
      <x:c r="E2606" s="5" t="str">
        <x:f>VLOOKUP(B2606,Sections!$A$5:$I$45,3,FALSE)</x:f>
        <x:v>2025-1</x:v>
      </x:c>
    </x:row>
    <x:row r="2607" ht="21" customHeight="1">
      <x:c r="A2607" s="3" t="str">
        <x:v>2201020</x:v>
      </x:c>
      <x:c r="B2607" s="3" t="str">
        <x:v>SEC026</x:v>
      </x:c>
      <x:c r="C2607" s="3" t="n">
        <x:v>8</x:v>
      </x:c>
      <x:c r="D2607" s="3" t="str">
        <x:v>present</x:v>
      </x:c>
      <x:c r="E2607" s="5" t="str">
        <x:f>VLOOKUP(B2607,Sections!$A$5:$I$45,3,FALSE)</x:f>
        <x:v>2025-1</x:v>
      </x:c>
    </x:row>
    <x:row r="2608" ht="21" customHeight="1">
      <x:c r="A2608" s="3" t="str">
        <x:v>2201020</x:v>
      </x:c>
      <x:c r="B2608" s="3" t="str">
        <x:v>SEC026</x:v>
      </x:c>
      <x:c r="C2608" s="3" t="n">
        <x:v>9</x:v>
      </x:c>
      <x:c r="D2608" s="3" t="str">
        <x:v>present</x:v>
      </x:c>
      <x:c r="E2608" s="5" t="str">
        <x:f>VLOOKUP(B2608,Sections!$A$5:$I$45,3,FALSE)</x:f>
        <x:v>2025-1</x:v>
      </x:c>
    </x:row>
    <x:row r="2609" ht="21" customHeight="1">
      <x:c r="A2609" s="3" t="str">
        <x:v>2201020</x:v>
      </x:c>
      <x:c r="B2609" s="3" t="str">
        <x:v>SEC026</x:v>
      </x:c>
      <x:c r="C2609" s="3" t="n">
        <x:v>10</x:v>
      </x:c>
      <x:c r="D2609" s="3" t="str">
        <x:v>present</x:v>
      </x:c>
      <x:c r="E2609" s="5" t="str">
        <x:f>VLOOKUP(B2609,Sections!$A$5:$I$45,3,FALSE)</x:f>
        <x:v>2025-1</x:v>
      </x:c>
    </x:row>
    <x:row r="2610" ht="21" customHeight="1">
      <x:c r="A2610" s="3" t="str">
        <x:v>2201020</x:v>
      </x:c>
      <x:c r="B2610" s="3" t="str">
        <x:v>SEC026</x:v>
      </x:c>
      <x:c r="C2610" s="3" t="n">
        <x:v>11</x:v>
      </x:c>
      <x:c r="D2610" s="3" t="str">
        <x:v>excused</x:v>
      </x:c>
      <x:c r="E2610" s="5" t="str">
        <x:f>VLOOKUP(B2610,Sections!$A$5:$I$45,3,FALSE)</x:f>
        <x:v>2025-1</x:v>
      </x:c>
    </x:row>
    <x:row r="2611" ht="21" customHeight="1">
      <x:c r="A2611" s="3" t="str">
        <x:v>2201020</x:v>
      </x:c>
      <x:c r="B2611" s="3" t="str">
        <x:v>SEC026</x:v>
      </x:c>
      <x:c r="C2611" s="3" t="n">
        <x:v>12</x:v>
      </x:c>
      <x:c r="D2611" s="3" t="str">
        <x:v>present</x:v>
      </x:c>
      <x:c r="E2611" s="5" t="str">
        <x:f>VLOOKUP(B2611,Sections!$A$5:$I$45,3,FALSE)</x:f>
        <x:v>2025-1</x:v>
      </x:c>
    </x:row>
    <x:row r="2612" ht="21" customHeight="1">
      <x:c r="A2612" s="3" t="str">
        <x:v>2201020</x:v>
      </x:c>
      <x:c r="B2612" s="3" t="str">
        <x:v>SEC026</x:v>
      </x:c>
      <x:c r="C2612" s="3" t="n">
        <x:v>13</x:v>
      </x:c>
      <x:c r="D2612" s="3" t="str">
        <x:v>present</x:v>
      </x:c>
      <x:c r="E2612" s="5" t="str">
        <x:f>VLOOKUP(B2612,Sections!$A$5:$I$45,3,FALSE)</x:f>
        <x:v>2025-1</x:v>
      </x:c>
    </x:row>
    <x:row r="2613" ht="21" customHeight="1">
      <x:c r="A2613" s="3" t="str">
        <x:v>2201020</x:v>
      </x:c>
      <x:c r="B2613" s="3" t="str">
        <x:v>SEC026</x:v>
      </x:c>
      <x:c r="C2613" s="3" t="n">
        <x:v>14</x:v>
      </x:c>
      <x:c r="D2613" s="3" t="str">
        <x:v>absent</x:v>
      </x:c>
      <x:c r="E2613" s="5" t="str">
        <x:f>VLOOKUP(B2613,Sections!$A$5:$I$45,3,FALSE)</x:f>
        <x:v>2025-1</x:v>
      </x:c>
    </x:row>
    <x:row r="2614" ht="21" customHeight="1">
      <x:c r="A2614" s="3" t="str">
        <x:v>2201020</x:v>
      </x:c>
      <x:c r="B2614" s="3" t="str">
        <x:v>SEC026</x:v>
      </x:c>
      <x:c r="C2614" s="3" t="n">
        <x:v>15</x:v>
      </x:c>
      <x:c r="D2614" s="3" t="str">
        <x:v>absent</x:v>
      </x:c>
      <x:c r="E2614" s="5" t="str">
        <x:f>VLOOKUP(B2614,Sections!$A$5:$I$45,3,FALSE)</x:f>
        <x:v>2025-1</x:v>
      </x:c>
    </x:row>
    <x:row r="2615" ht="21" customHeight="1">
      <x:c r="A2615" s="3" t="str">
        <x:v>2202001</x:v>
      </x:c>
      <x:c r="B2615" s="3" t="str">
        <x:v>SEC027</x:v>
      </x:c>
      <x:c r="C2615" s="3" t="n">
        <x:v>1</x:v>
      </x:c>
      <x:c r="D2615" s="3" t="str">
        <x:v>present</x:v>
      </x:c>
      <x:c r="E2615" s="5" t="str">
        <x:f>VLOOKUP(B2615,Sections!$A$5:$I$45,3,FALSE)</x:f>
        <x:v>2024-1</x:v>
      </x:c>
    </x:row>
    <x:row r="2616" ht="21" customHeight="1">
      <x:c r="A2616" s="3" t="str">
        <x:v>2202001</x:v>
      </x:c>
      <x:c r="B2616" s="3" t="str">
        <x:v>SEC027</x:v>
      </x:c>
      <x:c r="C2616" s="3" t="n">
        <x:v>2</x:v>
      </x:c>
      <x:c r="D2616" s="3" t="str">
        <x:v>present</x:v>
      </x:c>
      <x:c r="E2616" s="5" t="str">
        <x:f>VLOOKUP(B2616,Sections!$A$5:$I$45,3,FALSE)</x:f>
        <x:v>2024-1</x:v>
      </x:c>
    </x:row>
    <x:row r="2617" ht="21" customHeight="1">
      <x:c r="A2617" s="3" t="str">
        <x:v>2202001</x:v>
      </x:c>
      <x:c r="B2617" s="3" t="str">
        <x:v>SEC027</x:v>
      </x:c>
      <x:c r="C2617" s="3" t="n">
        <x:v>3</x:v>
      </x:c>
      <x:c r="D2617" s="3" t="str">
        <x:v>present</x:v>
      </x:c>
      <x:c r="E2617" s="5" t="str">
        <x:f>VLOOKUP(B2617,Sections!$A$5:$I$45,3,FALSE)</x:f>
        <x:v>2024-1</x:v>
      </x:c>
    </x:row>
    <x:row r="2618" ht="21" customHeight="1">
      <x:c r="A2618" s="3" t="str">
        <x:v>2202001</x:v>
      </x:c>
      <x:c r="B2618" s="3" t="str">
        <x:v>SEC027</x:v>
      </x:c>
      <x:c r="C2618" s="3" t="n">
        <x:v>4</x:v>
      </x:c>
      <x:c r="D2618" s="3" t="str">
        <x:v>absent</x:v>
      </x:c>
      <x:c r="E2618" s="5" t="str">
        <x:f>VLOOKUP(B2618,Sections!$A$5:$I$45,3,FALSE)</x:f>
        <x:v>2024-1</x:v>
      </x:c>
    </x:row>
    <x:row r="2619" ht="21" customHeight="1">
      <x:c r="A2619" s="3" t="str">
        <x:v>2202001</x:v>
      </x:c>
      <x:c r="B2619" s="3" t="str">
        <x:v>SEC027</x:v>
      </x:c>
      <x:c r="C2619" s="3" t="n">
        <x:v>5</x:v>
      </x:c>
      <x:c r="D2619" s="3" t="str">
        <x:v>present</x:v>
      </x:c>
      <x:c r="E2619" s="5" t="str">
        <x:f>VLOOKUP(B2619,Sections!$A$5:$I$45,3,FALSE)</x:f>
        <x:v>2024-1</x:v>
      </x:c>
    </x:row>
    <x:row r="2620" ht="21" customHeight="1">
      <x:c r="A2620" s="3" t="str">
        <x:v>2202001</x:v>
      </x:c>
      <x:c r="B2620" s="3" t="str">
        <x:v>SEC027</x:v>
      </x:c>
      <x:c r="C2620" s="3" t="n">
        <x:v>6</x:v>
      </x:c>
      <x:c r="D2620" s="3" t="str">
        <x:v>present</x:v>
      </x:c>
      <x:c r="E2620" s="5" t="str">
        <x:f>VLOOKUP(B2620,Sections!$A$5:$I$45,3,FALSE)</x:f>
        <x:v>2024-1</x:v>
      </x:c>
    </x:row>
    <x:row r="2621" ht="21" customHeight="1">
      <x:c r="A2621" s="3" t="str">
        <x:v>2202001</x:v>
      </x:c>
      <x:c r="B2621" s="3" t="str">
        <x:v>SEC027</x:v>
      </x:c>
      <x:c r="C2621" s="3" t="n">
        <x:v>7</x:v>
      </x:c>
      <x:c r="D2621" s="3" t="str">
        <x:v>present</x:v>
      </x:c>
      <x:c r="E2621" s="5" t="str">
        <x:f>VLOOKUP(B2621,Sections!$A$5:$I$45,3,FALSE)</x:f>
        <x:v>2024-1</x:v>
      </x:c>
    </x:row>
    <x:row r="2622" ht="21" customHeight="1">
      <x:c r="A2622" s="3" t="str">
        <x:v>2202001</x:v>
      </x:c>
      <x:c r="B2622" s="3" t="str">
        <x:v>SEC027</x:v>
      </x:c>
      <x:c r="C2622" s="3" t="n">
        <x:v>8</x:v>
      </x:c>
      <x:c r="D2622" s="3" t="str">
        <x:v>present</x:v>
      </x:c>
      <x:c r="E2622" s="5" t="str">
        <x:f>VLOOKUP(B2622,Sections!$A$5:$I$45,3,FALSE)</x:f>
        <x:v>2024-1</x:v>
      </x:c>
    </x:row>
    <x:row r="2623" ht="21" customHeight="1">
      <x:c r="A2623" s="3" t="str">
        <x:v>2202001</x:v>
      </x:c>
      <x:c r="B2623" s="3" t="str">
        <x:v>SEC027</x:v>
      </x:c>
      <x:c r="C2623" s="3" t="n">
        <x:v>9</x:v>
      </x:c>
      <x:c r="D2623" s="3" t="str">
        <x:v>present</x:v>
      </x:c>
      <x:c r="E2623" s="5" t="str">
        <x:f>VLOOKUP(B2623,Sections!$A$5:$I$45,3,FALSE)</x:f>
        <x:v>2024-1</x:v>
      </x:c>
    </x:row>
    <x:row r="2624" ht="21" customHeight="1">
      <x:c r="A2624" s="3" t="str">
        <x:v>2202001</x:v>
      </x:c>
      <x:c r="B2624" s="3" t="str">
        <x:v>SEC027</x:v>
      </x:c>
      <x:c r="C2624" s="3" t="n">
        <x:v>10</x:v>
      </x:c>
      <x:c r="D2624" s="3" t="str">
        <x:v>absent</x:v>
      </x:c>
      <x:c r="E2624" s="5" t="str">
        <x:f>VLOOKUP(B2624,Sections!$A$5:$I$45,3,FALSE)</x:f>
        <x:v>2024-1</x:v>
      </x:c>
    </x:row>
    <x:row r="2625" ht="21" customHeight="1">
      <x:c r="A2625" s="3" t="str">
        <x:v>2202001</x:v>
      </x:c>
      <x:c r="B2625" s="3" t="str">
        <x:v>SEC027</x:v>
      </x:c>
      <x:c r="C2625" s="3" t="n">
        <x:v>11</x:v>
      </x:c>
      <x:c r="D2625" s="3" t="str">
        <x:v>present</x:v>
      </x:c>
      <x:c r="E2625" s="5" t="str">
        <x:f>VLOOKUP(B2625,Sections!$A$5:$I$45,3,FALSE)</x:f>
        <x:v>2024-1</x:v>
      </x:c>
    </x:row>
    <x:row r="2626" ht="21" customHeight="1">
      <x:c r="A2626" s="3" t="str">
        <x:v>2202001</x:v>
      </x:c>
      <x:c r="B2626" s="3" t="str">
        <x:v>SEC027</x:v>
      </x:c>
      <x:c r="C2626" s="3" t="n">
        <x:v>12</x:v>
      </x:c>
      <x:c r="D2626" s="3" t="str">
        <x:v>present</x:v>
      </x:c>
      <x:c r="E2626" s="5" t="str">
        <x:f>VLOOKUP(B2626,Sections!$A$5:$I$45,3,FALSE)</x:f>
        <x:v>2024-1</x:v>
      </x:c>
    </x:row>
    <x:row r="2627" ht="21" customHeight="1">
      <x:c r="A2627" s="3" t="str">
        <x:v>2202001</x:v>
      </x:c>
      <x:c r="B2627" s="3" t="str">
        <x:v>SEC027</x:v>
      </x:c>
      <x:c r="C2627" s="3" t="n">
        <x:v>13</x:v>
      </x:c>
      <x:c r="D2627" s="3" t="str">
        <x:v>present</x:v>
      </x:c>
      <x:c r="E2627" s="5" t="str">
        <x:f>VLOOKUP(B2627,Sections!$A$5:$I$45,3,FALSE)</x:f>
        <x:v>2024-1</x:v>
      </x:c>
    </x:row>
    <x:row r="2628" ht="21" customHeight="1">
      <x:c r="A2628" s="3" t="str">
        <x:v>2202001</x:v>
      </x:c>
      <x:c r="B2628" s="3" t="str">
        <x:v>SEC027</x:v>
      </x:c>
      <x:c r="C2628" s="3" t="n">
        <x:v>14</x:v>
      </x:c>
      <x:c r="D2628" s="3" t="str">
        <x:v>present</x:v>
      </x:c>
      <x:c r="E2628" s="5" t="str">
        <x:f>VLOOKUP(B2628,Sections!$A$5:$I$45,3,FALSE)</x:f>
        <x:v>2024-1</x:v>
      </x:c>
    </x:row>
    <x:row r="2629" ht="21" customHeight="1">
      <x:c r="A2629" s="3" t="str">
        <x:v>2202001</x:v>
      </x:c>
      <x:c r="B2629" s="3" t="str">
        <x:v>SEC027</x:v>
      </x:c>
      <x:c r="C2629" s="3" t="n">
        <x:v>15</x:v>
      </x:c>
      <x:c r="D2629" s="3" t="str">
        <x:v>present</x:v>
      </x:c>
      <x:c r="E2629" s="5" t="str">
        <x:f>VLOOKUP(B2629,Sections!$A$5:$I$45,3,FALSE)</x:f>
        <x:v>2024-1</x:v>
      </x:c>
    </x:row>
    <x:row r="2630" ht="21" customHeight="1">
      <x:c r="A2630" s="3" t="str">
        <x:v>2202002</x:v>
      </x:c>
      <x:c r="B2630" s="3" t="str">
        <x:v>SEC027</x:v>
      </x:c>
      <x:c r="C2630" s="3" t="n">
        <x:v>1</x:v>
      </x:c>
      <x:c r="D2630" s="3" t="str">
        <x:v>present</x:v>
      </x:c>
      <x:c r="E2630" s="5" t="str">
        <x:f>VLOOKUP(B2630,Sections!$A$5:$I$45,3,FALSE)</x:f>
        <x:v>2024-1</x:v>
      </x:c>
    </x:row>
    <x:row r="2631" ht="21" customHeight="1">
      <x:c r="A2631" s="3" t="str">
        <x:v>2202002</x:v>
      </x:c>
      <x:c r="B2631" s="3" t="str">
        <x:v>SEC027</x:v>
      </x:c>
      <x:c r="C2631" s="3" t="n">
        <x:v>2</x:v>
      </x:c>
      <x:c r="D2631" s="3" t="str">
        <x:v>present</x:v>
      </x:c>
      <x:c r="E2631" s="5" t="str">
        <x:f>VLOOKUP(B2631,Sections!$A$5:$I$45,3,FALSE)</x:f>
        <x:v>2024-1</x:v>
      </x:c>
    </x:row>
    <x:row r="2632" ht="21" customHeight="1">
      <x:c r="A2632" s="3" t="str">
        <x:v>2202002</x:v>
      </x:c>
      <x:c r="B2632" s="3" t="str">
        <x:v>SEC027</x:v>
      </x:c>
      <x:c r="C2632" s="3" t="n">
        <x:v>3</x:v>
      </x:c>
      <x:c r="D2632" s="3" t="str">
        <x:v>present</x:v>
      </x:c>
      <x:c r="E2632" s="5" t="str">
        <x:f>VLOOKUP(B2632,Sections!$A$5:$I$45,3,FALSE)</x:f>
        <x:v>2024-1</x:v>
      </x:c>
    </x:row>
    <x:row r="2633" ht="21" customHeight="1">
      <x:c r="A2633" s="3" t="str">
        <x:v>2202002</x:v>
      </x:c>
      <x:c r="B2633" s="3" t="str">
        <x:v>SEC027</x:v>
      </x:c>
      <x:c r="C2633" s="3" t="n">
        <x:v>4</x:v>
      </x:c>
      <x:c r="D2633" s="3" t="str">
        <x:v>present</x:v>
      </x:c>
      <x:c r="E2633" s="5" t="str">
        <x:f>VLOOKUP(B2633,Sections!$A$5:$I$45,3,FALSE)</x:f>
        <x:v>2024-1</x:v>
      </x:c>
    </x:row>
    <x:row r="2634" ht="21" customHeight="1">
      <x:c r="A2634" s="3" t="str">
        <x:v>2202002</x:v>
      </x:c>
      <x:c r="B2634" s="3" t="str">
        <x:v>SEC027</x:v>
      </x:c>
      <x:c r="C2634" s="3" t="n">
        <x:v>5</x:v>
      </x:c>
      <x:c r="D2634" s="3" t="str">
        <x:v>present</x:v>
      </x:c>
      <x:c r="E2634" s="5" t="str">
        <x:f>VLOOKUP(B2634,Sections!$A$5:$I$45,3,FALSE)</x:f>
        <x:v>2024-1</x:v>
      </x:c>
    </x:row>
    <x:row r="2635" ht="21" customHeight="1">
      <x:c r="A2635" s="3" t="str">
        <x:v>2202002</x:v>
      </x:c>
      <x:c r="B2635" s="3" t="str">
        <x:v>SEC027</x:v>
      </x:c>
      <x:c r="C2635" s="3" t="n">
        <x:v>6</x:v>
      </x:c>
      <x:c r="D2635" s="3" t="str">
        <x:v>present</x:v>
      </x:c>
      <x:c r="E2635" s="5" t="str">
        <x:f>VLOOKUP(B2635,Sections!$A$5:$I$45,3,FALSE)</x:f>
        <x:v>2024-1</x:v>
      </x:c>
    </x:row>
    <x:row r="2636" ht="21" customHeight="1">
      <x:c r="A2636" s="3" t="str">
        <x:v>2202002</x:v>
      </x:c>
      <x:c r="B2636" s="3" t="str">
        <x:v>SEC027</x:v>
      </x:c>
      <x:c r="C2636" s="3" t="n">
        <x:v>7</x:v>
      </x:c>
      <x:c r="D2636" s="3" t="str">
        <x:v>present</x:v>
      </x:c>
      <x:c r="E2636" s="5" t="str">
        <x:f>VLOOKUP(B2636,Sections!$A$5:$I$45,3,FALSE)</x:f>
        <x:v>2024-1</x:v>
      </x:c>
    </x:row>
    <x:row r="2637" ht="21" customHeight="1">
      <x:c r="A2637" s="3" t="str">
        <x:v>2202002</x:v>
      </x:c>
      <x:c r="B2637" s="3" t="str">
        <x:v>SEC027</x:v>
      </x:c>
      <x:c r="C2637" s="3" t="n">
        <x:v>8</x:v>
      </x:c>
      <x:c r="D2637" s="3" t="str">
        <x:v>present</x:v>
      </x:c>
      <x:c r="E2637" s="5" t="str">
        <x:f>VLOOKUP(B2637,Sections!$A$5:$I$45,3,FALSE)</x:f>
        <x:v>2024-1</x:v>
      </x:c>
    </x:row>
    <x:row r="2638" ht="21" customHeight="1">
      <x:c r="A2638" s="3" t="str">
        <x:v>2202002</x:v>
      </x:c>
      <x:c r="B2638" s="3" t="str">
        <x:v>SEC027</x:v>
      </x:c>
      <x:c r="C2638" s="3" t="n">
        <x:v>9</x:v>
      </x:c>
      <x:c r="D2638" s="3" t="str">
        <x:v>present</x:v>
      </x:c>
      <x:c r="E2638" s="5" t="str">
        <x:f>VLOOKUP(B2638,Sections!$A$5:$I$45,3,FALSE)</x:f>
        <x:v>2024-1</x:v>
      </x:c>
    </x:row>
    <x:row r="2639" ht="21" customHeight="1">
      <x:c r="A2639" s="3" t="str">
        <x:v>2202002</x:v>
      </x:c>
      <x:c r="B2639" s="3" t="str">
        <x:v>SEC027</x:v>
      </x:c>
      <x:c r="C2639" s="3" t="n">
        <x:v>10</x:v>
      </x:c>
      <x:c r="D2639" s="3" t="str">
        <x:v>late</x:v>
      </x:c>
      <x:c r="E2639" s="5" t="str">
        <x:f>VLOOKUP(B2639,Sections!$A$5:$I$45,3,FALSE)</x:f>
        <x:v>2024-1</x:v>
      </x:c>
    </x:row>
    <x:row r="2640" ht="21" customHeight="1">
      <x:c r="A2640" s="3" t="str">
        <x:v>2202002</x:v>
      </x:c>
      <x:c r="B2640" s="3" t="str">
        <x:v>SEC027</x:v>
      </x:c>
      <x:c r="C2640" s="3" t="n">
        <x:v>11</x:v>
      </x:c>
      <x:c r="D2640" s="3" t="str">
        <x:v>present</x:v>
      </x:c>
      <x:c r="E2640" s="5" t="str">
        <x:f>VLOOKUP(B2640,Sections!$A$5:$I$45,3,FALSE)</x:f>
        <x:v>2024-1</x:v>
      </x:c>
    </x:row>
    <x:row r="2641" ht="21" customHeight="1">
      <x:c r="A2641" s="3" t="str">
        <x:v>2202002</x:v>
      </x:c>
      <x:c r="B2641" s="3" t="str">
        <x:v>SEC027</x:v>
      </x:c>
      <x:c r="C2641" s="3" t="n">
        <x:v>12</x:v>
      </x:c>
      <x:c r="D2641" s="3" t="str">
        <x:v>present</x:v>
      </x:c>
      <x:c r="E2641" s="5" t="str">
        <x:f>VLOOKUP(B2641,Sections!$A$5:$I$45,3,FALSE)</x:f>
        <x:v>2024-1</x:v>
      </x:c>
    </x:row>
    <x:row r="2642" ht="21" customHeight="1">
      <x:c r="A2642" s="3" t="str">
        <x:v>2202002</x:v>
      </x:c>
      <x:c r="B2642" s="3" t="str">
        <x:v>SEC027</x:v>
      </x:c>
      <x:c r="C2642" s="3" t="n">
        <x:v>13</x:v>
      </x:c>
      <x:c r="D2642" s="3" t="str">
        <x:v>present</x:v>
      </x:c>
      <x:c r="E2642" s="5" t="str">
        <x:f>VLOOKUP(B2642,Sections!$A$5:$I$45,3,FALSE)</x:f>
        <x:v>2024-1</x:v>
      </x:c>
    </x:row>
    <x:row r="2643" ht="21" customHeight="1">
      <x:c r="A2643" s="3" t="str">
        <x:v>2202002</x:v>
      </x:c>
      <x:c r="B2643" s="3" t="str">
        <x:v>SEC027</x:v>
      </x:c>
      <x:c r="C2643" s="3" t="n">
        <x:v>14</x:v>
      </x:c>
      <x:c r="D2643" s="3" t="str">
        <x:v>present</x:v>
      </x:c>
      <x:c r="E2643" s="5" t="str">
        <x:f>VLOOKUP(B2643,Sections!$A$5:$I$45,3,FALSE)</x:f>
        <x:v>2024-1</x:v>
      </x:c>
    </x:row>
    <x:row r="2644" ht="21" customHeight="1">
      <x:c r="A2644" s="3" t="str">
        <x:v>2202002</x:v>
      </x:c>
      <x:c r="B2644" s="3" t="str">
        <x:v>SEC027</x:v>
      </x:c>
      <x:c r="C2644" s="3" t="n">
        <x:v>15</x:v>
      </x:c>
      <x:c r="D2644" s="3" t="str">
        <x:v>present</x:v>
      </x:c>
      <x:c r="E2644" s="5" t="str">
        <x:f>VLOOKUP(B2644,Sections!$A$5:$I$45,3,FALSE)</x:f>
        <x:v>2024-1</x:v>
      </x:c>
    </x:row>
    <x:row r="2645" ht="21" customHeight="1">
      <x:c r="A2645" s="3" t="str">
        <x:v>2202003</x:v>
      </x:c>
      <x:c r="B2645" s="3" t="str">
        <x:v>SEC027</x:v>
      </x:c>
      <x:c r="C2645" s="3" t="n">
        <x:v>1</x:v>
      </x:c>
      <x:c r="D2645" s="3" t="str">
        <x:v>present</x:v>
      </x:c>
      <x:c r="E2645" s="5" t="str">
        <x:f>VLOOKUP(B2645,Sections!$A$5:$I$45,3,FALSE)</x:f>
        <x:v>2024-1</x:v>
      </x:c>
    </x:row>
    <x:row r="2646" ht="21" customHeight="1">
      <x:c r="A2646" s="3" t="str">
        <x:v>2202003</x:v>
      </x:c>
      <x:c r="B2646" s="3" t="str">
        <x:v>SEC027</x:v>
      </x:c>
      <x:c r="C2646" s="3" t="n">
        <x:v>2</x:v>
      </x:c>
      <x:c r="D2646" s="3" t="str">
        <x:v>present</x:v>
      </x:c>
      <x:c r="E2646" s="5" t="str">
        <x:f>VLOOKUP(B2646,Sections!$A$5:$I$45,3,FALSE)</x:f>
        <x:v>2024-1</x:v>
      </x:c>
    </x:row>
    <x:row r="2647" ht="21" customHeight="1">
      <x:c r="A2647" s="3" t="str">
        <x:v>2202003</x:v>
      </x:c>
      <x:c r="B2647" s="3" t="str">
        <x:v>SEC027</x:v>
      </x:c>
      <x:c r="C2647" s="3" t="n">
        <x:v>3</x:v>
      </x:c>
      <x:c r="D2647" s="3" t="str">
        <x:v>present</x:v>
      </x:c>
      <x:c r="E2647" s="5" t="str">
        <x:f>VLOOKUP(B2647,Sections!$A$5:$I$45,3,FALSE)</x:f>
        <x:v>2024-1</x:v>
      </x:c>
    </x:row>
    <x:row r="2648" ht="21" customHeight="1">
      <x:c r="A2648" s="3" t="str">
        <x:v>2202003</x:v>
      </x:c>
      <x:c r="B2648" s="3" t="str">
        <x:v>SEC027</x:v>
      </x:c>
      <x:c r="C2648" s="3" t="n">
        <x:v>4</x:v>
      </x:c>
      <x:c r="D2648" s="3" t="str">
        <x:v>present</x:v>
      </x:c>
      <x:c r="E2648" s="5" t="str">
        <x:f>VLOOKUP(B2648,Sections!$A$5:$I$45,3,FALSE)</x:f>
        <x:v>2024-1</x:v>
      </x:c>
    </x:row>
    <x:row r="2649" ht="21" customHeight="1">
      <x:c r="A2649" s="3" t="str">
        <x:v>2202003</x:v>
      </x:c>
      <x:c r="B2649" s="3" t="str">
        <x:v>SEC027</x:v>
      </x:c>
      <x:c r="C2649" s="3" t="n">
        <x:v>5</x:v>
      </x:c>
      <x:c r="D2649" s="3" t="str">
        <x:v>present</x:v>
      </x:c>
      <x:c r="E2649" s="5" t="str">
        <x:f>VLOOKUP(B2649,Sections!$A$5:$I$45,3,FALSE)</x:f>
        <x:v>2024-1</x:v>
      </x:c>
    </x:row>
    <x:row r="2650" ht="21" customHeight="1">
      <x:c r="A2650" s="3" t="str">
        <x:v>2202003</x:v>
      </x:c>
      <x:c r="B2650" s="3" t="str">
        <x:v>SEC027</x:v>
      </x:c>
      <x:c r="C2650" s="3" t="n">
        <x:v>6</x:v>
      </x:c>
      <x:c r="D2650" s="3" t="str">
        <x:v>present</x:v>
      </x:c>
      <x:c r="E2650" s="5" t="str">
        <x:f>VLOOKUP(B2650,Sections!$A$5:$I$45,3,FALSE)</x:f>
        <x:v>2024-1</x:v>
      </x:c>
    </x:row>
    <x:row r="2651" ht="21" customHeight="1">
      <x:c r="A2651" s="3" t="str">
        <x:v>2202003</x:v>
      </x:c>
      <x:c r="B2651" s="3" t="str">
        <x:v>SEC027</x:v>
      </x:c>
      <x:c r="C2651" s="3" t="n">
        <x:v>7</x:v>
      </x:c>
      <x:c r="D2651" s="3" t="str">
        <x:v>present</x:v>
      </x:c>
      <x:c r="E2651" s="5" t="str">
        <x:f>VLOOKUP(B2651,Sections!$A$5:$I$45,3,FALSE)</x:f>
        <x:v>2024-1</x:v>
      </x:c>
    </x:row>
    <x:row r="2652" ht="21" customHeight="1">
      <x:c r="A2652" s="3" t="str">
        <x:v>2202003</x:v>
      </x:c>
      <x:c r="B2652" s="3" t="str">
        <x:v>SEC027</x:v>
      </x:c>
      <x:c r="C2652" s="3" t="n">
        <x:v>8</x:v>
      </x:c>
      <x:c r="D2652" s="3" t="str">
        <x:v>present</x:v>
      </x:c>
      <x:c r="E2652" s="5" t="str">
        <x:f>VLOOKUP(B2652,Sections!$A$5:$I$45,3,FALSE)</x:f>
        <x:v>2024-1</x:v>
      </x:c>
    </x:row>
    <x:row r="2653" ht="21" customHeight="1">
      <x:c r="A2653" s="3" t="str">
        <x:v>2202003</x:v>
      </x:c>
      <x:c r="B2653" s="3" t="str">
        <x:v>SEC027</x:v>
      </x:c>
      <x:c r="C2653" s="3" t="n">
        <x:v>9</x:v>
      </x:c>
      <x:c r="D2653" s="3" t="str">
        <x:v>present</x:v>
      </x:c>
      <x:c r="E2653" s="5" t="str">
        <x:f>VLOOKUP(B2653,Sections!$A$5:$I$45,3,FALSE)</x:f>
        <x:v>2024-1</x:v>
      </x:c>
    </x:row>
    <x:row r="2654" ht="21" customHeight="1">
      <x:c r="A2654" s="3" t="str">
        <x:v>2202003</x:v>
      </x:c>
      <x:c r="B2654" s="3" t="str">
        <x:v>SEC027</x:v>
      </x:c>
      <x:c r="C2654" s="3" t="n">
        <x:v>10</x:v>
      </x:c>
      <x:c r="D2654" s="3" t="str">
        <x:v>present</x:v>
      </x:c>
      <x:c r="E2654" s="5" t="str">
        <x:f>VLOOKUP(B2654,Sections!$A$5:$I$45,3,FALSE)</x:f>
        <x:v>2024-1</x:v>
      </x:c>
    </x:row>
    <x:row r="2655" ht="21" customHeight="1">
      <x:c r="A2655" s="3" t="str">
        <x:v>2202003</x:v>
      </x:c>
      <x:c r="B2655" s="3" t="str">
        <x:v>SEC027</x:v>
      </x:c>
      <x:c r="C2655" s="3" t="n">
        <x:v>11</x:v>
      </x:c>
      <x:c r="D2655" s="3" t="str">
        <x:v>present</x:v>
      </x:c>
      <x:c r="E2655" s="5" t="str">
        <x:f>VLOOKUP(B2655,Sections!$A$5:$I$45,3,FALSE)</x:f>
        <x:v>2024-1</x:v>
      </x:c>
    </x:row>
    <x:row r="2656" ht="21" customHeight="1">
      <x:c r="A2656" s="3" t="str">
        <x:v>2202003</x:v>
      </x:c>
      <x:c r="B2656" s="3" t="str">
        <x:v>SEC027</x:v>
      </x:c>
      <x:c r="C2656" s="3" t="n">
        <x:v>12</x:v>
      </x:c>
      <x:c r="D2656" s="3" t="str">
        <x:v>late</x:v>
      </x:c>
      <x:c r="E2656" s="5" t="str">
        <x:f>VLOOKUP(B2656,Sections!$A$5:$I$45,3,FALSE)</x:f>
        <x:v>2024-1</x:v>
      </x:c>
    </x:row>
    <x:row r="2657" ht="21" customHeight="1">
      <x:c r="A2657" s="3" t="str">
        <x:v>2202003</x:v>
      </x:c>
      <x:c r="B2657" s="3" t="str">
        <x:v>SEC027</x:v>
      </x:c>
      <x:c r="C2657" s="3" t="n">
        <x:v>13</x:v>
      </x:c>
      <x:c r="D2657" s="3" t="str">
        <x:v>present</x:v>
      </x:c>
      <x:c r="E2657" s="5" t="str">
        <x:f>VLOOKUP(B2657,Sections!$A$5:$I$45,3,FALSE)</x:f>
        <x:v>2024-1</x:v>
      </x:c>
    </x:row>
    <x:row r="2658" ht="21" customHeight="1">
      <x:c r="A2658" s="3" t="str">
        <x:v>2202003</x:v>
      </x:c>
      <x:c r="B2658" s="3" t="str">
        <x:v>SEC027</x:v>
      </x:c>
      <x:c r="C2658" s="3" t="n">
        <x:v>14</x:v>
      </x:c>
      <x:c r="D2658" s="3" t="str">
        <x:v>present</x:v>
      </x:c>
      <x:c r="E2658" s="5" t="str">
        <x:f>VLOOKUP(B2658,Sections!$A$5:$I$45,3,FALSE)</x:f>
        <x:v>2024-1</x:v>
      </x:c>
    </x:row>
    <x:row r="2659" ht="21" customHeight="1">
      <x:c r="A2659" s="3" t="str">
        <x:v>2202003</x:v>
      </x:c>
      <x:c r="B2659" s="3" t="str">
        <x:v>SEC027</x:v>
      </x:c>
      <x:c r="C2659" s="3" t="n">
        <x:v>15</x:v>
      </x:c>
      <x:c r="D2659" s="3" t="str">
        <x:v>present</x:v>
      </x:c>
      <x:c r="E2659" s="5" t="str">
        <x:f>VLOOKUP(B2659,Sections!$A$5:$I$45,3,FALSE)</x:f>
        <x:v>2024-1</x:v>
      </x:c>
    </x:row>
    <x:row r="2660" ht="21" customHeight="1">
      <x:c r="A2660" s="3" t="str">
        <x:v>2202004</x:v>
      </x:c>
      <x:c r="B2660" s="3" t="str">
        <x:v>SEC027</x:v>
      </x:c>
      <x:c r="C2660" s="3" t="n">
        <x:v>1</x:v>
      </x:c>
      <x:c r="D2660" s="3" t="str">
        <x:v>present</x:v>
      </x:c>
      <x:c r="E2660" s="5" t="str">
        <x:f>VLOOKUP(B2660,Sections!$A$5:$I$45,3,FALSE)</x:f>
        <x:v>2024-1</x:v>
      </x:c>
    </x:row>
    <x:row r="2661" ht="21" customHeight="1">
      <x:c r="A2661" s="3" t="str">
        <x:v>2202004</x:v>
      </x:c>
      <x:c r="B2661" s="3" t="str">
        <x:v>SEC027</x:v>
      </x:c>
      <x:c r="C2661" s="3" t="n">
        <x:v>2</x:v>
      </x:c>
      <x:c r="D2661" s="3" t="str">
        <x:v>present</x:v>
      </x:c>
      <x:c r="E2661" s="5" t="str">
        <x:f>VLOOKUP(B2661,Sections!$A$5:$I$45,3,FALSE)</x:f>
        <x:v>2024-1</x:v>
      </x:c>
    </x:row>
    <x:row r="2662" ht="21" customHeight="1">
      <x:c r="A2662" s="3" t="str">
        <x:v>2202004</x:v>
      </x:c>
      <x:c r="B2662" s="3" t="str">
        <x:v>SEC027</x:v>
      </x:c>
      <x:c r="C2662" s="3" t="n">
        <x:v>3</x:v>
      </x:c>
      <x:c r="D2662" s="3" t="str">
        <x:v>present</x:v>
      </x:c>
      <x:c r="E2662" s="5" t="str">
        <x:f>VLOOKUP(B2662,Sections!$A$5:$I$45,3,FALSE)</x:f>
        <x:v>2024-1</x:v>
      </x:c>
    </x:row>
    <x:row r="2663" ht="21" customHeight="1">
      <x:c r="A2663" s="3" t="str">
        <x:v>2202004</x:v>
      </x:c>
      <x:c r="B2663" s="3" t="str">
        <x:v>SEC027</x:v>
      </x:c>
      <x:c r="C2663" s="3" t="n">
        <x:v>4</x:v>
      </x:c>
      <x:c r="D2663" s="3" t="str">
        <x:v>present</x:v>
      </x:c>
      <x:c r="E2663" s="5" t="str">
        <x:f>VLOOKUP(B2663,Sections!$A$5:$I$45,3,FALSE)</x:f>
        <x:v>2024-1</x:v>
      </x:c>
    </x:row>
    <x:row r="2664" ht="21" customHeight="1">
      <x:c r="A2664" s="3" t="str">
        <x:v>2202004</x:v>
      </x:c>
      <x:c r="B2664" s="3" t="str">
        <x:v>SEC027</x:v>
      </x:c>
      <x:c r="C2664" s="3" t="n">
        <x:v>5</x:v>
      </x:c>
      <x:c r="D2664" s="3" t="str">
        <x:v>present</x:v>
      </x:c>
      <x:c r="E2664" s="5" t="str">
        <x:f>VLOOKUP(B2664,Sections!$A$5:$I$45,3,FALSE)</x:f>
        <x:v>2024-1</x:v>
      </x:c>
    </x:row>
    <x:row r="2665" ht="21" customHeight="1">
      <x:c r="A2665" s="3" t="str">
        <x:v>2202004</x:v>
      </x:c>
      <x:c r="B2665" s="3" t="str">
        <x:v>SEC027</x:v>
      </x:c>
      <x:c r="C2665" s="3" t="n">
        <x:v>6</x:v>
      </x:c>
      <x:c r="D2665" s="3" t="str">
        <x:v>excused</x:v>
      </x:c>
      <x:c r="E2665" s="5" t="str">
        <x:f>VLOOKUP(B2665,Sections!$A$5:$I$45,3,FALSE)</x:f>
        <x:v>2024-1</x:v>
      </x:c>
    </x:row>
    <x:row r="2666" ht="21" customHeight="1">
      <x:c r="A2666" s="3" t="str">
        <x:v>2202004</x:v>
      </x:c>
      <x:c r="B2666" s="3" t="str">
        <x:v>SEC027</x:v>
      </x:c>
      <x:c r="C2666" s="3" t="n">
        <x:v>7</x:v>
      </x:c>
      <x:c r="D2666" s="3" t="str">
        <x:v>present</x:v>
      </x:c>
      <x:c r="E2666" s="5" t="str">
        <x:f>VLOOKUP(B2666,Sections!$A$5:$I$45,3,FALSE)</x:f>
        <x:v>2024-1</x:v>
      </x:c>
    </x:row>
    <x:row r="2667" ht="21" customHeight="1">
      <x:c r="A2667" s="3" t="str">
        <x:v>2202004</x:v>
      </x:c>
      <x:c r="B2667" s="3" t="str">
        <x:v>SEC027</x:v>
      </x:c>
      <x:c r="C2667" s="3" t="n">
        <x:v>8</x:v>
      </x:c>
      <x:c r="D2667" s="3" t="str">
        <x:v>present</x:v>
      </x:c>
      <x:c r="E2667" s="5" t="str">
        <x:f>VLOOKUP(B2667,Sections!$A$5:$I$45,3,FALSE)</x:f>
        <x:v>2024-1</x:v>
      </x:c>
    </x:row>
    <x:row r="2668" ht="21" customHeight="1">
      <x:c r="A2668" s="3" t="str">
        <x:v>2202004</x:v>
      </x:c>
      <x:c r="B2668" s="3" t="str">
        <x:v>SEC027</x:v>
      </x:c>
      <x:c r="C2668" s="3" t="n">
        <x:v>9</x:v>
      </x:c>
      <x:c r="D2668" s="3" t="str">
        <x:v>present</x:v>
      </x:c>
      <x:c r="E2668" s="5" t="str">
        <x:f>VLOOKUP(B2668,Sections!$A$5:$I$45,3,FALSE)</x:f>
        <x:v>2024-1</x:v>
      </x:c>
    </x:row>
    <x:row r="2669" ht="21" customHeight="1">
      <x:c r="A2669" s="3" t="str">
        <x:v>2202004</x:v>
      </x:c>
      <x:c r="B2669" s="3" t="str">
        <x:v>SEC027</x:v>
      </x:c>
      <x:c r="C2669" s="3" t="n">
        <x:v>10</x:v>
      </x:c>
      <x:c r="D2669" s="3" t="str">
        <x:v>present</x:v>
      </x:c>
      <x:c r="E2669" s="5" t="str">
        <x:f>VLOOKUP(B2669,Sections!$A$5:$I$45,3,FALSE)</x:f>
        <x:v>2024-1</x:v>
      </x:c>
    </x:row>
    <x:row r="2670" ht="21" customHeight="1">
      <x:c r="A2670" s="3" t="str">
        <x:v>2202004</x:v>
      </x:c>
      <x:c r="B2670" s="3" t="str">
        <x:v>SEC027</x:v>
      </x:c>
      <x:c r="C2670" s="3" t="n">
        <x:v>11</x:v>
      </x:c>
      <x:c r="D2670" s="3" t="str">
        <x:v>present</x:v>
      </x:c>
      <x:c r="E2670" s="5" t="str">
        <x:f>VLOOKUP(B2670,Sections!$A$5:$I$45,3,FALSE)</x:f>
        <x:v>2024-1</x:v>
      </x:c>
    </x:row>
    <x:row r="2671" ht="21" customHeight="1">
      <x:c r="A2671" s="3" t="str">
        <x:v>2202004</x:v>
      </x:c>
      <x:c r="B2671" s="3" t="str">
        <x:v>SEC027</x:v>
      </x:c>
      <x:c r="C2671" s="3" t="n">
        <x:v>12</x:v>
      </x:c>
      <x:c r="D2671" s="3" t="str">
        <x:v>present</x:v>
      </x:c>
      <x:c r="E2671" s="5" t="str">
        <x:f>VLOOKUP(B2671,Sections!$A$5:$I$45,3,FALSE)</x:f>
        <x:v>2024-1</x:v>
      </x:c>
    </x:row>
    <x:row r="2672" ht="21" customHeight="1">
      <x:c r="A2672" s="3" t="str">
        <x:v>2202004</x:v>
      </x:c>
      <x:c r="B2672" s="3" t="str">
        <x:v>SEC027</x:v>
      </x:c>
      <x:c r="C2672" s="3" t="n">
        <x:v>13</x:v>
      </x:c>
      <x:c r="D2672" s="3" t="str">
        <x:v>present</x:v>
      </x:c>
      <x:c r="E2672" s="5" t="str">
        <x:f>VLOOKUP(B2672,Sections!$A$5:$I$45,3,FALSE)</x:f>
        <x:v>2024-1</x:v>
      </x:c>
    </x:row>
    <x:row r="2673" ht="21" customHeight="1">
      <x:c r="A2673" s="3" t="str">
        <x:v>2202004</x:v>
      </x:c>
      <x:c r="B2673" s="3" t="str">
        <x:v>SEC027</x:v>
      </x:c>
      <x:c r="C2673" s="3" t="n">
        <x:v>14</x:v>
      </x:c>
      <x:c r="D2673" s="3" t="str">
        <x:v>present</x:v>
      </x:c>
      <x:c r="E2673" s="5" t="str">
        <x:f>VLOOKUP(B2673,Sections!$A$5:$I$45,3,FALSE)</x:f>
        <x:v>2024-1</x:v>
      </x:c>
    </x:row>
    <x:row r="2674" ht="21" customHeight="1">
      <x:c r="A2674" s="3" t="str">
        <x:v>2202004</x:v>
      </x:c>
      <x:c r="B2674" s="3" t="str">
        <x:v>SEC027</x:v>
      </x:c>
      <x:c r="C2674" s="3" t="n">
        <x:v>15</x:v>
      </x:c>
      <x:c r="D2674" s="3" t="str">
        <x:v>present</x:v>
      </x:c>
      <x:c r="E2674" s="5" t="str">
        <x:f>VLOOKUP(B2674,Sections!$A$5:$I$45,3,FALSE)</x:f>
        <x:v>2024-1</x:v>
      </x:c>
    </x:row>
    <x:row r="2675" ht="21" customHeight="1">
      <x:c r="A2675" s="3" t="str">
        <x:v>2202005</x:v>
      </x:c>
      <x:c r="B2675" s="3" t="str">
        <x:v>SEC027</x:v>
      </x:c>
      <x:c r="C2675" s="3" t="n">
        <x:v>1</x:v>
      </x:c>
      <x:c r="D2675" s="3" t="str">
        <x:v>absent</x:v>
      </x:c>
      <x:c r="E2675" s="5" t="str">
        <x:f>VLOOKUP(B2675,Sections!$A$5:$I$45,3,FALSE)</x:f>
        <x:v>2024-1</x:v>
      </x:c>
    </x:row>
    <x:row r="2676" ht="21" customHeight="1">
      <x:c r="A2676" s="3" t="str">
        <x:v>2202005</x:v>
      </x:c>
      <x:c r="B2676" s="3" t="str">
        <x:v>SEC027</x:v>
      </x:c>
      <x:c r="C2676" s="3" t="n">
        <x:v>2</x:v>
      </x:c>
      <x:c r="D2676" s="3" t="str">
        <x:v>present</x:v>
      </x:c>
      <x:c r="E2676" s="5" t="str">
        <x:f>VLOOKUP(B2676,Sections!$A$5:$I$45,3,FALSE)</x:f>
        <x:v>2024-1</x:v>
      </x:c>
    </x:row>
    <x:row r="2677" ht="21" customHeight="1">
      <x:c r="A2677" s="3" t="str">
        <x:v>2202005</x:v>
      </x:c>
      <x:c r="B2677" s="3" t="str">
        <x:v>SEC027</x:v>
      </x:c>
      <x:c r="C2677" s="3" t="n">
        <x:v>3</x:v>
      </x:c>
      <x:c r="D2677" s="3" t="str">
        <x:v>absent</x:v>
      </x:c>
      <x:c r="E2677" s="5" t="str">
        <x:f>VLOOKUP(B2677,Sections!$A$5:$I$45,3,FALSE)</x:f>
        <x:v>2024-1</x:v>
      </x:c>
    </x:row>
    <x:row r="2678" ht="21" customHeight="1">
      <x:c r="A2678" s="3" t="str">
        <x:v>2202005</x:v>
      </x:c>
      <x:c r="B2678" s="3" t="str">
        <x:v>SEC027</x:v>
      </x:c>
      <x:c r="C2678" s="3" t="n">
        <x:v>4</x:v>
      </x:c>
      <x:c r="D2678" s="3" t="str">
        <x:v>excused</x:v>
      </x:c>
      <x:c r="E2678" s="5" t="str">
        <x:f>VLOOKUP(B2678,Sections!$A$5:$I$45,3,FALSE)</x:f>
        <x:v>2024-1</x:v>
      </x:c>
    </x:row>
    <x:row r="2679" ht="21" customHeight="1">
      <x:c r="A2679" s="3" t="str">
        <x:v>2202005</x:v>
      </x:c>
      <x:c r="B2679" s="3" t="str">
        <x:v>SEC027</x:v>
      </x:c>
      <x:c r="C2679" s="3" t="n">
        <x:v>5</x:v>
      </x:c>
      <x:c r="D2679" s="3" t="str">
        <x:v>present</x:v>
      </x:c>
      <x:c r="E2679" s="5" t="str">
        <x:f>VLOOKUP(B2679,Sections!$A$5:$I$45,3,FALSE)</x:f>
        <x:v>2024-1</x:v>
      </x:c>
    </x:row>
    <x:row r="2680" ht="21" customHeight="1">
      <x:c r="A2680" s="3" t="str">
        <x:v>2202005</x:v>
      </x:c>
      <x:c r="B2680" s="3" t="str">
        <x:v>SEC027</x:v>
      </x:c>
      <x:c r="C2680" s="3" t="n">
        <x:v>6</x:v>
      </x:c>
      <x:c r="D2680" s="3" t="str">
        <x:v>excused</x:v>
      </x:c>
      <x:c r="E2680" s="5" t="str">
        <x:f>VLOOKUP(B2680,Sections!$A$5:$I$45,3,FALSE)</x:f>
        <x:v>2024-1</x:v>
      </x:c>
    </x:row>
    <x:row r="2681" ht="21" customHeight="1">
      <x:c r="A2681" s="3" t="str">
        <x:v>2202005</x:v>
      </x:c>
      <x:c r="B2681" s="3" t="str">
        <x:v>SEC027</x:v>
      </x:c>
      <x:c r="C2681" s="3" t="n">
        <x:v>7</x:v>
      </x:c>
      <x:c r="D2681" s="3" t="str">
        <x:v>absent</x:v>
      </x:c>
      <x:c r="E2681" s="5" t="str">
        <x:f>VLOOKUP(B2681,Sections!$A$5:$I$45,3,FALSE)</x:f>
        <x:v>2024-1</x:v>
      </x:c>
    </x:row>
    <x:row r="2682" ht="21" customHeight="1">
      <x:c r="A2682" s="3" t="str">
        <x:v>2202005</x:v>
      </x:c>
      <x:c r="B2682" s="3" t="str">
        <x:v>SEC027</x:v>
      </x:c>
      <x:c r="C2682" s="3" t="n">
        <x:v>8</x:v>
      </x:c>
      <x:c r="D2682" s="3" t="str">
        <x:v>present</x:v>
      </x:c>
      <x:c r="E2682" s="5" t="str">
        <x:f>VLOOKUP(B2682,Sections!$A$5:$I$45,3,FALSE)</x:f>
        <x:v>2024-1</x:v>
      </x:c>
    </x:row>
    <x:row r="2683" ht="21" customHeight="1">
      <x:c r="A2683" s="3" t="str">
        <x:v>2202005</x:v>
      </x:c>
      <x:c r="B2683" s="3" t="str">
        <x:v>SEC027</x:v>
      </x:c>
      <x:c r="C2683" s="3" t="n">
        <x:v>9</x:v>
      </x:c>
      <x:c r="D2683" s="3" t="str">
        <x:v>absent</x:v>
      </x:c>
      <x:c r="E2683" s="5" t="str">
        <x:f>VLOOKUP(B2683,Sections!$A$5:$I$45,3,FALSE)</x:f>
        <x:v>2024-1</x:v>
      </x:c>
    </x:row>
    <x:row r="2684" ht="21" customHeight="1">
      <x:c r="A2684" s="3" t="str">
        <x:v>2202005</x:v>
      </x:c>
      <x:c r="B2684" s="3" t="str">
        <x:v>SEC027</x:v>
      </x:c>
      <x:c r="C2684" s="3" t="n">
        <x:v>10</x:v>
      </x:c>
      <x:c r="D2684" s="3" t="str">
        <x:v>absent</x:v>
      </x:c>
      <x:c r="E2684" s="5" t="str">
        <x:f>VLOOKUP(B2684,Sections!$A$5:$I$45,3,FALSE)</x:f>
        <x:v>2024-1</x:v>
      </x:c>
    </x:row>
    <x:row r="2685" ht="21" customHeight="1">
      <x:c r="A2685" s="3" t="str">
        <x:v>2202005</x:v>
      </x:c>
      <x:c r="B2685" s="3" t="str">
        <x:v>SEC027</x:v>
      </x:c>
      <x:c r="C2685" s="3" t="n">
        <x:v>11</x:v>
      </x:c>
      <x:c r="D2685" s="3" t="str">
        <x:v>present</x:v>
      </x:c>
      <x:c r="E2685" s="5" t="str">
        <x:f>VLOOKUP(B2685,Sections!$A$5:$I$45,3,FALSE)</x:f>
        <x:v>2024-1</x:v>
      </x:c>
    </x:row>
    <x:row r="2686" ht="21" customHeight="1">
      <x:c r="A2686" s="3" t="str">
        <x:v>2202005</x:v>
      </x:c>
      <x:c r="B2686" s="3" t="str">
        <x:v>SEC027</x:v>
      </x:c>
      <x:c r="C2686" s="3" t="n">
        <x:v>12</x:v>
      </x:c>
      <x:c r="D2686" s="3" t="str">
        <x:v>late</x:v>
      </x:c>
      <x:c r="E2686" s="5" t="str">
        <x:f>VLOOKUP(B2686,Sections!$A$5:$I$45,3,FALSE)</x:f>
        <x:v>2024-1</x:v>
      </x:c>
    </x:row>
    <x:row r="2687" ht="21" customHeight="1">
      <x:c r="A2687" s="3" t="str">
        <x:v>2202005</x:v>
      </x:c>
      <x:c r="B2687" s="3" t="str">
        <x:v>SEC027</x:v>
      </x:c>
      <x:c r="C2687" s="3" t="n">
        <x:v>13</x:v>
      </x:c>
      <x:c r="D2687" s="3" t="str">
        <x:v>present</x:v>
      </x:c>
      <x:c r="E2687" s="5" t="str">
        <x:f>VLOOKUP(B2687,Sections!$A$5:$I$45,3,FALSE)</x:f>
        <x:v>2024-1</x:v>
      </x:c>
    </x:row>
    <x:row r="2688" ht="21" customHeight="1">
      <x:c r="A2688" s="3" t="str">
        <x:v>2202005</x:v>
      </x:c>
      <x:c r="B2688" s="3" t="str">
        <x:v>SEC027</x:v>
      </x:c>
      <x:c r="C2688" s="3" t="n">
        <x:v>14</x:v>
      </x:c>
      <x:c r="D2688" s="3" t="str">
        <x:v>absent</x:v>
      </x:c>
      <x:c r="E2688" s="5" t="str">
        <x:f>VLOOKUP(B2688,Sections!$A$5:$I$45,3,FALSE)</x:f>
        <x:v>2024-1</x:v>
      </x:c>
    </x:row>
    <x:row r="2689" ht="21" customHeight="1">
      <x:c r="A2689" s="3" t="str">
        <x:v>2202005</x:v>
      </x:c>
      <x:c r="B2689" s="3" t="str">
        <x:v>SEC027</x:v>
      </x:c>
      <x:c r="C2689" s="3" t="n">
        <x:v>15</x:v>
      </x:c>
      <x:c r="D2689" s="3" t="str">
        <x:v>excused</x:v>
      </x:c>
      <x:c r="E2689" s="5" t="str">
        <x:f>VLOOKUP(B2689,Sections!$A$5:$I$45,3,FALSE)</x:f>
        <x:v>2024-1</x:v>
      </x:c>
    </x:row>
    <x:row r="2690" ht="21" customHeight="1">
      <x:c r="A2690" s="3" t="str">
        <x:v>2202006</x:v>
      </x:c>
      <x:c r="B2690" s="3" t="str">
        <x:v>SEC027</x:v>
      </x:c>
      <x:c r="C2690" s="3" t="n">
        <x:v>1</x:v>
      </x:c>
      <x:c r="D2690" s="3" t="str">
        <x:v>excused</x:v>
      </x:c>
      <x:c r="E2690" s="5" t="str">
        <x:f>VLOOKUP(B2690,Sections!$A$5:$I$45,3,FALSE)</x:f>
        <x:v>2024-1</x:v>
      </x:c>
    </x:row>
    <x:row r="2691" ht="21" customHeight="1">
      <x:c r="A2691" s="3" t="str">
        <x:v>2202006</x:v>
      </x:c>
      <x:c r="B2691" s="3" t="str">
        <x:v>SEC027</x:v>
      </x:c>
      <x:c r="C2691" s="3" t="n">
        <x:v>2</x:v>
      </x:c>
      <x:c r="D2691" s="3" t="str">
        <x:v>present</x:v>
      </x:c>
      <x:c r="E2691" s="5" t="str">
        <x:f>VLOOKUP(B2691,Sections!$A$5:$I$45,3,FALSE)</x:f>
        <x:v>2024-1</x:v>
      </x:c>
    </x:row>
    <x:row r="2692" ht="21" customHeight="1">
      <x:c r="A2692" s="3" t="str">
        <x:v>2202006</x:v>
      </x:c>
      <x:c r="B2692" s="3" t="str">
        <x:v>SEC027</x:v>
      </x:c>
      <x:c r="C2692" s="3" t="n">
        <x:v>3</x:v>
      </x:c>
      <x:c r="D2692" s="3" t="str">
        <x:v>absent</x:v>
      </x:c>
      <x:c r="E2692" s="5" t="str">
        <x:f>VLOOKUP(B2692,Sections!$A$5:$I$45,3,FALSE)</x:f>
        <x:v>2024-1</x:v>
      </x:c>
    </x:row>
    <x:row r="2693" ht="21" customHeight="1">
      <x:c r="A2693" s="3" t="str">
        <x:v>2202006</x:v>
      </x:c>
      <x:c r="B2693" s="3" t="str">
        <x:v>SEC027</x:v>
      </x:c>
      <x:c r="C2693" s="3" t="n">
        <x:v>4</x:v>
      </x:c>
      <x:c r="D2693" s="3" t="str">
        <x:v>present</x:v>
      </x:c>
      <x:c r="E2693" s="5" t="str">
        <x:f>VLOOKUP(B2693,Sections!$A$5:$I$45,3,FALSE)</x:f>
        <x:v>2024-1</x:v>
      </x:c>
    </x:row>
    <x:row r="2694" ht="21" customHeight="1">
      <x:c r="A2694" s="3" t="str">
        <x:v>2202006</x:v>
      </x:c>
      <x:c r="B2694" s="3" t="str">
        <x:v>SEC027</x:v>
      </x:c>
      <x:c r="C2694" s="3" t="n">
        <x:v>5</x:v>
      </x:c>
      <x:c r="D2694" s="3" t="str">
        <x:v>present</x:v>
      </x:c>
      <x:c r="E2694" s="5" t="str">
        <x:f>VLOOKUP(B2694,Sections!$A$5:$I$45,3,FALSE)</x:f>
        <x:v>2024-1</x:v>
      </x:c>
    </x:row>
    <x:row r="2695" ht="21" customHeight="1">
      <x:c r="A2695" s="3" t="str">
        <x:v>2202006</x:v>
      </x:c>
      <x:c r="B2695" s="3" t="str">
        <x:v>SEC027</x:v>
      </x:c>
      <x:c r="C2695" s="3" t="n">
        <x:v>6</x:v>
      </x:c>
      <x:c r="D2695" s="3" t="str">
        <x:v>present</x:v>
      </x:c>
      <x:c r="E2695" s="5" t="str">
        <x:f>VLOOKUP(B2695,Sections!$A$5:$I$45,3,FALSE)</x:f>
        <x:v>2024-1</x:v>
      </x:c>
    </x:row>
    <x:row r="2696" ht="21" customHeight="1">
      <x:c r="A2696" s="3" t="str">
        <x:v>2202006</x:v>
      </x:c>
      <x:c r="B2696" s="3" t="str">
        <x:v>SEC027</x:v>
      </x:c>
      <x:c r="C2696" s="3" t="n">
        <x:v>7</x:v>
      </x:c>
      <x:c r="D2696" s="3" t="str">
        <x:v>present</x:v>
      </x:c>
      <x:c r="E2696" s="5" t="str">
        <x:f>VLOOKUP(B2696,Sections!$A$5:$I$45,3,FALSE)</x:f>
        <x:v>2024-1</x:v>
      </x:c>
    </x:row>
    <x:row r="2697" ht="21" customHeight="1">
      <x:c r="A2697" s="3" t="str">
        <x:v>2202006</x:v>
      </x:c>
      <x:c r="B2697" s="3" t="str">
        <x:v>SEC027</x:v>
      </x:c>
      <x:c r="C2697" s="3" t="n">
        <x:v>8</x:v>
      </x:c>
      <x:c r="D2697" s="3" t="str">
        <x:v>absent</x:v>
      </x:c>
      <x:c r="E2697" s="5" t="str">
        <x:f>VLOOKUP(B2697,Sections!$A$5:$I$45,3,FALSE)</x:f>
        <x:v>2024-1</x:v>
      </x:c>
    </x:row>
    <x:row r="2698" ht="21" customHeight="1">
      <x:c r="A2698" s="3" t="str">
        <x:v>2202006</x:v>
      </x:c>
      <x:c r="B2698" s="3" t="str">
        <x:v>SEC027</x:v>
      </x:c>
      <x:c r="C2698" s="3" t="n">
        <x:v>9</x:v>
      </x:c>
      <x:c r="D2698" s="3" t="str">
        <x:v>present</x:v>
      </x:c>
      <x:c r="E2698" s="5" t="str">
        <x:f>VLOOKUP(B2698,Sections!$A$5:$I$45,3,FALSE)</x:f>
        <x:v>2024-1</x:v>
      </x:c>
    </x:row>
    <x:row r="2699" ht="21" customHeight="1">
      <x:c r="A2699" s="3" t="str">
        <x:v>2202006</x:v>
      </x:c>
      <x:c r="B2699" s="3" t="str">
        <x:v>SEC027</x:v>
      </x:c>
      <x:c r="C2699" s="3" t="n">
        <x:v>10</x:v>
      </x:c>
      <x:c r="D2699" s="3" t="str">
        <x:v>present</x:v>
      </x:c>
      <x:c r="E2699" s="5" t="str">
        <x:f>VLOOKUP(B2699,Sections!$A$5:$I$45,3,FALSE)</x:f>
        <x:v>2024-1</x:v>
      </x:c>
    </x:row>
    <x:row r="2700" ht="21" customHeight="1">
      <x:c r="A2700" s="3" t="str">
        <x:v>2202006</x:v>
      </x:c>
      <x:c r="B2700" s="3" t="str">
        <x:v>SEC027</x:v>
      </x:c>
      <x:c r="C2700" s="3" t="n">
        <x:v>11</x:v>
      </x:c>
      <x:c r="D2700" s="3" t="str">
        <x:v>present</x:v>
      </x:c>
      <x:c r="E2700" s="5" t="str">
        <x:f>VLOOKUP(B2700,Sections!$A$5:$I$45,3,FALSE)</x:f>
        <x:v>2024-1</x:v>
      </x:c>
    </x:row>
    <x:row r="2701" ht="21" customHeight="1">
      <x:c r="A2701" s="3" t="str">
        <x:v>2202006</x:v>
      </x:c>
      <x:c r="B2701" s="3" t="str">
        <x:v>SEC027</x:v>
      </x:c>
      <x:c r="C2701" s="3" t="n">
        <x:v>12</x:v>
      </x:c>
      <x:c r="D2701" s="3" t="str">
        <x:v>excused</x:v>
      </x:c>
      <x:c r="E2701" s="5" t="str">
        <x:f>VLOOKUP(B2701,Sections!$A$5:$I$45,3,FALSE)</x:f>
        <x:v>2024-1</x:v>
      </x:c>
    </x:row>
    <x:row r="2702" ht="21" customHeight="1">
      <x:c r="A2702" s="3" t="str">
        <x:v>2202006</x:v>
      </x:c>
      <x:c r="B2702" s="3" t="str">
        <x:v>SEC027</x:v>
      </x:c>
      <x:c r="C2702" s="3" t="n">
        <x:v>13</x:v>
      </x:c>
      <x:c r="D2702" s="3" t="str">
        <x:v>late</x:v>
      </x:c>
      <x:c r="E2702" s="5" t="str">
        <x:f>VLOOKUP(B2702,Sections!$A$5:$I$45,3,FALSE)</x:f>
        <x:v>2024-1</x:v>
      </x:c>
    </x:row>
    <x:row r="2703" ht="21" customHeight="1">
      <x:c r="A2703" s="3" t="str">
        <x:v>2202006</x:v>
      </x:c>
      <x:c r="B2703" s="3" t="str">
        <x:v>SEC027</x:v>
      </x:c>
      <x:c r="C2703" s="3" t="n">
        <x:v>14</x:v>
      </x:c>
      <x:c r="D2703" s="3" t="str">
        <x:v>present</x:v>
      </x:c>
      <x:c r="E2703" s="5" t="str">
        <x:f>VLOOKUP(B2703,Sections!$A$5:$I$45,3,FALSE)</x:f>
        <x:v>2024-1</x:v>
      </x:c>
    </x:row>
    <x:row r="2704" ht="21" customHeight="1">
      <x:c r="A2704" s="3" t="str">
        <x:v>2202006</x:v>
      </x:c>
      <x:c r="B2704" s="3" t="str">
        <x:v>SEC027</x:v>
      </x:c>
      <x:c r="C2704" s="3" t="n">
        <x:v>15</x:v>
      </x:c>
      <x:c r="D2704" s="3" t="str">
        <x:v>present</x:v>
      </x:c>
      <x:c r="E2704" s="5" t="str">
        <x:f>VLOOKUP(B2704,Sections!$A$5:$I$45,3,FALSE)</x:f>
        <x:v>2024-1</x:v>
      </x:c>
    </x:row>
    <x:row r="2705" ht="21" customHeight="1">
      <x:c r="A2705" s="3" t="str">
        <x:v>2202007</x:v>
      </x:c>
      <x:c r="B2705" s="3" t="str">
        <x:v>SEC027</x:v>
      </x:c>
      <x:c r="C2705" s="3" t="n">
        <x:v>1</x:v>
      </x:c>
      <x:c r="D2705" s="3" t="str">
        <x:v>present</x:v>
      </x:c>
      <x:c r="E2705" s="5" t="str">
        <x:f>VLOOKUP(B2705,Sections!$A$5:$I$45,3,FALSE)</x:f>
        <x:v>2024-1</x:v>
      </x:c>
    </x:row>
    <x:row r="2706" ht="21" customHeight="1">
      <x:c r="A2706" s="3" t="str">
        <x:v>2202007</x:v>
      </x:c>
      <x:c r="B2706" s="3" t="str">
        <x:v>SEC027</x:v>
      </x:c>
      <x:c r="C2706" s="3" t="n">
        <x:v>2</x:v>
      </x:c>
      <x:c r="D2706" s="3" t="str">
        <x:v>absent</x:v>
      </x:c>
      <x:c r="E2706" s="5" t="str">
        <x:f>VLOOKUP(B2706,Sections!$A$5:$I$45,3,FALSE)</x:f>
        <x:v>2024-1</x:v>
      </x:c>
    </x:row>
    <x:row r="2707" ht="21" customHeight="1">
      <x:c r="A2707" s="3" t="str">
        <x:v>2202007</x:v>
      </x:c>
      <x:c r="B2707" s="3" t="str">
        <x:v>SEC027</x:v>
      </x:c>
      <x:c r="C2707" s="3" t="n">
        <x:v>3</x:v>
      </x:c>
      <x:c r="D2707" s="3" t="str">
        <x:v>present</x:v>
      </x:c>
      <x:c r="E2707" s="5" t="str">
        <x:f>VLOOKUP(B2707,Sections!$A$5:$I$45,3,FALSE)</x:f>
        <x:v>2024-1</x:v>
      </x:c>
    </x:row>
    <x:row r="2708" ht="21" customHeight="1">
      <x:c r="A2708" s="3" t="str">
        <x:v>2202007</x:v>
      </x:c>
      <x:c r="B2708" s="3" t="str">
        <x:v>SEC027</x:v>
      </x:c>
      <x:c r="C2708" s="3" t="n">
        <x:v>4</x:v>
      </x:c>
      <x:c r="D2708" s="3" t="str">
        <x:v>present</x:v>
      </x:c>
      <x:c r="E2708" s="5" t="str">
        <x:f>VLOOKUP(B2708,Sections!$A$5:$I$45,3,FALSE)</x:f>
        <x:v>2024-1</x:v>
      </x:c>
    </x:row>
    <x:row r="2709" ht="21" customHeight="1">
      <x:c r="A2709" s="3" t="str">
        <x:v>2202007</x:v>
      </x:c>
      <x:c r="B2709" s="3" t="str">
        <x:v>SEC027</x:v>
      </x:c>
      <x:c r="C2709" s="3" t="n">
        <x:v>5</x:v>
      </x:c>
      <x:c r="D2709" s="3" t="str">
        <x:v>present</x:v>
      </x:c>
      <x:c r="E2709" s="5" t="str">
        <x:f>VLOOKUP(B2709,Sections!$A$5:$I$45,3,FALSE)</x:f>
        <x:v>2024-1</x:v>
      </x:c>
    </x:row>
    <x:row r="2710" ht="21" customHeight="1">
      <x:c r="A2710" s="3" t="str">
        <x:v>2202007</x:v>
      </x:c>
      <x:c r="B2710" s="3" t="str">
        <x:v>SEC027</x:v>
      </x:c>
      <x:c r="C2710" s="3" t="n">
        <x:v>6</x:v>
      </x:c>
      <x:c r="D2710" s="3" t="str">
        <x:v>present</x:v>
      </x:c>
      <x:c r="E2710" s="5" t="str">
        <x:f>VLOOKUP(B2710,Sections!$A$5:$I$45,3,FALSE)</x:f>
        <x:v>2024-1</x:v>
      </x:c>
    </x:row>
    <x:row r="2711" ht="21" customHeight="1">
      <x:c r="A2711" s="3" t="str">
        <x:v>2202007</x:v>
      </x:c>
      <x:c r="B2711" s="3" t="str">
        <x:v>SEC027</x:v>
      </x:c>
      <x:c r="C2711" s="3" t="n">
        <x:v>7</x:v>
      </x:c>
      <x:c r="D2711" s="3" t="str">
        <x:v>present</x:v>
      </x:c>
      <x:c r="E2711" s="5" t="str">
        <x:f>VLOOKUP(B2711,Sections!$A$5:$I$45,3,FALSE)</x:f>
        <x:v>2024-1</x:v>
      </x:c>
    </x:row>
    <x:row r="2712" ht="21" customHeight="1">
      <x:c r="A2712" s="3" t="str">
        <x:v>2202007</x:v>
      </x:c>
      <x:c r="B2712" s="3" t="str">
        <x:v>SEC027</x:v>
      </x:c>
      <x:c r="C2712" s="3" t="n">
        <x:v>8</x:v>
      </x:c>
      <x:c r="D2712" s="3" t="str">
        <x:v>present</x:v>
      </x:c>
      <x:c r="E2712" s="5" t="str">
        <x:f>VLOOKUP(B2712,Sections!$A$5:$I$45,3,FALSE)</x:f>
        <x:v>2024-1</x:v>
      </x:c>
    </x:row>
    <x:row r="2713" ht="21" customHeight="1">
      <x:c r="A2713" s="3" t="str">
        <x:v>2202007</x:v>
      </x:c>
      <x:c r="B2713" s="3" t="str">
        <x:v>SEC027</x:v>
      </x:c>
      <x:c r="C2713" s="3" t="n">
        <x:v>9</x:v>
      </x:c>
      <x:c r="D2713" s="3" t="str">
        <x:v>present</x:v>
      </x:c>
      <x:c r="E2713" s="5" t="str">
        <x:f>VLOOKUP(B2713,Sections!$A$5:$I$45,3,FALSE)</x:f>
        <x:v>2024-1</x:v>
      </x:c>
    </x:row>
    <x:row r="2714" ht="21" customHeight="1">
      <x:c r="A2714" s="3" t="str">
        <x:v>2202007</x:v>
      </x:c>
      <x:c r="B2714" s="3" t="str">
        <x:v>SEC027</x:v>
      </x:c>
      <x:c r="C2714" s="3" t="n">
        <x:v>10</x:v>
      </x:c>
      <x:c r="D2714" s="3" t="str">
        <x:v>present</x:v>
      </x:c>
      <x:c r="E2714" s="5" t="str">
        <x:f>VLOOKUP(B2714,Sections!$A$5:$I$45,3,FALSE)</x:f>
        <x:v>2024-1</x:v>
      </x:c>
    </x:row>
    <x:row r="2715" ht="21" customHeight="1">
      <x:c r="A2715" s="3" t="str">
        <x:v>2202007</x:v>
      </x:c>
      <x:c r="B2715" s="3" t="str">
        <x:v>SEC027</x:v>
      </x:c>
      <x:c r="C2715" s="3" t="n">
        <x:v>11</x:v>
      </x:c>
      <x:c r="D2715" s="3" t="str">
        <x:v>present</x:v>
      </x:c>
      <x:c r="E2715" s="5" t="str">
        <x:f>VLOOKUP(B2715,Sections!$A$5:$I$45,3,FALSE)</x:f>
        <x:v>2024-1</x:v>
      </x:c>
    </x:row>
    <x:row r="2716" ht="21" customHeight="1">
      <x:c r="A2716" s="3" t="str">
        <x:v>2202007</x:v>
      </x:c>
      <x:c r="B2716" s="3" t="str">
        <x:v>SEC027</x:v>
      </x:c>
      <x:c r="C2716" s="3" t="n">
        <x:v>12</x:v>
      </x:c>
      <x:c r="D2716" s="3" t="str">
        <x:v>present</x:v>
      </x:c>
      <x:c r="E2716" s="5" t="str">
        <x:f>VLOOKUP(B2716,Sections!$A$5:$I$45,3,FALSE)</x:f>
        <x:v>2024-1</x:v>
      </x:c>
    </x:row>
    <x:row r="2717" ht="21" customHeight="1">
      <x:c r="A2717" s="3" t="str">
        <x:v>2202007</x:v>
      </x:c>
      <x:c r="B2717" s="3" t="str">
        <x:v>SEC027</x:v>
      </x:c>
      <x:c r="C2717" s="3" t="n">
        <x:v>13</x:v>
      </x:c>
      <x:c r="D2717" s="3" t="str">
        <x:v>present</x:v>
      </x:c>
      <x:c r="E2717" s="5" t="str">
        <x:f>VLOOKUP(B2717,Sections!$A$5:$I$45,3,FALSE)</x:f>
        <x:v>2024-1</x:v>
      </x:c>
    </x:row>
    <x:row r="2718" ht="21" customHeight="1">
      <x:c r="A2718" s="3" t="str">
        <x:v>2202007</x:v>
      </x:c>
      <x:c r="B2718" s="3" t="str">
        <x:v>SEC027</x:v>
      </x:c>
      <x:c r="C2718" s="3" t="n">
        <x:v>14</x:v>
      </x:c>
      <x:c r="D2718" s="3" t="str">
        <x:v>present</x:v>
      </x:c>
      <x:c r="E2718" s="5" t="str">
        <x:f>VLOOKUP(B2718,Sections!$A$5:$I$45,3,FALSE)</x:f>
        <x:v>2024-1</x:v>
      </x:c>
    </x:row>
    <x:row r="2719" ht="21" customHeight="1">
      <x:c r="A2719" s="3" t="str">
        <x:v>2202007</x:v>
      </x:c>
      <x:c r="B2719" s="3" t="str">
        <x:v>SEC027</x:v>
      </x:c>
      <x:c r="C2719" s="3" t="n">
        <x:v>15</x:v>
      </x:c>
      <x:c r="D2719" s="3" t="str">
        <x:v>present</x:v>
      </x:c>
      <x:c r="E2719" s="5" t="str">
        <x:f>VLOOKUP(B2719,Sections!$A$5:$I$45,3,FALSE)</x:f>
        <x:v>2024-1</x:v>
      </x:c>
    </x:row>
    <x:row r="2720" ht="21" customHeight="1">
      <x:c r="A2720" s="3" t="str">
        <x:v>2202008</x:v>
      </x:c>
      <x:c r="B2720" s="3" t="str">
        <x:v>SEC027</x:v>
      </x:c>
      <x:c r="C2720" s="3" t="n">
        <x:v>1</x:v>
      </x:c>
      <x:c r="D2720" s="3" t="str">
        <x:v>present</x:v>
      </x:c>
      <x:c r="E2720" s="5" t="str">
        <x:f>VLOOKUP(B2720,Sections!$A$5:$I$45,3,FALSE)</x:f>
        <x:v>2024-1</x:v>
      </x:c>
    </x:row>
    <x:row r="2721" ht="21" customHeight="1">
      <x:c r="A2721" s="3" t="str">
        <x:v>2202008</x:v>
      </x:c>
      <x:c r="B2721" s="3" t="str">
        <x:v>SEC027</x:v>
      </x:c>
      <x:c r="C2721" s="3" t="n">
        <x:v>2</x:v>
      </x:c>
      <x:c r="D2721" s="3" t="str">
        <x:v>present</x:v>
      </x:c>
      <x:c r="E2721" s="5" t="str">
        <x:f>VLOOKUP(B2721,Sections!$A$5:$I$45,3,FALSE)</x:f>
        <x:v>2024-1</x:v>
      </x:c>
    </x:row>
    <x:row r="2722" ht="21" customHeight="1">
      <x:c r="A2722" s="3" t="str">
        <x:v>2202008</x:v>
      </x:c>
      <x:c r="B2722" s="3" t="str">
        <x:v>SEC027</x:v>
      </x:c>
      <x:c r="C2722" s="3" t="n">
        <x:v>3</x:v>
      </x:c>
      <x:c r="D2722" s="3" t="str">
        <x:v>present</x:v>
      </x:c>
      <x:c r="E2722" s="5" t="str">
        <x:f>VLOOKUP(B2722,Sections!$A$5:$I$45,3,FALSE)</x:f>
        <x:v>2024-1</x:v>
      </x:c>
    </x:row>
    <x:row r="2723" ht="21" customHeight="1">
      <x:c r="A2723" s="3" t="str">
        <x:v>2202008</x:v>
      </x:c>
      <x:c r="B2723" s="3" t="str">
        <x:v>SEC027</x:v>
      </x:c>
      <x:c r="C2723" s="3" t="n">
        <x:v>4</x:v>
      </x:c>
      <x:c r="D2723" s="3" t="str">
        <x:v>present</x:v>
      </x:c>
      <x:c r="E2723" s="5" t="str">
        <x:f>VLOOKUP(B2723,Sections!$A$5:$I$45,3,FALSE)</x:f>
        <x:v>2024-1</x:v>
      </x:c>
    </x:row>
    <x:row r="2724" ht="21" customHeight="1">
      <x:c r="A2724" s="3" t="str">
        <x:v>2202008</x:v>
      </x:c>
      <x:c r="B2724" s="3" t="str">
        <x:v>SEC027</x:v>
      </x:c>
      <x:c r="C2724" s="3" t="n">
        <x:v>5</x:v>
      </x:c>
      <x:c r="D2724" s="3" t="str">
        <x:v>absent</x:v>
      </x:c>
      <x:c r="E2724" s="5" t="str">
        <x:f>VLOOKUP(B2724,Sections!$A$5:$I$45,3,FALSE)</x:f>
        <x:v>2024-1</x:v>
      </x:c>
    </x:row>
    <x:row r="2725" ht="21" customHeight="1">
      <x:c r="A2725" s="3" t="str">
        <x:v>2202008</x:v>
      </x:c>
      <x:c r="B2725" s="3" t="str">
        <x:v>SEC027</x:v>
      </x:c>
      <x:c r="C2725" s="3" t="n">
        <x:v>6</x:v>
      </x:c>
      <x:c r="D2725" s="3" t="str">
        <x:v>present</x:v>
      </x:c>
      <x:c r="E2725" s="5" t="str">
        <x:f>VLOOKUP(B2725,Sections!$A$5:$I$45,3,FALSE)</x:f>
        <x:v>2024-1</x:v>
      </x:c>
    </x:row>
    <x:row r="2726" ht="21" customHeight="1">
      <x:c r="A2726" s="3" t="str">
        <x:v>2202008</x:v>
      </x:c>
      <x:c r="B2726" s="3" t="str">
        <x:v>SEC027</x:v>
      </x:c>
      <x:c r="C2726" s="3" t="n">
        <x:v>7</x:v>
      </x:c>
      <x:c r="D2726" s="3" t="str">
        <x:v>present</x:v>
      </x:c>
      <x:c r="E2726" s="5" t="str">
        <x:f>VLOOKUP(B2726,Sections!$A$5:$I$45,3,FALSE)</x:f>
        <x:v>2024-1</x:v>
      </x:c>
    </x:row>
    <x:row r="2727" ht="21" customHeight="1">
      <x:c r="A2727" s="3" t="str">
        <x:v>2202008</x:v>
      </x:c>
      <x:c r="B2727" s="3" t="str">
        <x:v>SEC027</x:v>
      </x:c>
      <x:c r="C2727" s="3" t="n">
        <x:v>8</x:v>
      </x:c>
      <x:c r="D2727" s="3" t="str">
        <x:v>late</x:v>
      </x:c>
      <x:c r="E2727" s="5" t="str">
        <x:f>VLOOKUP(B2727,Sections!$A$5:$I$45,3,FALSE)</x:f>
        <x:v>2024-1</x:v>
      </x:c>
    </x:row>
    <x:row r="2728" ht="21" customHeight="1">
      <x:c r="A2728" s="3" t="str">
        <x:v>2202008</x:v>
      </x:c>
      <x:c r="B2728" s="3" t="str">
        <x:v>SEC027</x:v>
      </x:c>
      <x:c r="C2728" s="3" t="n">
        <x:v>9</x:v>
      </x:c>
      <x:c r="D2728" s="3" t="str">
        <x:v>present</x:v>
      </x:c>
      <x:c r="E2728" s="5" t="str">
        <x:f>VLOOKUP(B2728,Sections!$A$5:$I$45,3,FALSE)</x:f>
        <x:v>2024-1</x:v>
      </x:c>
    </x:row>
    <x:row r="2729" ht="21" customHeight="1">
      <x:c r="A2729" s="3" t="str">
        <x:v>2202008</x:v>
      </x:c>
      <x:c r="B2729" s="3" t="str">
        <x:v>SEC027</x:v>
      </x:c>
      <x:c r="C2729" s="3" t="n">
        <x:v>10</x:v>
      </x:c>
      <x:c r="D2729" s="3" t="str">
        <x:v>present</x:v>
      </x:c>
      <x:c r="E2729" s="5" t="str">
        <x:f>VLOOKUP(B2729,Sections!$A$5:$I$45,3,FALSE)</x:f>
        <x:v>2024-1</x:v>
      </x:c>
    </x:row>
    <x:row r="2730" ht="21" customHeight="1">
      <x:c r="A2730" s="3" t="str">
        <x:v>2202008</x:v>
      </x:c>
      <x:c r="B2730" s="3" t="str">
        <x:v>SEC027</x:v>
      </x:c>
      <x:c r="C2730" s="3" t="n">
        <x:v>11</x:v>
      </x:c>
      <x:c r="D2730" s="3" t="str">
        <x:v>present</x:v>
      </x:c>
      <x:c r="E2730" s="5" t="str">
        <x:f>VLOOKUP(B2730,Sections!$A$5:$I$45,3,FALSE)</x:f>
        <x:v>2024-1</x:v>
      </x:c>
    </x:row>
    <x:row r="2731" ht="21" customHeight="1">
      <x:c r="A2731" s="3" t="str">
        <x:v>2202008</x:v>
      </x:c>
      <x:c r="B2731" s="3" t="str">
        <x:v>SEC027</x:v>
      </x:c>
      <x:c r="C2731" s="3" t="n">
        <x:v>12</x:v>
      </x:c>
      <x:c r="D2731" s="3" t="str">
        <x:v>present</x:v>
      </x:c>
      <x:c r="E2731" s="5" t="str">
        <x:f>VLOOKUP(B2731,Sections!$A$5:$I$45,3,FALSE)</x:f>
        <x:v>2024-1</x:v>
      </x:c>
    </x:row>
    <x:row r="2732" ht="21" customHeight="1">
      <x:c r="A2732" s="3" t="str">
        <x:v>2202008</x:v>
      </x:c>
      <x:c r="B2732" s="3" t="str">
        <x:v>SEC027</x:v>
      </x:c>
      <x:c r="C2732" s="3" t="n">
        <x:v>13</x:v>
      </x:c>
      <x:c r="D2732" s="3" t="str">
        <x:v>absent</x:v>
      </x:c>
      <x:c r="E2732" s="5" t="str">
        <x:f>VLOOKUP(B2732,Sections!$A$5:$I$45,3,FALSE)</x:f>
        <x:v>2024-1</x:v>
      </x:c>
    </x:row>
    <x:row r="2733" ht="21" customHeight="1">
      <x:c r="A2733" s="3" t="str">
        <x:v>2202008</x:v>
      </x:c>
      <x:c r="B2733" s="3" t="str">
        <x:v>SEC027</x:v>
      </x:c>
      <x:c r="C2733" s="3" t="n">
        <x:v>14</x:v>
      </x:c>
      <x:c r="D2733" s="3" t="str">
        <x:v>present</x:v>
      </x:c>
      <x:c r="E2733" s="5" t="str">
        <x:f>VLOOKUP(B2733,Sections!$A$5:$I$45,3,FALSE)</x:f>
        <x:v>2024-1</x:v>
      </x:c>
    </x:row>
    <x:row r="2734" ht="21" customHeight="1">
      <x:c r="A2734" s="3" t="str">
        <x:v>2202008</x:v>
      </x:c>
      <x:c r="B2734" s="3" t="str">
        <x:v>SEC027</x:v>
      </x:c>
      <x:c r="C2734" s="3" t="n">
        <x:v>15</x:v>
      </x:c>
      <x:c r="D2734" s="3" t="str">
        <x:v>present</x:v>
      </x:c>
      <x:c r="E2734" s="5" t="str">
        <x:f>VLOOKUP(B2734,Sections!$A$5:$I$45,3,FALSE)</x:f>
        <x:v>2024-1</x:v>
      </x:c>
    </x:row>
    <x:row r="2735" ht="21" customHeight="1">
      <x:c r="A2735" s="3" t="str">
        <x:v>2202009</x:v>
      </x:c>
      <x:c r="B2735" s="3" t="str">
        <x:v>SEC027</x:v>
      </x:c>
      <x:c r="C2735" s="3" t="n">
        <x:v>1</x:v>
      </x:c>
      <x:c r="D2735" s="3" t="str">
        <x:v>present</x:v>
      </x:c>
      <x:c r="E2735" s="5" t="str">
        <x:f>VLOOKUP(B2735,Sections!$A$5:$I$45,3,FALSE)</x:f>
        <x:v>2024-1</x:v>
      </x:c>
    </x:row>
    <x:row r="2736" ht="21" customHeight="1">
      <x:c r="A2736" s="3" t="str">
        <x:v>2202009</x:v>
      </x:c>
      <x:c r="B2736" s="3" t="str">
        <x:v>SEC027</x:v>
      </x:c>
      <x:c r="C2736" s="3" t="n">
        <x:v>2</x:v>
      </x:c>
      <x:c r="D2736" s="3" t="str">
        <x:v>present</x:v>
      </x:c>
      <x:c r="E2736" s="5" t="str">
        <x:f>VLOOKUP(B2736,Sections!$A$5:$I$45,3,FALSE)</x:f>
        <x:v>2024-1</x:v>
      </x:c>
    </x:row>
    <x:row r="2737" ht="21" customHeight="1">
      <x:c r="A2737" s="3" t="str">
        <x:v>2202009</x:v>
      </x:c>
      <x:c r="B2737" s="3" t="str">
        <x:v>SEC027</x:v>
      </x:c>
      <x:c r="C2737" s="3" t="n">
        <x:v>3</x:v>
      </x:c>
      <x:c r="D2737" s="3" t="str">
        <x:v>present</x:v>
      </x:c>
      <x:c r="E2737" s="5" t="str">
        <x:f>VLOOKUP(B2737,Sections!$A$5:$I$45,3,FALSE)</x:f>
        <x:v>2024-1</x:v>
      </x:c>
    </x:row>
    <x:row r="2738" ht="21" customHeight="1">
      <x:c r="A2738" s="3" t="str">
        <x:v>2202009</x:v>
      </x:c>
      <x:c r="B2738" s="3" t="str">
        <x:v>SEC027</x:v>
      </x:c>
      <x:c r="C2738" s="3" t="n">
        <x:v>4</x:v>
      </x:c>
      <x:c r="D2738" s="3" t="str">
        <x:v>present</x:v>
      </x:c>
      <x:c r="E2738" s="5" t="str">
        <x:f>VLOOKUP(B2738,Sections!$A$5:$I$45,3,FALSE)</x:f>
        <x:v>2024-1</x:v>
      </x:c>
    </x:row>
    <x:row r="2739" ht="21" customHeight="1">
      <x:c r="A2739" s="3" t="str">
        <x:v>2202009</x:v>
      </x:c>
      <x:c r="B2739" s="3" t="str">
        <x:v>SEC027</x:v>
      </x:c>
      <x:c r="C2739" s="3" t="n">
        <x:v>5</x:v>
      </x:c>
      <x:c r="D2739" s="3" t="str">
        <x:v>present</x:v>
      </x:c>
      <x:c r="E2739" s="5" t="str">
        <x:f>VLOOKUP(B2739,Sections!$A$5:$I$45,3,FALSE)</x:f>
        <x:v>2024-1</x:v>
      </x:c>
    </x:row>
    <x:row r="2740" ht="21" customHeight="1">
      <x:c r="A2740" s="3" t="str">
        <x:v>2202009</x:v>
      </x:c>
      <x:c r="B2740" s="3" t="str">
        <x:v>SEC027</x:v>
      </x:c>
      <x:c r="C2740" s="3" t="n">
        <x:v>6</x:v>
      </x:c>
      <x:c r="D2740" s="3" t="str">
        <x:v>late</x:v>
      </x:c>
      <x:c r="E2740" s="5" t="str">
        <x:f>VLOOKUP(B2740,Sections!$A$5:$I$45,3,FALSE)</x:f>
        <x:v>2024-1</x:v>
      </x:c>
    </x:row>
    <x:row r="2741" ht="21" customHeight="1">
      <x:c r="A2741" s="3" t="str">
        <x:v>2202009</x:v>
      </x:c>
      <x:c r="B2741" s="3" t="str">
        <x:v>SEC027</x:v>
      </x:c>
      <x:c r="C2741" s="3" t="n">
        <x:v>7</x:v>
      </x:c>
      <x:c r="D2741" s="3" t="str">
        <x:v>present</x:v>
      </x:c>
      <x:c r="E2741" s="5" t="str">
        <x:f>VLOOKUP(B2741,Sections!$A$5:$I$45,3,FALSE)</x:f>
        <x:v>2024-1</x:v>
      </x:c>
    </x:row>
    <x:row r="2742" ht="21" customHeight="1">
      <x:c r="A2742" s="3" t="str">
        <x:v>2202009</x:v>
      </x:c>
      <x:c r="B2742" s="3" t="str">
        <x:v>SEC027</x:v>
      </x:c>
      <x:c r="C2742" s="3" t="n">
        <x:v>8</x:v>
      </x:c>
      <x:c r="D2742" s="3" t="str">
        <x:v>present</x:v>
      </x:c>
      <x:c r="E2742" s="5" t="str">
        <x:f>VLOOKUP(B2742,Sections!$A$5:$I$45,3,FALSE)</x:f>
        <x:v>2024-1</x:v>
      </x:c>
    </x:row>
    <x:row r="2743" ht="21" customHeight="1">
      <x:c r="A2743" s="3" t="str">
        <x:v>2202009</x:v>
      </x:c>
      <x:c r="B2743" s="3" t="str">
        <x:v>SEC027</x:v>
      </x:c>
      <x:c r="C2743" s="3" t="n">
        <x:v>9</x:v>
      </x:c>
      <x:c r="D2743" s="3" t="str">
        <x:v>present</x:v>
      </x:c>
      <x:c r="E2743" s="5" t="str">
        <x:f>VLOOKUP(B2743,Sections!$A$5:$I$45,3,FALSE)</x:f>
        <x:v>2024-1</x:v>
      </x:c>
    </x:row>
    <x:row r="2744" ht="21" customHeight="1">
      <x:c r="A2744" s="3" t="str">
        <x:v>2202009</x:v>
      </x:c>
      <x:c r="B2744" s="3" t="str">
        <x:v>SEC027</x:v>
      </x:c>
      <x:c r="C2744" s="3" t="n">
        <x:v>10</x:v>
      </x:c>
      <x:c r="D2744" s="3" t="str">
        <x:v>present</x:v>
      </x:c>
      <x:c r="E2744" s="5" t="str">
        <x:f>VLOOKUP(B2744,Sections!$A$5:$I$45,3,FALSE)</x:f>
        <x:v>2024-1</x:v>
      </x:c>
    </x:row>
    <x:row r="2745" ht="21" customHeight="1">
      <x:c r="A2745" s="3" t="str">
        <x:v>2202009</x:v>
      </x:c>
      <x:c r="B2745" s="3" t="str">
        <x:v>SEC027</x:v>
      </x:c>
      <x:c r="C2745" s="3" t="n">
        <x:v>11</x:v>
      </x:c>
      <x:c r="D2745" s="3" t="str">
        <x:v>present</x:v>
      </x:c>
      <x:c r="E2745" s="5" t="str">
        <x:f>VLOOKUP(B2745,Sections!$A$5:$I$45,3,FALSE)</x:f>
        <x:v>2024-1</x:v>
      </x:c>
    </x:row>
    <x:row r="2746" ht="21" customHeight="1">
      <x:c r="A2746" s="3" t="str">
        <x:v>2202009</x:v>
      </x:c>
      <x:c r="B2746" s="3" t="str">
        <x:v>SEC027</x:v>
      </x:c>
      <x:c r="C2746" s="3" t="n">
        <x:v>12</x:v>
      </x:c>
      <x:c r="D2746" s="3" t="str">
        <x:v>present</x:v>
      </x:c>
      <x:c r="E2746" s="5" t="str">
        <x:f>VLOOKUP(B2746,Sections!$A$5:$I$45,3,FALSE)</x:f>
        <x:v>2024-1</x:v>
      </x:c>
    </x:row>
    <x:row r="2747" ht="21" customHeight="1">
      <x:c r="A2747" s="3" t="str">
        <x:v>2202009</x:v>
      </x:c>
      <x:c r="B2747" s="3" t="str">
        <x:v>SEC027</x:v>
      </x:c>
      <x:c r="C2747" s="3" t="n">
        <x:v>13</x:v>
      </x:c>
      <x:c r="D2747" s="3" t="str">
        <x:v>present</x:v>
      </x:c>
      <x:c r="E2747" s="5" t="str">
        <x:f>VLOOKUP(B2747,Sections!$A$5:$I$45,3,FALSE)</x:f>
        <x:v>2024-1</x:v>
      </x:c>
    </x:row>
    <x:row r="2748" ht="21" customHeight="1">
      <x:c r="A2748" s="3" t="str">
        <x:v>2202009</x:v>
      </x:c>
      <x:c r="B2748" s="3" t="str">
        <x:v>SEC027</x:v>
      </x:c>
      <x:c r="C2748" s="3" t="n">
        <x:v>14</x:v>
      </x:c>
      <x:c r="D2748" s="3" t="str">
        <x:v>present</x:v>
      </x:c>
      <x:c r="E2748" s="5" t="str">
        <x:f>VLOOKUP(B2748,Sections!$A$5:$I$45,3,FALSE)</x:f>
        <x:v>2024-1</x:v>
      </x:c>
    </x:row>
    <x:row r="2749" ht="21" customHeight="1">
      <x:c r="A2749" s="3" t="str">
        <x:v>2202009</x:v>
      </x:c>
      <x:c r="B2749" s="3" t="str">
        <x:v>SEC027</x:v>
      </x:c>
      <x:c r="C2749" s="3" t="n">
        <x:v>15</x:v>
      </x:c>
      <x:c r="D2749" s="3" t="str">
        <x:v>present</x:v>
      </x:c>
      <x:c r="E2749" s="5" t="str">
        <x:f>VLOOKUP(B2749,Sections!$A$5:$I$45,3,FALSE)</x:f>
        <x:v>2024-1</x:v>
      </x:c>
    </x:row>
    <x:row r="2750" ht="21" customHeight="1">
      <x:c r="A2750" s="3" t="str">
        <x:v>2202010</x:v>
      </x:c>
      <x:c r="B2750" s="3" t="str">
        <x:v>SEC027</x:v>
      </x:c>
      <x:c r="C2750" s="3" t="n">
        <x:v>1</x:v>
      </x:c>
      <x:c r="D2750" s="3" t="str">
        <x:v>present</x:v>
      </x:c>
      <x:c r="E2750" s="5" t="str">
        <x:f>VLOOKUP(B2750,Sections!$A$5:$I$45,3,FALSE)</x:f>
        <x:v>2024-1</x:v>
      </x:c>
    </x:row>
    <x:row r="2751" ht="21" customHeight="1">
      <x:c r="A2751" s="3" t="str">
        <x:v>2202010</x:v>
      </x:c>
      <x:c r="B2751" s="3" t="str">
        <x:v>SEC027</x:v>
      </x:c>
      <x:c r="C2751" s="3" t="n">
        <x:v>2</x:v>
      </x:c>
      <x:c r="D2751" s="3" t="str">
        <x:v>absent</x:v>
      </x:c>
      <x:c r="E2751" s="5" t="str">
        <x:f>VLOOKUP(B2751,Sections!$A$5:$I$45,3,FALSE)</x:f>
        <x:v>2024-1</x:v>
      </x:c>
    </x:row>
    <x:row r="2752" ht="21" customHeight="1">
      <x:c r="A2752" s="3" t="str">
        <x:v>2202010</x:v>
      </x:c>
      <x:c r="B2752" s="3" t="str">
        <x:v>SEC027</x:v>
      </x:c>
      <x:c r="C2752" s="3" t="n">
        <x:v>3</x:v>
      </x:c>
      <x:c r="D2752" s="3" t="str">
        <x:v>present</x:v>
      </x:c>
      <x:c r="E2752" s="5" t="str">
        <x:f>VLOOKUP(B2752,Sections!$A$5:$I$45,3,FALSE)</x:f>
        <x:v>2024-1</x:v>
      </x:c>
    </x:row>
    <x:row r="2753" ht="21" customHeight="1">
      <x:c r="A2753" s="3" t="str">
        <x:v>2202010</x:v>
      </x:c>
      <x:c r="B2753" s="3" t="str">
        <x:v>SEC027</x:v>
      </x:c>
      <x:c r="C2753" s="3" t="n">
        <x:v>4</x:v>
      </x:c>
      <x:c r="D2753" s="3" t="str">
        <x:v>present</x:v>
      </x:c>
      <x:c r="E2753" s="5" t="str">
        <x:f>VLOOKUP(B2753,Sections!$A$5:$I$45,3,FALSE)</x:f>
        <x:v>2024-1</x:v>
      </x:c>
    </x:row>
    <x:row r="2754" ht="21" customHeight="1">
      <x:c r="A2754" s="3" t="str">
        <x:v>2202010</x:v>
      </x:c>
      <x:c r="B2754" s="3" t="str">
        <x:v>SEC027</x:v>
      </x:c>
      <x:c r="C2754" s="3" t="n">
        <x:v>5</x:v>
      </x:c>
      <x:c r="D2754" s="3" t="str">
        <x:v>present</x:v>
      </x:c>
      <x:c r="E2754" s="5" t="str">
        <x:f>VLOOKUP(B2754,Sections!$A$5:$I$45,3,FALSE)</x:f>
        <x:v>2024-1</x:v>
      </x:c>
    </x:row>
    <x:row r="2755" ht="21" customHeight="1">
      <x:c r="A2755" s="3" t="str">
        <x:v>2202010</x:v>
      </x:c>
      <x:c r="B2755" s="3" t="str">
        <x:v>SEC027</x:v>
      </x:c>
      <x:c r="C2755" s="3" t="n">
        <x:v>6</x:v>
      </x:c>
      <x:c r="D2755" s="3" t="str">
        <x:v>absent</x:v>
      </x:c>
      <x:c r="E2755" s="5" t="str">
        <x:f>VLOOKUP(B2755,Sections!$A$5:$I$45,3,FALSE)</x:f>
        <x:v>2024-1</x:v>
      </x:c>
    </x:row>
    <x:row r="2756" ht="21" customHeight="1">
      <x:c r="A2756" s="3" t="str">
        <x:v>2202010</x:v>
      </x:c>
      <x:c r="B2756" s="3" t="str">
        <x:v>SEC027</x:v>
      </x:c>
      <x:c r="C2756" s="3" t="n">
        <x:v>7</x:v>
      </x:c>
      <x:c r="D2756" s="3" t="str">
        <x:v>present</x:v>
      </x:c>
      <x:c r="E2756" s="5" t="str">
        <x:f>VLOOKUP(B2756,Sections!$A$5:$I$45,3,FALSE)</x:f>
        <x:v>2024-1</x:v>
      </x:c>
    </x:row>
    <x:row r="2757" ht="21" customHeight="1">
      <x:c r="A2757" s="3" t="str">
        <x:v>2202010</x:v>
      </x:c>
      <x:c r="B2757" s="3" t="str">
        <x:v>SEC027</x:v>
      </x:c>
      <x:c r="C2757" s="3" t="n">
        <x:v>8</x:v>
      </x:c>
      <x:c r="D2757" s="3" t="str">
        <x:v>present</x:v>
      </x:c>
      <x:c r="E2757" s="5" t="str">
        <x:f>VLOOKUP(B2757,Sections!$A$5:$I$45,3,FALSE)</x:f>
        <x:v>2024-1</x:v>
      </x:c>
    </x:row>
    <x:row r="2758" ht="21" customHeight="1">
      <x:c r="A2758" s="3" t="str">
        <x:v>2202010</x:v>
      </x:c>
      <x:c r="B2758" s="3" t="str">
        <x:v>SEC027</x:v>
      </x:c>
      <x:c r="C2758" s="3" t="n">
        <x:v>9</x:v>
      </x:c>
      <x:c r="D2758" s="3" t="str">
        <x:v>present</x:v>
      </x:c>
      <x:c r="E2758" s="5" t="str">
        <x:f>VLOOKUP(B2758,Sections!$A$5:$I$45,3,FALSE)</x:f>
        <x:v>2024-1</x:v>
      </x:c>
    </x:row>
    <x:row r="2759" ht="21" customHeight="1">
      <x:c r="A2759" s="3" t="str">
        <x:v>2202010</x:v>
      </x:c>
      <x:c r="B2759" s="3" t="str">
        <x:v>SEC027</x:v>
      </x:c>
      <x:c r="C2759" s="3" t="n">
        <x:v>10</x:v>
      </x:c>
      <x:c r="D2759" s="3" t="str">
        <x:v>present</x:v>
      </x:c>
      <x:c r="E2759" s="5" t="str">
        <x:f>VLOOKUP(B2759,Sections!$A$5:$I$45,3,FALSE)</x:f>
        <x:v>2024-1</x:v>
      </x:c>
    </x:row>
    <x:row r="2760" ht="21" customHeight="1">
      <x:c r="A2760" s="3" t="str">
        <x:v>2202010</x:v>
      </x:c>
      <x:c r="B2760" s="3" t="str">
        <x:v>SEC027</x:v>
      </x:c>
      <x:c r="C2760" s="3" t="n">
        <x:v>11</x:v>
      </x:c>
      <x:c r="D2760" s="3" t="str">
        <x:v>present</x:v>
      </x:c>
      <x:c r="E2760" s="5" t="str">
        <x:f>VLOOKUP(B2760,Sections!$A$5:$I$45,3,FALSE)</x:f>
        <x:v>2024-1</x:v>
      </x:c>
    </x:row>
    <x:row r="2761" ht="21" customHeight="1">
      <x:c r="A2761" s="3" t="str">
        <x:v>2202010</x:v>
      </x:c>
      <x:c r="B2761" s="3" t="str">
        <x:v>SEC027</x:v>
      </x:c>
      <x:c r="C2761" s="3" t="n">
        <x:v>12</x:v>
      </x:c>
      <x:c r="D2761" s="3" t="str">
        <x:v>present</x:v>
      </x:c>
      <x:c r="E2761" s="5" t="str">
        <x:f>VLOOKUP(B2761,Sections!$A$5:$I$45,3,FALSE)</x:f>
        <x:v>2024-1</x:v>
      </x:c>
    </x:row>
    <x:row r="2762" ht="21" customHeight="1">
      <x:c r="A2762" s="3" t="str">
        <x:v>2202010</x:v>
      </x:c>
      <x:c r="B2762" s="3" t="str">
        <x:v>SEC027</x:v>
      </x:c>
      <x:c r="C2762" s="3" t="n">
        <x:v>13</x:v>
      </x:c>
      <x:c r="D2762" s="3" t="str">
        <x:v>present</x:v>
      </x:c>
      <x:c r="E2762" s="5" t="str">
        <x:f>VLOOKUP(B2762,Sections!$A$5:$I$45,3,FALSE)</x:f>
        <x:v>2024-1</x:v>
      </x:c>
    </x:row>
    <x:row r="2763" ht="21" customHeight="1">
      <x:c r="A2763" s="3" t="str">
        <x:v>2202010</x:v>
      </x:c>
      <x:c r="B2763" s="3" t="str">
        <x:v>SEC027</x:v>
      </x:c>
      <x:c r="C2763" s="3" t="n">
        <x:v>14</x:v>
      </x:c>
      <x:c r="D2763" s="3" t="str">
        <x:v>present</x:v>
      </x:c>
      <x:c r="E2763" s="5" t="str">
        <x:f>VLOOKUP(B2763,Sections!$A$5:$I$45,3,FALSE)</x:f>
        <x:v>2024-1</x:v>
      </x:c>
    </x:row>
    <x:row r="2764" ht="21" customHeight="1">
      <x:c r="A2764" s="3" t="str">
        <x:v>2202010</x:v>
      </x:c>
      <x:c r="B2764" s="3" t="str">
        <x:v>SEC027</x:v>
      </x:c>
      <x:c r="C2764" s="3" t="n">
        <x:v>15</x:v>
      </x:c>
      <x:c r="D2764" s="3" t="str">
        <x:v>present</x:v>
      </x:c>
      <x:c r="E2764" s="5" t="str">
        <x:f>VLOOKUP(B2764,Sections!$A$5:$I$45,3,FALSE)</x:f>
        <x:v>2024-1</x:v>
      </x:c>
    </x:row>
    <x:row r="2765" ht="21" customHeight="1">
      <x:c r="A2765" s="3" t="str">
        <x:v>2202011</x:v>
      </x:c>
      <x:c r="B2765" s="3" t="str">
        <x:v>SEC028</x:v>
      </x:c>
      <x:c r="C2765" s="3" t="n">
        <x:v>1</x:v>
      </x:c>
      <x:c r="D2765" s="3" t="str">
        <x:v>present</x:v>
      </x:c>
      <x:c r="E2765" s="5" t="str">
        <x:f>VLOOKUP(B2765,Sections!$A$5:$I$45,3,FALSE)</x:f>
        <x:v>2024-1</x:v>
      </x:c>
    </x:row>
    <x:row r="2766" ht="21" customHeight="1">
      <x:c r="A2766" s="3" t="str">
        <x:v>2202011</x:v>
      </x:c>
      <x:c r="B2766" s="3" t="str">
        <x:v>SEC028</x:v>
      </x:c>
      <x:c r="C2766" s="3" t="n">
        <x:v>2</x:v>
      </x:c>
      <x:c r="D2766" s="3" t="str">
        <x:v>present</x:v>
      </x:c>
      <x:c r="E2766" s="5" t="str">
        <x:f>VLOOKUP(B2766,Sections!$A$5:$I$45,3,FALSE)</x:f>
        <x:v>2024-1</x:v>
      </x:c>
    </x:row>
    <x:row r="2767" ht="21" customHeight="1">
      <x:c r="A2767" s="3" t="str">
        <x:v>2202011</x:v>
      </x:c>
      <x:c r="B2767" s="3" t="str">
        <x:v>SEC028</x:v>
      </x:c>
      <x:c r="C2767" s="3" t="n">
        <x:v>3</x:v>
      </x:c>
      <x:c r="D2767" s="3" t="str">
        <x:v>present</x:v>
      </x:c>
      <x:c r="E2767" s="5" t="str">
        <x:f>VLOOKUP(B2767,Sections!$A$5:$I$45,3,FALSE)</x:f>
        <x:v>2024-1</x:v>
      </x:c>
    </x:row>
    <x:row r="2768" ht="21" customHeight="1">
      <x:c r="A2768" s="3" t="str">
        <x:v>2202011</x:v>
      </x:c>
      <x:c r="B2768" s="3" t="str">
        <x:v>SEC028</x:v>
      </x:c>
      <x:c r="C2768" s="3" t="n">
        <x:v>4</x:v>
      </x:c>
      <x:c r="D2768" s="3" t="str">
        <x:v>present</x:v>
      </x:c>
      <x:c r="E2768" s="5" t="str">
        <x:f>VLOOKUP(B2768,Sections!$A$5:$I$45,3,FALSE)</x:f>
        <x:v>2024-1</x:v>
      </x:c>
    </x:row>
    <x:row r="2769" ht="21" customHeight="1">
      <x:c r="A2769" s="3" t="str">
        <x:v>2202011</x:v>
      </x:c>
      <x:c r="B2769" s="3" t="str">
        <x:v>SEC028</x:v>
      </x:c>
      <x:c r="C2769" s="3" t="n">
        <x:v>5</x:v>
      </x:c>
      <x:c r="D2769" s="3" t="str">
        <x:v>present</x:v>
      </x:c>
      <x:c r="E2769" s="5" t="str">
        <x:f>VLOOKUP(B2769,Sections!$A$5:$I$45,3,FALSE)</x:f>
        <x:v>2024-1</x:v>
      </x:c>
    </x:row>
    <x:row r="2770" ht="21" customHeight="1">
      <x:c r="A2770" s="3" t="str">
        <x:v>2202011</x:v>
      </x:c>
      <x:c r="B2770" s="3" t="str">
        <x:v>SEC028</x:v>
      </x:c>
      <x:c r="C2770" s="3" t="n">
        <x:v>6</x:v>
      </x:c>
      <x:c r="D2770" s="3" t="str">
        <x:v>present</x:v>
      </x:c>
      <x:c r="E2770" s="5" t="str">
        <x:f>VLOOKUP(B2770,Sections!$A$5:$I$45,3,FALSE)</x:f>
        <x:v>2024-1</x:v>
      </x:c>
    </x:row>
    <x:row r="2771" ht="21" customHeight="1">
      <x:c r="A2771" s="3" t="str">
        <x:v>2202011</x:v>
      </x:c>
      <x:c r="B2771" s="3" t="str">
        <x:v>SEC028</x:v>
      </x:c>
      <x:c r="C2771" s="3" t="n">
        <x:v>7</x:v>
      </x:c>
      <x:c r="D2771" s="3" t="str">
        <x:v>absent</x:v>
      </x:c>
      <x:c r="E2771" s="5" t="str">
        <x:f>VLOOKUP(B2771,Sections!$A$5:$I$45,3,FALSE)</x:f>
        <x:v>2024-1</x:v>
      </x:c>
    </x:row>
    <x:row r="2772" ht="21" customHeight="1">
      <x:c r="A2772" s="3" t="str">
        <x:v>2202011</x:v>
      </x:c>
      <x:c r="B2772" s="3" t="str">
        <x:v>SEC028</x:v>
      </x:c>
      <x:c r="C2772" s="3" t="n">
        <x:v>8</x:v>
      </x:c>
      <x:c r="D2772" s="3" t="str">
        <x:v>present</x:v>
      </x:c>
      <x:c r="E2772" s="5" t="str">
        <x:f>VLOOKUP(B2772,Sections!$A$5:$I$45,3,FALSE)</x:f>
        <x:v>2024-1</x:v>
      </x:c>
    </x:row>
    <x:row r="2773" ht="21" customHeight="1">
      <x:c r="A2773" s="3" t="str">
        <x:v>2202011</x:v>
      </x:c>
      <x:c r="B2773" s="3" t="str">
        <x:v>SEC028</x:v>
      </x:c>
      <x:c r="C2773" s="3" t="n">
        <x:v>9</x:v>
      </x:c>
      <x:c r="D2773" s="3" t="str">
        <x:v>present</x:v>
      </x:c>
      <x:c r="E2773" s="5" t="str">
        <x:f>VLOOKUP(B2773,Sections!$A$5:$I$45,3,FALSE)</x:f>
        <x:v>2024-1</x:v>
      </x:c>
    </x:row>
    <x:row r="2774" ht="21" customHeight="1">
      <x:c r="A2774" s="3" t="str">
        <x:v>2202011</x:v>
      </x:c>
      <x:c r="B2774" s="3" t="str">
        <x:v>SEC028</x:v>
      </x:c>
      <x:c r="C2774" s="3" t="n">
        <x:v>10</x:v>
      </x:c>
      <x:c r="D2774" s="3" t="str">
        <x:v>present</x:v>
      </x:c>
      <x:c r="E2774" s="5" t="str">
        <x:f>VLOOKUP(B2774,Sections!$A$5:$I$45,3,FALSE)</x:f>
        <x:v>2024-1</x:v>
      </x:c>
    </x:row>
    <x:row r="2775" ht="21" customHeight="1">
      <x:c r="A2775" s="3" t="str">
        <x:v>2202011</x:v>
      </x:c>
      <x:c r="B2775" s="3" t="str">
        <x:v>SEC028</x:v>
      </x:c>
      <x:c r="C2775" s="3" t="n">
        <x:v>11</x:v>
      </x:c>
      <x:c r="D2775" s="3" t="str">
        <x:v>present</x:v>
      </x:c>
      <x:c r="E2775" s="5" t="str">
        <x:f>VLOOKUP(B2775,Sections!$A$5:$I$45,3,FALSE)</x:f>
        <x:v>2024-1</x:v>
      </x:c>
    </x:row>
    <x:row r="2776" ht="21" customHeight="1">
      <x:c r="A2776" s="3" t="str">
        <x:v>2202011</x:v>
      </x:c>
      <x:c r="B2776" s="3" t="str">
        <x:v>SEC028</x:v>
      </x:c>
      <x:c r="C2776" s="3" t="n">
        <x:v>12</x:v>
      </x:c>
      <x:c r="D2776" s="3" t="str">
        <x:v>present</x:v>
      </x:c>
      <x:c r="E2776" s="5" t="str">
        <x:f>VLOOKUP(B2776,Sections!$A$5:$I$45,3,FALSE)</x:f>
        <x:v>2024-1</x:v>
      </x:c>
    </x:row>
    <x:row r="2777" ht="21" customHeight="1">
      <x:c r="A2777" s="3" t="str">
        <x:v>2202011</x:v>
      </x:c>
      <x:c r="B2777" s="3" t="str">
        <x:v>SEC028</x:v>
      </x:c>
      <x:c r="C2777" s="3" t="n">
        <x:v>13</x:v>
      </x:c>
      <x:c r="D2777" s="3" t="str">
        <x:v>excused</x:v>
      </x:c>
      <x:c r="E2777" s="5" t="str">
        <x:f>VLOOKUP(B2777,Sections!$A$5:$I$45,3,FALSE)</x:f>
        <x:v>2024-1</x:v>
      </x:c>
    </x:row>
    <x:row r="2778" ht="21" customHeight="1">
      <x:c r="A2778" s="3" t="str">
        <x:v>2202011</x:v>
      </x:c>
      <x:c r="B2778" s="3" t="str">
        <x:v>SEC028</x:v>
      </x:c>
      <x:c r="C2778" s="3" t="n">
        <x:v>14</x:v>
      </x:c>
      <x:c r="D2778" s="3" t="str">
        <x:v>present</x:v>
      </x:c>
      <x:c r="E2778" s="5" t="str">
        <x:f>VLOOKUP(B2778,Sections!$A$5:$I$45,3,FALSE)</x:f>
        <x:v>2024-1</x:v>
      </x:c>
    </x:row>
    <x:row r="2779" ht="21" customHeight="1">
      <x:c r="A2779" s="3" t="str">
        <x:v>2202011</x:v>
      </x:c>
      <x:c r="B2779" s="3" t="str">
        <x:v>SEC028</x:v>
      </x:c>
      <x:c r="C2779" s="3" t="n">
        <x:v>15</x:v>
      </x:c>
      <x:c r="D2779" s="3" t="str">
        <x:v>present</x:v>
      </x:c>
      <x:c r="E2779" s="5" t="str">
        <x:f>VLOOKUP(B2779,Sections!$A$5:$I$45,3,FALSE)</x:f>
        <x:v>2024-1</x:v>
      </x:c>
    </x:row>
    <x:row r="2780" ht="21" customHeight="1">
      <x:c r="A2780" s="3" t="str">
        <x:v>2202012</x:v>
      </x:c>
      <x:c r="B2780" s="3" t="str">
        <x:v>SEC028</x:v>
      </x:c>
      <x:c r="C2780" s="3" t="n">
        <x:v>1</x:v>
      </x:c>
      <x:c r="D2780" s="3" t="str">
        <x:v>absent</x:v>
      </x:c>
      <x:c r="E2780" s="5" t="str">
        <x:f>VLOOKUP(B2780,Sections!$A$5:$I$45,3,FALSE)</x:f>
        <x:v>2024-1</x:v>
      </x:c>
    </x:row>
    <x:row r="2781" ht="21" customHeight="1">
      <x:c r="A2781" s="3" t="str">
        <x:v>2202012</x:v>
      </x:c>
      <x:c r="B2781" s="3" t="str">
        <x:v>SEC028</x:v>
      </x:c>
      <x:c r="C2781" s="3" t="n">
        <x:v>2</x:v>
      </x:c>
      <x:c r="D2781" s="3" t="str">
        <x:v>present</x:v>
      </x:c>
      <x:c r="E2781" s="5" t="str">
        <x:f>VLOOKUP(B2781,Sections!$A$5:$I$45,3,FALSE)</x:f>
        <x:v>2024-1</x:v>
      </x:c>
    </x:row>
    <x:row r="2782" ht="21" customHeight="1">
      <x:c r="A2782" s="3" t="str">
        <x:v>2202012</x:v>
      </x:c>
      <x:c r="B2782" s="3" t="str">
        <x:v>SEC028</x:v>
      </x:c>
      <x:c r="C2782" s="3" t="n">
        <x:v>3</x:v>
      </x:c>
      <x:c r="D2782" s="3" t="str">
        <x:v>present</x:v>
      </x:c>
      <x:c r="E2782" s="5" t="str">
        <x:f>VLOOKUP(B2782,Sections!$A$5:$I$45,3,FALSE)</x:f>
        <x:v>2024-1</x:v>
      </x:c>
    </x:row>
    <x:row r="2783" ht="21" customHeight="1">
      <x:c r="A2783" s="3" t="str">
        <x:v>2202012</x:v>
      </x:c>
      <x:c r="B2783" s="3" t="str">
        <x:v>SEC028</x:v>
      </x:c>
      <x:c r="C2783" s="3" t="n">
        <x:v>4</x:v>
      </x:c>
      <x:c r="D2783" s="3" t="str">
        <x:v>present</x:v>
      </x:c>
      <x:c r="E2783" s="5" t="str">
        <x:f>VLOOKUP(B2783,Sections!$A$5:$I$45,3,FALSE)</x:f>
        <x:v>2024-1</x:v>
      </x:c>
    </x:row>
    <x:row r="2784" ht="21" customHeight="1">
      <x:c r="A2784" s="3" t="str">
        <x:v>2202012</x:v>
      </x:c>
      <x:c r="B2784" s="3" t="str">
        <x:v>SEC028</x:v>
      </x:c>
      <x:c r="C2784" s="3" t="n">
        <x:v>5</x:v>
      </x:c>
      <x:c r="D2784" s="3" t="str">
        <x:v>present</x:v>
      </x:c>
      <x:c r="E2784" s="5" t="str">
        <x:f>VLOOKUP(B2784,Sections!$A$5:$I$45,3,FALSE)</x:f>
        <x:v>2024-1</x:v>
      </x:c>
    </x:row>
    <x:row r="2785" ht="21" customHeight="1">
      <x:c r="A2785" s="3" t="str">
        <x:v>2202012</x:v>
      </x:c>
      <x:c r="B2785" s="3" t="str">
        <x:v>SEC028</x:v>
      </x:c>
      <x:c r="C2785" s="3" t="n">
        <x:v>6</x:v>
      </x:c>
      <x:c r="D2785" s="3" t="str">
        <x:v>present</x:v>
      </x:c>
      <x:c r="E2785" s="5" t="str">
        <x:f>VLOOKUP(B2785,Sections!$A$5:$I$45,3,FALSE)</x:f>
        <x:v>2024-1</x:v>
      </x:c>
    </x:row>
    <x:row r="2786" ht="21" customHeight="1">
      <x:c r="A2786" s="3" t="str">
        <x:v>2202012</x:v>
      </x:c>
      <x:c r="B2786" s="3" t="str">
        <x:v>SEC028</x:v>
      </x:c>
      <x:c r="C2786" s="3" t="n">
        <x:v>7</x:v>
      </x:c>
      <x:c r="D2786" s="3" t="str">
        <x:v>present</x:v>
      </x:c>
      <x:c r="E2786" s="5" t="str">
        <x:f>VLOOKUP(B2786,Sections!$A$5:$I$45,3,FALSE)</x:f>
        <x:v>2024-1</x:v>
      </x:c>
    </x:row>
    <x:row r="2787" ht="21" customHeight="1">
      <x:c r="A2787" s="3" t="str">
        <x:v>2202012</x:v>
      </x:c>
      <x:c r="B2787" s="3" t="str">
        <x:v>SEC028</x:v>
      </x:c>
      <x:c r="C2787" s="3" t="n">
        <x:v>8</x:v>
      </x:c>
      <x:c r="D2787" s="3" t="str">
        <x:v>present</x:v>
      </x:c>
      <x:c r="E2787" s="5" t="str">
        <x:f>VLOOKUP(B2787,Sections!$A$5:$I$45,3,FALSE)</x:f>
        <x:v>2024-1</x:v>
      </x:c>
    </x:row>
    <x:row r="2788" ht="21" customHeight="1">
      <x:c r="A2788" s="3" t="str">
        <x:v>2202012</x:v>
      </x:c>
      <x:c r="B2788" s="3" t="str">
        <x:v>SEC028</x:v>
      </x:c>
      <x:c r="C2788" s="3" t="n">
        <x:v>9</x:v>
      </x:c>
      <x:c r="D2788" s="3" t="str">
        <x:v>present</x:v>
      </x:c>
      <x:c r="E2788" s="5" t="str">
        <x:f>VLOOKUP(B2788,Sections!$A$5:$I$45,3,FALSE)</x:f>
        <x:v>2024-1</x:v>
      </x:c>
    </x:row>
    <x:row r="2789" ht="21" customHeight="1">
      <x:c r="A2789" s="3" t="str">
        <x:v>2202012</x:v>
      </x:c>
      <x:c r="B2789" s="3" t="str">
        <x:v>SEC028</x:v>
      </x:c>
      <x:c r="C2789" s="3" t="n">
        <x:v>10</x:v>
      </x:c>
      <x:c r="D2789" s="3" t="str">
        <x:v>present</x:v>
      </x:c>
      <x:c r="E2789" s="5" t="str">
        <x:f>VLOOKUP(B2789,Sections!$A$5:$I$45,3,FALSE)</x:f>
        <x:v>2024-1</x:v>
      </x:c>
    </x:row>
    <x:row r="2790" ht="21" customHeight="1">
      <x:c r="A2790" s="3" t="str">
        <x:v>2202012</x:v>
      </x:c>
      <x:c r="B2790" s="3" t="str">
        <x:v>SEC028</x:v>
      </x:c>
      <x:c r="C2790" s="3" t="n">
        <x:v>11</x:v>
      </x:c>
      <x:c r="D2790" s="3" t="str">
        <x:v>present</x:v>
      </x:c>
      <x:c r="E2790" s="5" t="str">
        <x:f>VLOOKUP(B2790,Sections!$A$5:$I$45,3,FALSE)</x:f>
        <x:v>2024-1</x:v>
      </x:c>
    </x:row>
    <x:row r="2791" ht="21" customHeight="1">
      <x:c r="A2791" s="3" t="str">
        <x:v>2202012</x:v>
      </x:c>
      <x:c r="B2791" s="3" t="str">
        <x:v>SEC028</x:v>
      </x:c>
      <x:c r="C2791" s="3" t="n">
        <x:v>12</x:v>
      </x:c>
      <x:c r="D2791" s="3" t="str">
        <x:v>present</x:v>
      </x:c>
      <x:c r="E2791" s="5" t="str">
        <x:f>VLOOKUP(B2791,Sections!$A$5:$I$45,3,FALSE)</x:f>
        <x:v>2024-1</x:v>
      </x:c>
    </x:row>
    <x:row r="2792" ht="21" customHeight="1">
      <x:c r="A2792" s="3" t="str">
        <x:v>2202012</x:v>
      </x:c>
      <x:c r="B2792" s="3" t="str">
        <x:v>SEC028</x:v>
      </x:c>
      <x:c r="C2792" s="3" t="n">
        <x:v>13</x:v>
      </x:c>
      <x:c r="D2792" s="3" t="str">
        <x:v>present</x:v>
      </x:c>
      <x:c r="E2792" s="5" t="str">
        <x:f>VLOOKUP(B2792,Sections!$A$5:$I$45,3,FALSE)</x:f>
        <x:v>2024-1</x:v>
      </x:c>
    </x:row>
    <x:row r="2793" ht="21" customHeight="1">
      <x:c r="A2793" s="3" t="str">
        <x:v>2202012</x:v>
      </x:c>
      <x:c r="B2793" s="3" t="str">
        <x:v>SEC028</x:v>
      </x:c>
      <x:c r="C2793" s="3" t="n">
        <x:v>14</x:v>
      </x:c>
      <x:c r="D2793" s="3" t="str">
        <x:v>present</x:v>
      </x:c>
      <x:c r="E2793" s="5" t="str">
        <x:f>VLOOKUP(B2793,Sections!$A$5:$I$45,3,FALSE)</x:f>
        <x:v>2024-1</x:v>
      </x:c>
    </x:row>
    <x:row r="2794" ht="21" customHeight="1">
      <x:c r="A2794" s="3" t="str">
        <x:v>2202012</x:v>
      </x:c>
      <x:c r="B2794" s="3" t="str">
        <x:v>SEC028</x:v>
      </x:c>
      <x:c r="C2794" s="3" t="n">
        <x:v>15</x:v>
      </x:c>
      <x:c r="D2794" s="3" t="str">
        <x:v>present</x:v>
      </x:c>
      <x:c r="E2794" s="5" t="str">
        <x:f>VLOOKUP(B2794,Sections!$A$5:$I$45,3,FALSE)</x:f>
        <x:v>2024-1</x:v>
      </x:c>
    </x:row>
    <x:row r="2795" ht="21" customHeight="1">
      <x:c r="A2795" s="3" t="str">
        <x:v>2202013</x:v>
      </x:c>
      <x:c r="B2795" s="3" t="str">
        <x:v>SEC028</x:v>
      </x:c>
      <x:c r="C2795" s="3" t="n">
        <x:v>1</x:v>
      </x:c>
      <x:c r="D2795" s="3" t="str">
        <x:v>absent</x:v>
      </x:c>
      <x:c r="E2795" s="5" t="str">
        <x:f>VLOOKUP(B2795,Sections!$A$5:$I$45,3,FALSE)</x:f>
        <x:v>2024-1</x:v>
      </x:c>
    </x:row>
    <x:row r="2796" ht="21" customHeight="1">
      <x:c r="A2796" s="3" t="str">
        <x:v>2202013</x:v>
      </x:c>
      <x:c r="B2796" s="3" t="str">
        <x:v>SEC028</x:v>
      </x:c>
      <x:c r="C2796" s="3" t="n">
        <x:v>2</x:v>
      </x:c>
      <x:c r="D2796" s="3" t="str">
        <x:v>present</x:v>
      </x:c>
      <x:c r="E2796" s="5" t="str">
        <x:f>VLOOKUP(B2796,Sections!$A$5:$I$45,3,FALSE)</x:f>
        <x:v>2024-1</x:v>
      </x:c>
    </x:row>
    <x:row r="2797" ht="21" customHeight="1">
      <x:c r="A2797" s="3" t="str">
        <x:v>2202013</x:v>
      </x:c>
      <x:c r="B2797" s="3" t="str">
        <x:v>SEC028</x:v>
      </x:c>
      <x:c r="C2797" s="3" t="n">
        <x:v>3</x:v>
      </x:c>
      <x:c r="D2797" s="3" t="str">
        <x:v>present</x:v>
      </x:c>
      <x:c r="E2797" s="5" t="str">
        <x:f>VLOOKUP(B2797,Sections!$A$5:$I$45,3,FALSE)</x:f>
        <x:v>2024-1</x:v>
      </x:c>
    </x:row>
    <x:row r="2798" ht="21" customHeight="1">
      <x:c r="A2798" s="3" t="str">
        <x:v>2202013</x:v>
      </x:c>
      <x:c r="B2798" s="3" t="str">
        <x:v>SEC028</x:v>
      </x:c>
      <x:c r="C2798" s="3" t="n">
        <x:v>4</x:v>
      </x:c>
      <x:c r="D2798" s="3" t="str">
        <x:v>present</x:v>
      </x:c>
      <x:c r="E2798" s="5" t="str">
        <x:f>VLOOKUP(B2798,Sections!$A$5:$I$45,3,FALSE)</x:f>
        <x:v>2024-1</x:v>
      </x:c>
    </x:row>
    <x:row r="2799" ht="21" customHeight="1">
      <x:c r="A2799" s="3" t="str">
        <x:v>2202013</x:v>
      </x:c>
      <x:c r="B2799" s="3" t="str">
        <x:v>SEC028</x:v>
      </x:c>
      <x:c r="C2799" s="3" t="n">
        <x:v>5</x:v>
      </x:c>
      <x:c r="D2799" s="3" t="str">
        <x:v>present</x:v>
      </x:c>
      <x:c r="E2799" s="5" t="str">
        <x:f>VLOOKUP(B2799,Sections!$A$5:$I$45,3,FALSE)</x:f>
        <x:v>2024-1</x:v>
      </x:c>
    </x:row>
    <x:row r="2800" ht="21" customHeight="1">
      <x:c r="A2800" s="3" t="str">
        <x:v>2202013</x:v>
      </x:c>
      <x:c r="B2800" s="3" t="str">
        <x:v>SEC028</x:v>
      </x:c>
      <x:c r="C2800" s="3" t="n">
        <x:v>6</x:v>
      </x:c>
      <x:c r="D2800" s="3" t="str">
        <x:v>present</x:v>
      </x:c>
      <x:c r="E2800" s="5" t="str">
        <x:f>VLOOKUP(B2800,Sections!$A$5:$I$45,3,FALSE)</x:f>
        <x:v>2024-1</x:v>
      </x:c>
    </x:row>
    <x:row r="2801" ht="21" customHeight="1">
      <x:c r="A2801" s="3" t="str">
        <x:v>2202013</x:v>
      </x:c>
      <x:c r="B2801" s="3" t="str">
        <x:v>SEC028</x:v>
      </x:c>
      <x:c r="C2801" s="3" t="n">
        <x:v>7</x:v>
      </x:c>
      <x:c r="D2801" s="3" t="str">
        <x:v>present</x:v>
      </x:c>
      <x:c r="E2801" s="5" t="str">
        <x:f>VLOOKUP(B2801,Sections!$A$5:$I$45,3,FALSE)</x:f>
        <x:v>2024-1</x:v>
      </x:c>
    </x:row>
    <x:row r="2802" ht="21" customHeight="1">
      <x:c r="A2802" s="3" t="str">
        <x:v>2202013</x:v>
      </x:c>
      <x:c r="B2802" s="3" t="str">
        <x:v>SEC028</x:v>
      </x:c>
      <x:c r="C2802" s="3" t="n">
        <x:v>8</x:v>
      </x:c>
      <x:c r="D2802" s="3" t="str">
        <x:v>present</x:v>
      </x:c>
      <x:c r="E2802" s="5" t="str">
        <x:f>VLOOKUP(B2802,Sections!$A$5:$I$45,3,FALSE)</x:f>
        <x:v>2024-1</x:v>
      </x:c>
    </x:row>
    <x:row r="2803" ht="21" customHeight="1">
      <x:c r="A2803" s="3" t="str">
        <x:v>2202013</x:v>
      </x:c>
      <x:c r="B2803" s="3" t="str">
        <x:v>SEC028</x:v>
      </x:c>
      <x:c r="C2803" s="3" t="n">
        <x:v>9</x:v>
      </x:c>
      <x:c r="D2803" s="3" t="str">
        <x:v>present</x:v>
      </x:c>
      <x:c r="E2803" s="5" t="str">
        <x:f>VLOOKUP(B2803,Sections!$A$5:$I$45,3,FALSE)</x:f>
        <x:v>2024-1</x:v>
      </x:c>
    </x:row>
    <x:row r="2804" ht="21" customHeight="1">
      <x:c r="A2804" s="3" t="str">
        <x:v>2202013</x:v>
      </x:c>
      <x:c r="B2804" s="3" t="str">
        <x:v>SEC028</x:v>
      </x:c>
      <x:c r="C2804" s="3" t="n">
        <x:v>10</x:v>
      </x:c>
      <x:c r="D2804" s="3" t="str">
        <x:v>present</x:v>
      </x:c>
      <x:c r="E2804" s="5" t="str">
        <x:f>VLOOKUP(B2804,Sections!$A$5:$I$45,3,FALSE)</x:f>
        <x:v>2024-1</x:v>
      </x:c>
    </x:row>
    <x:row r="2805" ht="21" customHeight="1">
      <x:c r="A2805" s="3" t="str">
        <x:v>2202013</x:v>
      </x:c>
      <x:c r="B2805" s="3" t="str">
        <x:v>SEC028</x:v>
      </x:c>
      <x:c r="C2805" s="3" t="n">
        <x:v>11</x:v>
      </x:c>
      <x:c r="D2805" s="3" t="str">
        <x:v>present</x:v>
      </x:c>
      <x:c r="E2805" s="5" t="str">
        <x:f>VLOOKUP(B2805,Sections!$A$5:$I$45,3,FALSE)</x:f>
        <x:v>2024-1</x:v>
      </x:c>
    </x:row>
    <x:row r="2806" ht="21" customHeight="1">
      <x:c r="A2806" s="3" t="str">
        <x:v>2202013</x:v>
      </x:c>
      <x:c r="B2806" s="3" t="str">
        <x:v>SEC028</x:v>
      </x:c>
      <x:c r="C2806" s="3" t="n">
        <x:v>12</x:v>
      </x:c>
      <x:c r="D2806" s="3" t="str">
        <x:v>present</x:v>
      </x:c>
      <x:c r="E2806" s="5" t="str">
        <x:f>VLOOKUP(B2806,Sections!$A$5:$I$45,3,FALSE)</x:f>
        <x:v>2024-1</x:v>
      </x:c>
    </x:row>
    <x:row r="2807" ht="21" customHeight="1">
      <x:c r="A2807" s="3" t="str">
        <x:v>2202013</x:v>
      </x:c>
      <x:c r="B2807" s="3" t="str">
        <x:v>SEC028</x:v>
      </x:c>
      <x:c r="C2807" s="3" t="n">
        <x:v>13</x:v>
      </x:c>
      <x:c r="D2807" s="3" t="str">
        <x:v>present</x:v>
      </x:c>
      <x:c r="E2807" s="5" t="str">
        <x:f>VLOOKUP(B2807,Sections!$A$5:$I$45,3,FALSE)</x:f>
        <x:v>2024-1</x:v>
      </x:c>
    </x:row>
    <x:row r="2808" ht="21" customHeight="1">
      <x:c r="A2808" s="3" t="str">
        <x:v>2202013</x:v>
      </x:c>
      <x:c r="B2808" s="3" t="str">
        <x:v>SEC028</x:v>
      </x:c>
      <x:c r="C2808" s="3" t="n">
        <x:v>14</x:v>
      </x:c>
      <x:c r="D2808" s="3" t="str">
        <x:v>present</x:v>
      </x:c>
      <x:c r="E2808" s="5" t="str">
        <x:f>VLOOKUP(B2808,Sections!$A$5:$I$45,3,FALSE)</x:f>
        <x:v>2024-1</x:v>
      </x:c>
    </x:row>
    <x:row r="2809" ht="21" customHeight="1">
      <x:c r="A2809" s="3" t="str">
        <x:v>2202013</x:v>
      </x:c>
      <x:c r="B2809" s="3" t="str">
        <x:v>SEC028</x:v>
      </x:c>
      <x:c r="C2809" s="3" t="n">
        <x:v>15</x:v>
      </x:c>
      <x:c r="D2809" s="3" t="str">
        <x:v>present</x:v>
      </x:c>
      <x:c r="E2809" s="5" t="str">
        <x:f>VLOOKUP(B2809,Sections!$A$5:$I$45,3,FALSE)</x:f>
        <x:v>2024-1</x:v>
      </x:c>
    </x:row>
    <x:row r="2810" ht="21" customHeight="1">
      <x:c r="A2810" s="3" t="str">
        <x:v>2202014</x:v>
      </x:c>
      <x:c r="B2810" s="3" t="str">
        <x:v>SEC028</x:v>
      </x:c>
      <x:c r="C2810" s="3" t="n">
        <x:v>1</x:v>
      </x:c>
      <x:c r="D2810" s="3" t="str">
        <x:v>present</x:v>
      </x:c>
      <x:c r="E2810" s="5" t="str">
        <x:f>VLOOKUP(B2810,Sections!$A$5:$I$45,3,FALSE)</x:f>
        <x:v>2024-1</x:v>
      </x:c>
    </x:row>
    <x:row r="2811" ht="21" customHeight="1">
      <x:c r="A2811" s="3" t="str">
        <x:v>2202014</x:v>
      </x:c>
      <x:c r="B2811" s="3" t="str">
        <x:v>SEC028</x:v>
      </x:c>
      <x:c r="C2811" s="3" t="n">
        <x:v>2</x:v>
      </x:c>
      <x:c r="D2811" s="3" t="str">
        <x:v>present</x:v>
      </x:c>
      <x:c r="E2811" s="5" t="str">
        <x:f>VLOOKUP(B2811,Sections!$A$5:$I$45,3,FALSE)</x:f>
        <x:v>2024-1</x:v>
      </x:c>
    </x:row>
    <x:row r="2812" ht="21" customHeight="1">
      <x:c r="A2812" s="3" t="str">
        <x:v>2202014</x:v>
      </x:c>
      <x:c r="B2812" s="3" t="str">
        <x:v>SEC028</x:v>
      </x:c>
      <x:c r="C2812" s="3" t="n">
        <x:v>3</x:v>
      </x:c>
      <x:c r="D2812" s="3" t="str">
        <x:v>present</x:v>
      </x:c>
      <x:c r="E2812" s="5" t="str">
        <x:f>VLOOKUP(B2812,Sections!$A$5:$I$45,3,FALSE)</x:f>
        <x:v>2024-1</x:v>
      </x:c>
    </x:row>
    <x:row r="2813" ht="21" customHeight="1">
      <x:c r="A2813" s="3" t="str">
        <x:v>2202014</x:v>
      </x:c>
      <x:c r="B2813" s="3" t="str">
        <x:v>SEC028</x:v>
      </x:c>
      <x:c r="C2813" s="3" t="n">
        <x:v>4</x:v>
      </x:c>
      <x:c r="D2813" s="3" t="str">
        <x:v>present</x:v>
      </x:c>
      <x:c r="E2813" s="5" t="str">
        <x:f>VLOOKUP(B2813,Sections!$A$5:$I$45,3,FALSE)</x:f>
        <x:v>2024-1</x:v>
      </x:c>
    </x:row>
    <x:row r="2814" ht="21" customHeight="1">
      <x:c r="A2814" s="3" t="str">
        <x:v>2202014</x:v>
      </x:c>
      <x:c r="B2814" s="3" t="str">
        <x:v>SEC028</x:v>
      </x:c>
      <x:c r="C2814" s="3" t="n">
        <x:v>5</x:v>
      </x:c>
      <x:c r="D2814" s="3" t="str">
        <x:v>present</x:v>
      </x:c>
      <x:c r="E2814" s="5" t="str">
        <x:f>VLOOKUP(B2814,Sections!$A$5:$I$45,3,FALSE)</x:f>
        <x:v>2024-1</x:v>
      </x:c>
    </x:row>
    <x:row r="2815" ht="21" customHeight="1">
      <x:c r="A2815" s="3" t="str">
        <x:v>2202014</x:v>
      </x:c>
      <x:c r="B2815" s="3" t="str">
        <x:v>SEC028</x:v>
      </x:c>
      <x:c r="C2815" s="3" t="n">
        <x:v>6</x:v>
      </x:c>
      <x:c r="D2815" s="3" t="str">
        <x:v>present</x:v>
      </x:c>
      <x:c r="E2815" s="5" t="str">
        <x:f>VLOOKUP(B2815,Sections!$A$5:$I$45,3,FALSE)</x:f>
        <x:v>2024-1</x:v>
      </x:c>
    </x:row>
    <x:row r="2816" ht="21" customHeight="1">
      <x:c r="A2816" s="3" t="str">
        <x:v>2202014</x:v>
      </x:c>
      <x:c r="B2816" s="3" t="str">
        <x:v>SEC028</x:v>
      </x:c>
      <x:c r="C2816" s="3" t="n">
        <x:v>7</x:v>
      </x:c>
      <x:c r="D2816" s="3" t="str">
        <x:v>present</x:v>
      </x:c>
      <x:c r="E2816" s="5" t="str">
        <x:f>VLOOKUP(B2816,Sections!$A$5:$I$45,3,FALSE)</x:f>
        <x:v>2024-1</x:v>
      </x:c>
    </x:row>
    <x:row r="2817" ht="21" customHeight="1">
      <x:c r="A2817" s="3" t="str">
        <x:v>2202014</x:v>
      </x:c>
      <x:c r="B2817" s="3" t="str">
        <x:v>SEC028</x:v>
      </x:c>
      <x:c r="C2817" s="3" t="n">
        <x:v>8</x:v>
      </x:c>
      <x:c r="D2817" s="3" t="str">
        <x:v>present</x:v>
      </x:c>
      <x:c r="E2817" s="5" t="str">
        <x:f>VLOOKUP(B2817,Sections!$A$5:$I$45,3,FALSE)</x:f>
        <x:v>2024-1</x:v>
      </x:c>
    </x:row>
    <x:row r="2818" ht="21" customHeight="1">
      <x:c r="A2818" s="3" t="str">
        <x:v>2202014</x:v>
      </x:c>
      <x:c r="B2818" s="3" t="str">
        <x:v>SEC028</x:v>
      </x:c>
      <x:c r="C2818" s="3" t="n">
        <x:v>9</x:v>
      </x:c>
      <x:c r="D2818" s="3" t="str">
        <x:v>present</x:v>
      </x:c>
      <x:c r="E2818" s="5" t="str">
        <x:f>VLOOKUP(B2818,Sections!$A$5:$I$45,3,FALSE)</x:f>
        <x:v>2024-1</x:v>
      </x:c>
    </x:row>
    <x:row r="2819" ht="21" customHeight="1">
      <x:c r="A2819" s="3" t="str">
        <x:v>2202014</x:v>
      </x:c>
      <x:c r="B2819" s="3" t="str">
        <x:v>SEC028</x:v>
      </x:c>
      <x:c r="C2819" s="3" t="n">
        <x:v>10</x:v>
      </x:c>
      <x:c r="D2819" s="3" t="str">
        <x:v>present</x:v>
      </x:c>
      <x:c r="E2819" s="5" t="str">
        <x:f>VLOOKUP(B2819,Sections!$A$5:$I$45,3,FALSE)</x:f>
        <x:v>2024-1</x:v>
      </x:c>
    </x:row>
    <x:row r="2820" ht="21" customHeight="1">
      <x:c r="A2820" s="3" t="str">
        <x:v>2202014</x:v>
      </x:c>
      <x:c r="B2820" s="3" t="str">
        <x:v>SEC028</x:v>
      </x:c>
      <x:c r="C2820" s="3" t="n">
        <x:v>11</x:v>
      </x:c>
      <x:c r="D2820" s="3" t="str">
        <x:v>present</x:v>
      </x:c>
      <x:c r="E2820" s="5" t="str">
        <x:f>VLOOKUP(B2820,Sections!$A$5:$I$45,3,FALSE)</x:f>
        <x:v>2024-1</x:v>
      </x:c>
    </x:row>
    <x:row r="2821" ht="21" customHeight="1">
      <x:c r="A2821" s="3" t="str">
        <x:v>2202014</x:v>
      </x:c>
      <x:c r="B2821" s="3" t="str">
        <x:v>SEC028</x:v>
      </x:c>
      <x:c r="C2821" s="3" t="n">
        <x:v>12</x:v>
      </x:c>
      <x:c r="D2821" s="3" t="str">
        <x:v>present</x:v>
      </x:c>
      <x:c r="E2821" s="5" t="str">
        <x:f>VLOOKUP(B2821,Sections!$A$5:$I$45,3,FALSE)</x:f>
        <x:v>2024-1</x:v>
      </x:c>
    </x:row>
    <x:row r="2822" ht="21" customHeight="1">
      <x:c r="A2822" s="3" t="str">
        <x:v>2202014</x:v>
      </x:c>
      <x:c r="B2822" s="3" t="str">
        <x:v>SEC028</x:v>
      </x:c>
      <x:c r="C2822" s="3" t="n">
        <x:v>13</x:v>
      </x:c>
      <x:c r="D2822" s="3" t="str">
        <x:v>present</x:v>
      </x:c>
      <x:c r="E2822" s="5" t="str">
        <x:f>VLOOKUP(B2822,Sections!$A$5:$I$45,3,FALSE)</x:f>
        <x:v>2024-1</x:v>
      </x:c>
    </x:row>
    <x:row r="2823" ht="21" customHeight="1">
      <x:c r="A2823" s="3" t="str">
        <x:v>2202014</x:v>
      </x:c>
      <x:c r="B2823" s="3" t="str">
        <x:v>SEC028</x:v>
      </x:c>
      <x:c r="C2823" s="3" t="n">
        <x:v>14</x:v>
      </x:c>
      <x:c r="D2823" s="3" t="str">
        <x:v>present</x:v>
      </x:c>
      <x:c r="E2823" s="5" t="str">
        <x:f>VLOOKUP(B2823,Sections!$A$5:$I$45,3,FALSE)</x:f>
        <x:v>2024-1</x:v>
      </x:c>
    </x:row>
    <x:row r="2824" ht="21" customHeight="1">
      <x:c r="A2824" s="3" t="str">
        <x:v>2202014</x:v>
      </x:c>
      <x:c r="B2824" s="3" t="str">
        <x:v>SEC028</x:v>
      </x:c>
      <x:c r="C2824" s="3" t="n">
        <x:v>15</x:v>
      </x:c>
      <x:c r="D2824" s="3" t="str">
        <x:v>present</x:v>
      </x:c>
      <x:c r="E2824" s="5" t="str">
        <x:f>VLOOKUP(B2824,Sections!$A$5:$I$45,3,FALSE)</x:f>
        <x:v>2024-1</x:v>
      </x:c>
    </x:row>
    <x:row r="2825" ht="21" customHeight="1">
      <x:c r="A2825" s="3" t="str">
        <x:v>2202015</x:v>
      </x:c>
      <x:c r="B2825" s="3" t="str">
        <x:v>SEC028</x:v>
      </x:c>
      <x:c r="C2825" s="3" t="n">
        <x:v>1</x:v>
      </x:c>
      <x:c r="D2825" s="3" t="str">
        <x:v>present</x:v>
      </x:c>
      <x:c r="E2825" s="5" t="str">
        <x:f>VLOOKUP(B2825,Sections!$A$5:$I$45,3,FALSE)</x:f>
        <x:v>2024-1</x:v>
      </x:c>
    </x:row>
    <x:row r="2826" ht="21" customHeight="1">
      <x:c r="A2826" s="3" t="str">
        <x:v>2202015</x:v>
      </x:c>
      <x:c r="B2826" s="3" t="str">
        <x:v>SEC028</x:v>
      </x:c>
      <x:c r="C2826" s="3" t="n">
        <x:v>2</x:v>
      </x:c>
      <x:c r="D2826" s="3" t="str">
        <x:v>absent</x:v>
      </x:c>
      <x:c r="E2826" s="5" t="str">
        <x:f>VLOOKUP(B2826,Sections!$A$5:$I$45,3,FALSE)</x:f>
        <x:v>2024-1</x:v>
      </x:c>
    </x:row>
    <x:row r="2827" ht="21" customHeight="1">
      <x:c r="A2827" s="3" t="str">
        <x:v>2202015</x:v>
      </x:c>
      <x:c r="B2827" s="3" t="str">
        <x:v>SEC028</x:v>
      </x:c>
      <x:c r="C2827" s="3" t="n">
        <x:v>3</x:v>
      </x:c>
      <x:c r="D2827" s="3" t="str">
        <x:v>excused</x:v>
      </x:c>
      <x:c r="E2827" s="5" t="str">
        <x:f>VLOOKUP(B2827,Sections!$A$5:$I$45,3,FALSE)</x:f>
        <x:v>2024-1</x:v>
      </x:c>
    </x:row>
    <x:row r="2828" ht="21" customHeight="1">
      <x:c r="A2828" s="3" t="str">
        <x:v>2202015</x:v>
      </x:c>
      <x:c r="B2828" s="3" t="str">
        <x:v>SEC028</x:v>
      </x:c>
      <x:c r="C2828" s="3" t="n">
        <x:v>4</x:v>
      </x:c>
      <x:c r="D2828" s="3" t="str">
        <x:v>present</x:v>
      </x:c>
      <x:c r="E2828" s="5" t="str">
        <x:f>VLOOKUP(B2828,Sections!$A$5:$I$45,3,FALSE)</x:f>
        <x:v>2024-1</x:v>
      </x:c>
    </x:row>
    <x:row r="2829" ht="21" customHeight="1">
      <x:c r="A2829" s="3" t="str">
        <x:v>2202015</x:v>
      </x:c>
      <x:c r="B2829" s="3" t="str">
        <x:v>SEC028</x:v>
      </x:c>
      <x:c r="C2829" s="3" t="n">
        <x:v>5</x:v>
      </x:c>
      <x:c r="D2829" s="3" t="str">
        <x:v>absent</x:v>
      </x:c>
      <x:c r="E2829" s="5" t="str">
        <x:f>VLOOKUP(B2829,Sections!$A$5:$I$45,3,FALSE)</x:f>
        <x:v>2024-1</x:v>
      </x:c>
    </x:row>
    <x:row r="2830" ht="21" customHeight="1">
      <x:c r="A2830" s="3" t="str">
        <x:v>2202015</x:v>
      </x:c>
      <x:c r="B2830" s="3" t="str">
        <x:v>SEC028</x:v>
      </x:c>
      <x:c r="C2830" s="3" t="n">
        <x:v>6</x:v>
      </x:c>
      <x:c r="D2830" s="3" t="str">
        <x:v>present</x:v>
      </x:c>
      <x:c r="E2830" s="5" t="str">
        <x:f>VLOOKUP(B2830,Sections!$A$5:$I$45,3,FALSE)</x:f>
        <x:v>2024-1</x:v>
      </x:c>
    </x:row>
    <x:row r="2831" ht="21" customHeight="1">
      <x:c r="A2831" s="3" t="str">
        <x:v>2202015</x:v>
      </x:c>
      <x:c r="B2831" s="3" t="str">
        <x:v>SEC028</x:v>
      </x:c>
      <x:c r="C2831" s="3" t="n">
        <x:v>7</x:v>
      </x:c>
      <x:c r="D2831" s="3" t="str">
        <x:v>present</x:v>
      </x:c>
      <x:c r="E2831" s="5" t="str">
        <x:f>VLOOKUP(B2831,Sections!$A$5:$I$45,3,FALSE)</x:f>
        <x:v>2024-1</x:v>
      </x:c>
    </x:row>
    <x:row r="2832" ht="21" customHeight="1">
      <x:c r="A2832" s="3" t="str">
        <x:v>2202015</x:v>
      </x:c>
      <x:c r="B2832" s="3" t="str">
        <x:v>SEC028</x:v>
      </x:c>
      <x:c r="C2832" s="3" t="n">
        <x:v>8</x:v>
      </x:c>
      <x:c r="D2832" s="3" t="str">
        <x:v>absent</x:v>
      </x:c>
      <x:c r="E2832" s="5" t="str">
        <x:f>VLOOKUP(B2832,Sections!$A$5:$I$45,3,FALSE)</x:f>
        <x:v>2024-1</x:v>
      </x:c>
    </x:row>
    <x:row r="2833" ht="21" customHeight="1">
      <x:c r="A2833" s="3" t="str">
        <x:v>2202015</x:v>
      </x:c>
      <x:c r="B2833" s="3" t="str">
        <x:v>SEC028</x:v>
      </x:c>
      <x:c r="C2833" s="3" t="n">
        <x:v>9</x:v>
      </x:c>
      <x:c r="D2833" s="3" t="str">
        <x:v>absent</x:v>
      </x:c>
      <x:c r="E2833" s="5" t="str">
        <x:f>VLOOKUP(B2833,Sections!$A$5:$I$45,3,FALSE)</x:f>
        <x:v>2024-1</x:v>
      </x:c>
    </x:row>
    <x:row r="2834" ht="21" customHeight="1">
      <x:c r="A2834" s="3" t="str">
        <x:v>2202015</x:v>
      </x:c>
      <x:c r="B2834" s="3" t="str">
        <x:v>SEC028</x:v>
      </x:c>
      <x:c r="C2834" s="3" t="n">
        <x:v>10</x:v>
      </x:c>
      <x:c r="D2834" s="3" t="str">
        <x:v>present</x:v>
      </x:c>
      <x:c r="E2834" s="5" t="str">
        <x:f>VLOOKUP(B2834,Sections!$A$5:$I$45,3,FALSE)</x:f>
        <x:v>2024-1</x:v>
      </x:c>
    </x:row>
    <x:row r="2835" ht="21" customHeight="1">
      <x:c r="A2835" s="3" t="str">
        <x:v>2202015</x:v>
      </x:c>
      <x:c r="B2835" s="3" t="str">
        <x:v>SEC028</x:v>
      </x:c>
      <x:c r="C2835" s="3" t="n">
        <x:v>11</x:v>
      </x:c>
      <x:c r="D2835" s="3" t="str">
        <x:v>present</x:v>
      </x:c>
      <x:c r="E2835" s="5" t="str">
        <x:f>VLOOKUP(B2835,Sections!$A$5:$I$45,3,FALSE)</x:f>
        <x:v>2024-1</x:v>
      </x:c>
    </x:row>
    <x:row r="2836" ht="21" customHeight="1">
      <x:c r="A2836" s="3" t="str">
        <x:v>2202015</x:v>
      </x:c>
      <x:c r="B2836" s="3" t="str">
        <x:v>SEC028</x:v>
      </x:c>
      <x:c r="C2836" s="3" t="n">
        <x:v>12</x:v>
      </x:c>
      <x:c r="D2836" s="3" t="str">
        <x:v>present</x:v>
      </x:c>
      <x:c r="E2836" s="5" t="str">
        <x:f>VLOOKUP(B2836,Sections!$A$5:$I$45,3,FALSE)</x:f>
        <x:v>2024-1</x:v>
      </x:c>
    </x:row>
    <x:row r="2837" ht="21" customHeight="1">
      <x:c r="A2837" s="3" t="str">
        <x:v>2202015</x:v>
      </x:c>
      <x:c r="B2837" s="3" t="str">
        <x:v>SEC028</x:v>
      </x:c>
      <x:c r="C2837" s="3" t="n">
        <x:v>13</x:v>
      </x:c>
      <x:c r="D2837" s="3" t="str">
        <x:v>present</x:v>
      </x:c>
      <x:c r="E2837" s="5" t="str">
        <x:f>VLOOKUP(B2837,Sections!$A$5:$I$45,3,FALSE)</x:f>
        <x:v>2024-1</x:v>
      </x:c>
    </x:row>
    <x:row r="2838" ht="21" customHeight="1">
      <x:c r="A2838" s="3" t="str">
        <x:v>2202015</x:v>
      </x:c>
      <x:c r="B2838" s="3" t="str">
        <x:v>SEC028</x:v>
      </x:c>
      <x:c r="C2838" s="3" t="n">
        <x:v>14</x:v>
      </x:c>
      <x:c r="D2838" s="3" t="str">
        <x:v>absent</x:v>
      </x:c>
      <x:c r="E2838" s="5" t="str">
        <x:f>VLOOKUP(B2838,Sections!$A$5:$I$45,3,FALSE)</x:f>
        <x:v>2024-1</x:v>
      </x:c>
    </x:row>
    <x:row r="2839" ht="21" customHeight="1">
      <x:c r="A2839" s="3" t="str">
        <x:v>2202015</x:v>
      </x:c>
      <x:c r="B2839" s="3" t="str">
        <x:v>SEC028</x:v>
      </x:c>
      <x:c r="C2839" s="3" t="n">
        <x:v>15</x:v>
      </x:c>
      <x:c r="D2839" s="3" t="str">
        <x:v>present</x:v>
      </x:c>
      <x:c r="E2839" s="5" t="str">
        <x:f>VLOOKUP(B2839,Sections!$A$5:$I$45,3,FALSE)</x:f>
        <x:v>2024-1</x:v>
      </x:c>
    </x:row>
    <x:row r="2840" ht="21" customHeight="1">
      <x:c r="A2840" s="3" t="str">
        <x:v>2202016</x:v>
      </x:c>
      <x:c r="B2840" s="3" t="str">
        <x:v>SEC028</x:v>
      </x:c>
      <x:c r="C2840" s="3" t="n">
        <x:v>1</x:v>
      </x:c>
      <x:c r="D2840" s="3" t="str">
        <x:v>present</x:v>
      </x:c>
      <x:c r="E2840" s="5" t="str">
        <x:f>VLOOKUP(B2840,Sections!$A$5:$I$45,3,FALSE)</x:f>
        <x:v>2024-1</x:v>
      </x:c>
    </x:row>
    <x:row r="2841" ht="21" customHeight="1">
      <x:c r="A2841" s="3" t="str">
        <x:v>2202016</x:v>
      </x:c>
      <x:c r="B2841" s="3" t="str">
        <x:v>SEC028</x:v>
      </x:c>
      <x:c r="C2841" s="3" t="n">
        <x:v>2</x:v>
      </x:c>
      <x:c r="D2841" s="3" t="str">
        <x:v>present</x:v>
      </x:c>
      <x:c r="E2841" s="5" t="str">
        <x:f>VLOOKUP(B2841,Sections!$A$5:$I$45,3,FALSE)</x:f>
        <x:v>2024-1</x:v>
      </x:c>
    </x:row>
    <x:row r="2842" ht="21" customHeight="1">
      <x:c r="A2842" s="3" t="str">
        <x:v>2202016</x:v>
      </x:c>
      <x:c r="B2842" s="3" t="str">
        <x:v>SEC028</x:v>
      </x:c>
      <x:c r="C2842" s="3" t="n">
        <x:v>3</x:v>
      </x:c>
      <x:c r="D2842" s="3" t="str">
        <x:v>absent</x:v>
      </x:c>
      <x:c r="E2842" s="5" t="str">
        <x:f>VLOOKUP(B2842,Sections!$A$5:$I$45,3,FALSE)</x:f>
        <x:v>2024-1</x:v>
      </x:c>
    </x:row>
    <x:row r="2843" ht="21" customHeight="1">
      <x:c r="A2843" s="3" t="str">
        <x:v>2202016</x:v>
      </x:c>
      <x:c r="B2843" s="3" t="str">
        <x:v>SEC028</x:v>
      </x:c>
      <x:c r="C2843" s="3" t="n">
        <x:v>4</x:v>
      </x:c>
      <x:c r="D2843" s="3" t="str">
        <x:v>late</x:v>
      </x:c>
      <x:c r="E2843" s="5" t="str">
        <x:f>VLOOKUP(B2843,Sections!$A$5:$I$45,3,FALSE)</x:f>
        <x:v>2024-1</x:v>
      </x:c>
    </x:row>
    <x:row r="2844" ht="21" customHeight="1">
      <x:c r="A2844" s="3" t="str">
        <x:v>2202016</x:v>
      </x:c>
      <x:c r="B2844" s="3" t="str">
        <x:v>SEC028</x:v>
      </x:c>
      <x:c r="C2844" s="3" t="n">
        <x:v>5</x:v>
      </x:c>
      <x:c r="D2844" s="3" t="str">
        <x:v>present</x:v>
      </x:c>
      <x:c r="E2844" s="5" t="str">
        <x:f>VLOOKUP(B2844,Sections!$A$5:$I$45,3,FALSE)</x:f>
        <x:v>2024-1</x:v>
      </x:c>
    </x:row>
    <x:row r="2845" ht="21" customHeight="1">
      <x:c r="A2845" s="3" t="str">
        <x:v>2202016</x:v>
      </x:c>
      <x:c r="B2845" s="3" t="str">
        <x:v>SEC028</x:v>
      </x:c>
      <x:c r="C2845" s="3" t="n">
        <x:v>6</x:v>
      </x:c>
      <x:c r="D2845" s="3" t="str">
        <x:v>present</x:v>
      </x:c>
      <x:c r="E2845" s="5" t="str">
        <x:f>VLOOKUP(B2845,Sections!$A$5:$I$45,3,FALSE)</x:f>
        <x:v>2024-1</x:v>
      </x:c>
    </x:row>
    <x:row r="2846" ht="21" customHeight="1">
      <x:c r="A2846" s="3" t="str">
        <x:v>2202016</x:v>
      </x:c>
      <x:c r="B2846" s="3" t="str">
        <x:v>SEC028</x:v>
      </x:c>
      <x:c r="C2846" s="3" t="n">
        <x:v>7</x:v>
      </x:c>
      <x:c r="D2846" s="3" t="str">
        <x:v>present</x:v>
      </x:c>
      <x:c r="E2846" s="5" t="str">
        <x:f>VLOOKUP(B2846,Sections!$A$5:$I$45,3,FALSE)</x:f>
        <x:v>2024-1</x:v>
      </x:c>
    </x:row>
    <x:row r="2847" ht="21" customHeight="1">
      <x:c r="A2847" s="3" t="str">
        <x:v>2202016</x:v>
      </x:c>
      <x:c r="B2847" s="3" t="str">
        <x:v>SEC028</x:v>
      </x:c>
      <x:c r="C2847" s="3" t="n">
        <x:v>8</x:v>
      </x:c>
      <x:c r="D2847" s="3" t="str">
        <x:v>absent</x:v>
      </x:c>
      <x:c r="E2847" s="5" t="str">
        <x:f>VLOOKUP(B2847,Sections!$A$5:$I$45,3,FALSE)</x:f>
        <x:v>2024-1</x:v>
      </x:c>
    </x:row>
    <x:row r="2848" ht="21" customHeight="1">
      <x:c r="A2848" s="3" t="str">
        <x:v>2202016</x:v>
      </x:c>
      <x:c r="B2848" s="3" t="str">
        <x:v>SEC028</x:v>
      </x:c>
      <x:c r="C2848" s="3" t="n">
        <x:v>9</x:v>
      </x:c>
      <x:c r="D2848" s="3" t="str">
        <x:v>present</x:v>
      </x:c>
      <x:c r="E2848" s="5" t="str">
        <x:f>VLOOKUP(B2848,Sections!$A$5:$I$45,3,FALSE)</x:f>
        <x:v>2024-1</x:v>
      </x:c>
    </x:row>
    <x:row r="2849" ht="21" customHeight="1">
      <x:c r="A2849" s="3" t="str">
        <x:v>2202016</x:v>
      </x:c>
      <x:c r="B2849" s="3" t="str">
        <x:v>SEC028</x:v>
      </x:c>
      <x:c r="C2849" s="3" t="n">
        <x:v>10</x:v>
      </x:c>
      <x:c r="D2849" s="3" t="str">
        <x:v>present</x:v>
      </x:c>
      <x:c r="E2849" s="5" t="str">
        <x:f>VLOOKUP(B2849,Sections!$A$5:$I$45,3,FALSE)</x:f>
        <x:v>2024-1</x:v>
      </x:c>
    </x:row>
    <x:row r="2850" ht="21" customHeight="1">
      <x:c r="A2850" s="3" t="str">
        <x:v>2202016</x:v>
      </x:c>
      <x:c r="B2850" s="3" t="str">
        <x:v>SEC028</x:v>
      </x:c>
      <x:c r="C2850" s="3" t="n">
        <x:v>11</x:v>
      </x:c>
      <x:c r="D2850" s="3" t="str">
        <x:v>present</x:v>
      </x:c>
      <x:c r="E2850" s="5" t="str">
        <x:f>VLOOKUP(B2850,Sections!$A$5:$I$45,3,FALSE)</x:f>
        <x:v>2024-1</x:v>
      </x:c>
    </x:row>
    <x:row r="2851" ht="21" customHeight="1">
      <x:c r="A2851" s="3" t="str">
        <x:v>2202016</x:v>
      </x:c>
      <x:c r="B2851" s="3" t="str">
        <x:v>SEC028</x:v>
      </x:c>
      <x:c r="C2851" s="3" t="n">
        <x:v>12</x:v>
      </x:c>
      <x:c r="D2851" s="3" t="str">
        <x:v>present</x:v>
      </x:c>
      <x:c r="E2851" s="5" t="str">
        <x:f>VLOOKUP(B2851,Sections!$A$5:$I$45,3,FALSE)</x:f>
        <x:v>2024-1</x:v>
      </x:c>
    </x:row>
    <x:row r="2852" ht="21" customHeight="1">
      <x:c r="A2852" s="3" t="str">
        <x:v>2202016</x:v>
      </x:c>
      <x:c r="B2852" s="3" t="str">
        <x:v>SEC028</x:v>
      </x:c>
      <x:c r="C2852" s="3" t="n">
        <x:v>13</x:v>
      </x:c>
      <x:c r="D2852" s="3" t="str">
        <x:v>present</x:v>
      </x:c>
      <x:c r="E2852" s="5" t="str">
        <x:f>VLOOKUP(B2852,Sections!$A$5:$I$45,3,FALSE)</x:f>
        <x:v>2024-1</x:v>
      </x:c>
    </x:row>
    <x:row r="2853" ht="21" customHeight="1">
      <x:c r="A2853" s="3" t="str">
        <x:v>2202016</x:v>
      </x:c>
      <x:c r="B2853" s="3" t="str">
        <x:v>SEC028</x:v>
      </x:c>
      <x:c r="C2853" s="3" t="n">
        <x:v>14</x:v>
      </x:c>
      <x:c r="D2853" s="3" t="str">
        <x:v>present</x:v>
      </x:c>
      <x:c r="E2853" s="5" t="str">
        <x:f>VLOOKUP(B2853,Sections!$A$5:$I$45,3,FALSE)</x:f>
        <x:v>2024-1</x:v>
      </x:c>
    </x:row>
    <x:row r="2854" ht="21" customHeight="1">
      <x:c r="A2854" s="3" t="str">
        <x:v>2202016</x:v>
      </x:c>
      <x:c r="B2854" s="3" t="str">
        <x:v>SEC028</x:v>
      </x:c>
      <x:c r="C2854" s="3" t="n">
        <x:v>15</x:v>
      </x:c>
      <x:c r="D2854" s="3" t="str">
        <x:v>present</x:v>
      </x:c>
      <x:c r="E2854" s="5" t="str">
        <x:f>VLOOKUP(B2854,Sections!$A$5:$I$45,3,FALSE)</x:f>
        <x:v>2024-1</x:v>
      </x:c>
    </x:row>
    <x:row r="2855" ht="21" customHeight="1">
      <x:c r="A2855" s="3" t="str">
        <x:v>2202017</x:v>
      </x:c>
      <x:c r="B2855" s="3" t="str">
        <x:v>SEC028</x:v>
      </x:c>
      <x:c r="C2855" s="3" t="n">
        <x:v>1</x:v>
      </x:c>
      <x:c r="D2855" s="3" t="str">
        <x:v>present</x:v>
      </x:c>
      <x:c r="E2855" s="5" t="str">
        <x:f>VLOOKUP(B2855,Sections!$A$5:$I$45,3,FALSE)</x:f>
        <x:v>2024-1</x:v>
      </x:c>
    </x:row>
    <x:row r="2856" ht="21" customHeight="1">
      <x:c r="A2856" s="3" t="str">
        <x:v>2202017</x:v>
      </x:c>
      <x:c r="B2856" s="3" t="str">
        <x:v>SEC028</x:v>
      </x:c>
      <x:c r="C2856" s="3" t="n">
        <x:v>2</x:v>
      </x:c>
      <x:c r="D2856" s="3" t="str">
        <x:v>present</x:v>
      </x:c>
      <x:c r="E2856" s="5" t="str">
        <x:f>VLOOKUP(B2856,Sections!$A$5:$I$45,3,FALSE)</x:f>
        <x:v>2024-1</x:v>
      </x:c>
    </x:row>
    <x:row r="2857" ht="21" customHeight="1">
      <x:c r="A2857" s="3" t="str">
        <x:v>2202017</x:v>
      </x:c>
      <x:c r="B2857" s="3" t="str">
        <x:v>SEC028</x:v>
      </x:c>
      <x:c r="C2857" s="3" t="n">
        <x:v>3</x:v>
      </x:c>
      <x:c r="D2857" s="3" t="str">
        <x:v>present</x:v>
      </x:c>
      <x:c r="E2857" s="5" t="str">
        <x:f>VLOOKUP(B2857,Sections!$A$5:$I$45,3,FALSE)</x:f>
        <x:v>2024-1</x:v>
      </x:c>
    </x:row>
    <x:row r="2858" ht="21" customHeight="1">
      <x:c r="A2858" s="3" t="str">
        <x:v>2202017</x:v>
      </x:c>
      <x:c r="B2858" s="3" t="str">
        <x:v>SEC028</x:v>
      </x:c>
      <x:c r="C2858" s="3" t="n">
        <x:v>4</x:v>
      </x:c>
      <x:c r="D2858" s="3" t="str">
        <x:v>absent</x:v>
      </x:c>
      <x:c r="E2858" s="5" t="str">
        <x:f>VLOOKUP(B2858,Sections!$A$5:$I$45,3,FALSE)</x:f>
        <x:v>2024-1</x:v>
      </x:c>
    </x:row>
    <x:row r="2859" ht="21" customHeight="1">
      <x:c r="A2859" s="3" t="str">
        <x:v>2202017</x:v>
      </x:c>
      <x:c r="B2859" s="3" t="str">
        <x:v>SEC028</x:v>
      </x:c>
      <x:c r="C2859" s="3" t="n">
        <x:v>5</x:v>
      </x:c>
      <x:c r="D2859" s="3" t="str">
        <x:v>present</x:v>
      </x:c>
      <x:c r="E2859" s="5" t="str">
        <x:f>VLOOKUP(B2859,Sections!$A$5:$I$45,3,FALSE)</x:f>
        <x:v>2024-1</x:v>
      </x:c>
    </x:row>
    <x:row r="2860" ht="21" customHeight="1">
      <x:c r="A2860" s="3" t="str">
        <x:v>2202017</x:v>
      </x:c>
      <x:c r="B2860" s="3" t="str">
        <x:v>SEC028</x:v>
      </x:c>
      <x:c r="C2860" s="3" t="n">
        <x:v>6</x:v>
      </x:c>
      <x:c r="D2860" s="3" t="str">
        <x:v>present</x:v>
      </x:c>
      <x:c r="E2860" s="5" t="str">
        <x:f>VLOOKUP(B2860,Sections!$A$5:$I$45,3,FALSE)</x:f>
        <x:v>2024-1</x:v>
      </x:c>
    </x:row>
    <x:row r="2861" ht="21" customHeight="1">
      <x:c r="A2861" s="3" t="str">
        <x:v>2202017</x:v>
      </x:c>
      <x:c r="B2861" s="3" t="str">
        <x:v>SEC028</x:v>
      </x:c>
      <x:c r="C2861" s="3" t="n">
        <x:v>7</x:v>
      </x:c>
      <x:c r="D2861" s="3" t="str">
        <x:v>present</x:v>
      </x:c>
      <x:c r="E2861" s="5" t="str">
        <x:f>VLOOKUP(B2861,Sections!$A$5:$I$45,3,FALSE)</x:f>
        <x:v>2024-1</x:v>
      </x:c>
    </x:row>
    <x:row r="2862" ht="21" customHeight="1">
      <x:c r="A2862" s="3" t="str">
        <x:v>2202017</x:v>
      </x:c>
      <x:c r="B2862" s="3" t="str">
        <x:v>SEC028</x:v>
      </x:c>
      <x:c r="C2862" s="3" t="n">
        <x:v>8</x:v>
      </x:c>
      <x:c r="D2862" s="3" t="str">
        <x:v>present</x:v>
      </x:c>
      <x:c r="E2862" s="5" t="str">
        <x:f>VLOOKUP(B2862,Sections!$A$5:$I$45,3,FALSE)</x:f>
        <x:v>2024-1</x:v>
      </x:c>
    </x:row>
    <x:row r="2863" ht="21" customHeight="1">
      <x:c r="A2863" s="3" t="str">
        <x:v>2202017</x:v>
      </x:c>
      <x:c r="B2863" s="3" t="str">
        <x:v>SEC028</x:v>
      </x:c>
      <x:c r="C2863" s="3" t="n">
        <x:v>9</x:v>
      </x:c>
      <x:c r="D2863" s="3" t="str">
        <x:v>present</x:v>
      </x:c>
      <x:c r="E2863" s="5" t="str">
        <x:f>VLOOKUP(B2863,Sections!$A$5:$I$45,3,FALSE)</x:f>
        <x:v>2024-1</x:v>
      </x:c>
    </x:row>
    <x:row r="2864" ht="21" customHeight="1">
      <x:c r="A2864" s="3" t="str">
        <x:v>2202017</x:v>
      </x:c>
      <x:c r="B2864" s="3" t="str">
        <x:v>SEC028</x:v>
      </x:c>
      <x:c r="C2864" s="3" t="n">
        <x:v>10</x:v>
      </x:c>
      <x:c r="D2864" s="3" t="str">
        <x:v>present</x:v>
      </x:c>
      <x:c r="E2864" s="5" t="str">
        <x:f>VLOOKUP(B2864,Sections!$A$5:$I$45,3,FALSE)</x:f>
        <x:v>2024-1</x:v>
      </x:c>
    </x:row>
    <x:row r="2865" ht="21" customHeight="1">
      <x:c r="A2865" s="3" t="str">
        <x:v>2202017</x:v>
      </x:c>
      <x:c r="B2865" s="3" t="str">
        <x:v>SEC028</x:v>
      </x:c>
      <x:c r="C2865" s="3" t="n">
        <x:v>11</x:v>
      </x:c>
      <x:c r="D2865" s="3" t="str">
        <x:v>present</x:v>
      </x:c>
      <x:c r="E2865" s="5" t="str">
        <x:f>VLOOKUP(B2865,Sections!$A$5:$I$45,3,FALSE)</x:f>
        <x:v>2024-1</x:v>
      </x:c>
    </x:row>
    <x:row r="2866" ht="21" customHeight="1">
      <x:c r="A2866" s="3" t="str">
        <x:v>2202017</x:v>
      </x:c>
      <x:c r="B2866" s="3" t="str">
        <x:v>SEC028</x:v>
      </x:c>
      <x:c r="C2866" s="3" t="n">
        <x:v>12</x:v>
      </x:c>
      <x:c r="D2866" s="3" t="str">
        <x:v>present</x:v>
      </x:c>
      <x:c r="E2866" s="5" t="str">
        <x:f>VLOOKUP(B2866,Sections!$A$5:$I$45,3,FALSE)</x:f>
        <x:v>2024-1</x:v>
      </x:c>
    </x:row>
    <x:row r="2867" ht="21" customHeight="1">
      <x:c r="A2867" s="3" t="str">
        <x:v>2202017</x:v>
      </x:c>
      <x:c r="B2867" s="3" t="str">
        <x:v>SEC028</x:v>
      </x:c>
      <x:c r="C2867" s="3" t="n">
        <x:v>13</x:v>
      </x:c>
      <x:c r="D2867" s="3" t="str">
        <x:v>present</x:v>
      </x:c>
      <x:c r="E2867" s="5" t="str">
        <x:f>VLOOKUP(B2867,Sections!$A$5:$I$45,3,FALSE)</x:f>
        <x:v>2024-1</x:v>
      </x:c>
    </x:row>
    <x:row r="2868" ht="21" customHeight="1">
      <x:c r="A2868" s="3" t="str">
        <x:v>2202017</x:v>
      </x:c>
      <x:c r="B2868" s="3" t="str">
        <x:v>SEC028</x:v>
      </x:c>
      <x:c r="C2868" s="3" t="n">
        <x:v>14</x:v>
      </x:c>
      <x:c r="D2868" s="3" t="str">
        <x:v>present</x:v>
      </x:c>
      <x:c r="E2868" s="5" t="str">
        <x:f>VLOOKUP(B2868,Sections!$A$5:$I$45,3,FALSE)</x:f>
        <x:v>2024-1</x:v>
      </x:c>
    </x:row>
    <x:row r="2869" ht="21" customHeight="1">
      <x:c r="A2869" s="3" t="str">
        <x:v>2202017</x:v>
      </x:c>
      <x:c r="B2869" s="3" t="str">
        <x:v>SEC028</x:v>
      </x:c>
      <x:c r="C2869" s="3" t="n">
        <x:v>15</x:v>
      </x:c>
      <x:c r="D2869" s="3" t="str">
        <x:v>excused</x:v>
      </x:c>
      <x:c r="E2869" s="5" t="str">
        <x:f>VLOOKUP(B2869,Sections!$A$5:$I$45,3,FALSE)</x:f>
        <x:v>2024-1</x:v>
      </x:c>
    </x:row>
    <x:row r="2870" ht="21" customHeight="1">
      <x:c r="A2870" s="3" t="str">
        <x:v>2202018</x:v>
      </x:c>
      <x:c r="B2870" s="3" t="str">
        <x:v>SEC028</x:v>
      </x:c>
      <x:c r="C2870" s="3" t="n">
        <x:v>1</x:v>
      </x:c>
      <x:c r="D2870" s="3" t="str">
        <x:v>present</x:v>
      </x:c>
      <x:c r="E2870" s="5" t="str">
        <x:f>VLOOKUP(B2870,Sections!$A$5:$I$45,3,FALSE)</x:f>
        <x:v>2024-1</x:v>
      </x:c>
    </x:row>
    <x:row r="2871" ht="21" customHeight="1">
      <x:c r="A2871" s="3" t="str">
        <x:v>2202018</x:v>
      </x:c>
      <x:c r="B2871" s="3" t="str">
        <x:v>SEC028</x:v>
      </x:c>
      <x:c r="C2871" s="3" t="n">
        <x:v>2</x:v>
      </x:c>
      <x:c r="D2871" s="3" t="str">
        <x:v>present</x:v>
      </x:c>
      <x:c r="E2871" s="5" t="str">
        <x:f>VLOOKUP(B2871,Sections!$A$5:$I$45,3,FALSE)</x:f>
        <x:v>2024-1</x:v>
      </x:c>
    </x:row>
    <x:row r="2872" ht="21" customHeight="1">
      <x:c r="A2872" s="3" t="str">
        <x:v>2202018</x:v>
      </x:c>
      <x:c r="B2872" s="3" t="str">
        <x:v>SEC028</x:v>
      </x:c>
      <x:c r="C2872" s="3" t="n">
        <x:v>3</x:v>
      </x:c>
      <x:c r="D2872" s="3" t="str">
        <x:v>present</x:v>
      </x:c>
      <x:c r="E2872" s="5" t="str">
        <x:f>VLOOKUP(B2872,Sections!$A$5:$I$45,3,FALSE)</x:f>
        <x:v>2024-1</x:v>
      </x:c>
    </x:row>
    <x:row r="2873" ht="21" customHeight="1">
      <x:c r="A2873" s="3" t="str">
        <x:v>2202018</x:v>
      </x:c>
      <x:c r="B2873" s="3" t="str">
        <x:v>SEC028</x:v>
      </x:c>
      <x:c r="C2873" s="3" t="n">
        <x:v>4</x:v>
      </x:c>
      <x:c r="D2873" s="3" t="str">
        <x:v>present</x:v>
      </x:c>
      <x:c r="E2873" s="5" t="str">
        <x:f>VLOOKUP(B2873,Sections!$A$5:$I$45,3,FALSE)</x:f>
        <x:v>2024-1</x:v>
      </x:c>
    </x:row>
    <x:row r="2874" ht="21" customHeight="1">
      <x:c r="A2874" s="3" t="str">
        <x:v>2202018</x:v>
      </x:c>
      <x:c r="B2874" s="3" t="str">
        <x:v>SEC028</x:v>
      </x:c>
      <x:c r="C2874" s="3" t="n">
        <x:v>5</x:v>
      </x:c>
      <x:c r="D2874" s="3" t="str">
        <x:v>present</x:v>
      </x:c>
      <x:c r="E2874" s="5" t="str">
        <x:f>VLOOKUP(B2874,Sections!$A$5:$I$45,3,FALSE)</x:f>
        <x:v>2024-1</x:v>
      </x:c>
    </x:row>
    <x:row r="2875" ht="21" customHeight="1">
      <x:c r="A2875" s="3" t="str">
        <x:v>2202018</x:v>
      </x:c>
      <x:c r="B2875" s="3" t="str">
        <x:v>SEC028</x:v>
      </x:c>
      <x:c r="C2875" s="3" t="n">
        <x:v>6</x:v>
      </x:c>
      <x:c r="D2875" s="3" t="str">
        <x:v>present</x:v>
      </x:c>
      <x:c r="E2875" s="5" t="str">
        <x:f>VLOOKUP(B2875,Sections!$A$5:$I$45,3,FALSE)</x:f>
        <x:v>2024-1</x:v>
      </x:c>
    </x:row>
    <x:row r="2876" ht="21" customHeight="1">
      <x:c r="A2876" s="3" t="str">
        <x:v>2202018</x:v>
      </x:c>
      <x:c r="B2876" s="3" t="str">
        <x:v>SEC028</x:v>
      </x:c>
      <x:c r="C2876" s="3" t="n">
        <x:v>7</x:v>
      </x:c>
      <x:c r="D2876" s="3" t="str">
        <x:v>present</x:v>
      </x:c>
      <x:c r="E2876" s="5" t="str">
        <x:f>VLOOKUP(B2876,Sections!$A$5:$I$45,3,FALSE)</x:f>
        <x:v>2024-1</x:v>
      </x:c>
    </x:row>
    <x:row r="2877" ht="21" customHeight="1">
      <x:c r="A2877" s="3" t="str">
        <x:v>2202018</x:v>
      </x:c>
      <x:c r="B2877" s="3" t="str">
        <x:v>SEC028</x:v>
      </x:c>
      <x:c r="C2877" s="3" t="n">
        <x:v>8</x:v>
      </x:c>
      <x:c r="D2877" s="3" t="str">
        <x:v>absent</x:v>
      </x:c>
      <x:c r="E2877" s="5" t="str">
        <x:f>VLOOKUP(B2877,Sections!$A$5:$I$45,3,FALSE)</x:f>
        <x:v>2024-1</x:v>
      </x:c>
    </x:row>
    <x:row r="2878" ht="21" customHeight="1">
      <x:c r="A2878" s="3" t="str">
        <x:v>2202018</x:v>
      </x:c>
      <x:c r="B2878" s="3" t="str">
        <x:v>SEC028</x:v>
      </x:c>
      <x:c r="C2878" s="3" t="n">
        <x:v>9</x:v>
      </x:c>
      <x:c r="D2878" s="3" t="str">
        <x:v>present</x:v>
      </x:c>
      <x:c r="E2878" s="5" t="str">
        <x:f>VLOOKUP(B2878,Sections!$A$5:$I$45,3,FALSE)</x:f>
        <x:v>2024-1</x:v>
      </x:c>
    </x:row>
    <x:row r="2879" ht="21" customHeight="1">
      <x:c r="A2879" s="3" t="str">
        <x:v>2202018</x:v>
      </x:c>
      <x:c r="B2879" s="3" t="str">
        <x:v>SEC028</x:v>
      </x:c>
      <x:c r="C2879" s="3" t="n">
        <x:v>10</x:v>
      </x:c>
      <x:c r="D2879" s="3" t="str">
        <x:v>present</x:v>
      </x:c>
      <x:c r="E2879" s="5" t="str">
        <x:f>VLOOKUP(B2879,Sections!$A$5:$I$45,3,FALSE)</x:f>
        <x:v>2024-1</x:v>
      </x:c>
    </x:row>
    <x:row r="2880" ht="21" customHeight="1">
      <x:c r="A2880" s="3" t="str">
        <x:v>2202018</x:v>
      </x:c>
      <x:c r="B2880" s="3" t="str">
        <x:v>SEC028</x:v>
      </x:c>
      <x:c r="C2880" s="3" t="n">
        <x:v>11</x:v>
      </x:c>
      <x:c r="D2880" s="3" t="str">
        <x:v>present</x:v>
      </x:c>
      <x:c r="E2880" s="5" t="str">
        <x:f>VLOOKUP(B2880,Sections!$A$5:$I$45,3,FALSE)</x:f>
        <x:v>2024-1</x:v>
      </x:c>
    </x:row>
    <x:row r="2881" ht="21" customHeight="1">
      <x:c r="A2881" s="3" t="str">
        <x:v>2202018</x:v>
      </x:c>
      <x:c r="B2881" s="3" t="str">
        <x:v>SEC028</x:v>
      </x:c>
      <x:c r="C2881" s="3" t="n">
        <x:v>12</x:v>
      </x:c>
      <x:c r="D2881" s="3" t="str">
        <x:v>present</x:v>
      </x:c>
      <x:c r="E2881" s="5" t="str">
        <x:f>VLOOKUP(B2881,Sections!$A$5:$I$45,3,FALSE)</x:f>
        <x:v>2024-1</x:v>
      </x:c>
    </x:row>
    <x:row r="2882" ht="21" customHeight="1">
      <x:c r="A2882" s="3" t="str">
        <x:v>2202018</x:v>
      </x:c>
      <x:c r="B2882" s="3" t="str">
        <x:v>SEC028</x:v>
      </x:c>
      <x:c r="C2882" s="3" t="n">
        <x:v>13</x:v>
      </x:c>
      <x:c r="D2882" s="3" t="str">
        <x:v>present</x:v>
      </x:c>
      <x:c r="E2882" s="5" t="str">
        <x:f>VLOOKUP(B2882,Sections!$A$5:$I$45,3,FALSE)</x:f>
        <x:v>2024-1</x:v>
      </x:c>
    </x:row>
    <x:row r="2883" ht="21" customHeight="1">
      <x:c r="A2883" s="3" t="str">
        <x:v>2202018</x:v>
      </x:c>
      <x:c r="B2883" s="3" t="str">
        <x:v>SEC028</x:v>
      </x:c>
      <x:c r="C2883" s="3" t="n">
        <x:v>14</x:v>
      </x:c>
      <x:c r="D2883" s="3" t="str">
        <x:v>present</x:v>
      </x:c>
      <x:c r="E2883" s="5" t="str">
        <x:f>VLOOKUP(B2883,Sections!$A$5:$I$45,3,FALSE)</x:f>
        <x:v>2024-1</x:v>
      </x:c>
    </x:row>
    <x:row r="2884" ht="21" customHeight="1">
      <x:c r="A2884" s="3" t="str">
        <x:v>2202018</x:v>
      </x:c>
      <x:c r="B2884" s="3" t="str">
        <x:v>SEC028</x:v>
      </x:c>
      <x:c r="C2884" s="3" t="n">
        <x:v>15</x:v>
      </x:c>
      <x:c r="D2884" s="3" t="str">
        <x:v>present</x:v>
      </x:c>
      <x:c r="E2884" s="5" t="str">
        <x:f>VLOOKUP(B2884,Sections!$A$5:$I$45,3,FALSE)</x:f>
        <x:v>2024-1</x:v>
      </x:c>
    </x:row>
    <x:row r="2885" ht="21" customHeight="1">
      <x:c r="A2885" s="3" t="str">
        <x:v>2202019</x:v>
      </x:c>
      <x:c r="B2885" s="3" t="str">
        <x:v>SEC028</x:v>
      </x:c>
      <x:c r="C2885" s="3" t="n">
        <x:v>1</x:v>
      </x:c>
      <x:c r="D2885" s="3" t="str">
        <x:v>present</x:v>
      </x:c>
      <x:c r="E2885" s="5" t="str">
        <x:f>VLOOKUP(B2885,Sections!$A$5:$I$45,3,FALSE)</x:f>
        <x:v>2024-1</x:v>
      </x:c>
    </x:row>
    <x:row r="2886" ht="21" customHeight="1">
      <x:c r="A2886" s="3" t="str">
        <x:v>2202019</x:v>
      </x:c>
      <x:c r="B2886" s="3" t="str">
        <x:v>SEC028</x:v>
      </x:c>
      <x:c r="C2886" s="3" t="n">
        <x:v>2</x:v>
      </x:c>
      <x:c r="D2886" s="3" t="str">
        <x:v>present</x:v>
      </x:c>
      <x:c r="E2886" s="5" t="str">
        <x:f>VLOOKUP(B2886,Sections!$A$5:$I$45,3,FALSE)</x:f>
        <x:v>2024-1</x:v>
      </x:c>
    </x:row>
    <x:row r="2887" ht="21" customHeight="1">
      <x:c r="A2887" s="3" t="str">
        <x:v>2202019</x:v>
      </x:c>
      <x:c r="B2887" s="3" t="str">
        <x:v>SEC028</x:v>
      </x:c>
      <x:c r="C2887" s="3" t="n">
        <x:v>3</x:v>
      </x:c>
      <x:c r="D2887" s="3" t="str">
        <x:v>present</x:v>
      </x:c>
      <x:c r="E2887" s="5" t="str">
        <x:f>VLOOKUP(B2887,Sections!$A$5:$I$45,3,FALSE)</x:f>
        <x:v>2024-1</x:v>
      </x:c>
    </x:row>
    <x:row r="2888" ht="21" customHeight="1">
      <x:c r="A2888" s="3" t="str">
        <x:v>2202019</x:v>
      </x:c>
      <x:c r="B2888" s="3" t="str">
        <x:v>SEC028</x:v>
      </x:c>
      <x:c r="C2888" s="3" t="n">
        <x:v>4</x:v>
      </x:c>
      <x:c r="D2888" s="3" t="str">
        <x:v>present</x:v>
      </x:c>
      <x:c r="E2888" s="5" t="str">
        <x:f>VLOOKUP(B2888,Sections!$A$5:$I$45,3,FALSE)</x:f>
        <x:v>2024-1</x:v>
      </x:c>
    </x:row>
    <x:row r="2889" ht="21" customHeight="1">
      <x:c r="A2889" s="3" t="str">
        <x:v>2202019</x:v>
      </x:c>
      <x:c r="B2889" s="3" t="str">
        <x:v>SEC028</x:v>
      </x:c>
      <x:c r="C2889" s="3" t="n">
        <x:v>5</x:v>
      </x:c>
      <x:c r="D2889" s="3" t="str">
        <x:v>present</x:v>
      </x:c>
      <x:c r="E2889" s="5" t="str">
        <x:f>VLOOKUP(B2889,Sections!$A$5:$I$45,3,FALSE)</x:f>
        <x:v>2024-1</x:v>
      </x:c>
    </x:row>
    <x:row r="2890" ht="21" customHeight="1">
      <x:c r="A2890" s="3" t="str">
        <x:v>2202019</x:v>
      </x:c>
      <x:c r="B2890" s="3" t="str">
        <x:v>SEC028</x:v>
      </x:c>
      <x:c r="C2890" s="3" t="n">
        <x:v>6</x:v>
      </x:c>
      <x:c r="D2890" s="3" t="str">
        <x:v>present</x:v>
      </x:c>
      <x:c r="E2890" s="5" t="str">
        <x:f>VLOOKUP(B2890,Sections!$A$5:$I$45,3,FALSE)</x:f>
        <x:v>2024-1</x:v>
      </x:c>
    </x:row>
    <x:row r="2891" ht="21" customHeight="1">
      <x:c r="A2891" s="3" t="str">
        <x:v>2202019</x:v>
      </x:c>
      <x:c r="B2891" s="3" t="str">
        <x:v>SEC028</x:v>
      </x:c>
      <x:c r="C2891" s="3" t="n">
        <x:v>7</x:v>
      </x:c>
      <x:c r="D2891" s="3" t="str">
        <x:v>present</x:v>
      </x:c>
      <x:c r="E2891" s="5" t="str">
        <x:f>VLOOKUP(B2891,Sections!$A$5:$I$45,3,FALSE)</x:f>
        <x:v>2024-1</x:v>
      </x:c>
    </x:row>
    <x:row r="2892" ht="21" customHeight="1">
      <x:c r="A2892" s="3" t="str">
        <x:v>2202019</x:v>
      </x:c>
      <x:c r="B2892" s="3" t="str">
        <x:v>SEC028</x:v>
      </x:c>
      <x:c r="C2892" s="3" t="n">
        <x:v>8</x:v>
      </x:c>
      <x:c r="D2892" s="3" t="str">
        <x:v>present</x:v>
      </x:c>
      <x:c r="E2892" s="5" t="str">
        <x:f>VLOOKUP(B2892,Sections!$A$5:$I$45,3,FALSE)</x:f>
        <x:v>2024-1</x:v>
      </x:c>
    </x:row>
    <x:row r="2893" ht="21" customHeight="1">
      <x:c r="A2893" s="3" t="str">
        <x:v>2202019</x:v>
      </x:c>
      <x:c r="B2893" s="3" t="str">
        <x:v>SEC028</x:v>
      </x:c>
      <x:c r="C2893" s="3" t="n">
        <x:v>9</x:v>
      </x:c>
      <x:c r="D2893" s="3" t="str">
        <x:v>present</x:v>
      </x:c>
      <x:c r="E2893" s="5" t="str">
        <x:f>VLOOKUP(B2893,Sections!$A$5:$I$45,3,FALSE)</x:f>
        <x:v>2024-1</x:v>
      </x:c>
    </x:row>
    <x:row r="2894" ht="21" customHeight="1">
      <x:c r="A2894" s="3" t="str">
        <x:v>2202019</x:v>
      </x:c>
      <x:c r="B2894" s="3" t="str">
        <x:v>SEC028</x:v>
      </x:c>
      <x:c r="C2894" s="3" t="n">
        <x:v>10</x:v>
      </x:c>
      <x:c r="D2894" s="3" t="str">
        <x:v>present</x:v>
      </x:c>
      <x:c r="E2894" s="5" t="str">
        <x:f>VLOOKUP(B2894,Sections!$A$5:$I$45,3,FALSE)</x:f>
        <x:v>2024-1</x:v>
      </x:c>
    </x:row>
    <x:row r="2895" ht="21" customHeight="1">
      <x:c r="A2895" s="3" t="str">
        <x:v>2202019</x:v>
      </x:c>
      <x:c r="B2895" s="3" t="str">
        <x:v>SEC028</x:v>
      </x:c>
      <x:c r="C2895" s="3" t="n">
        <x:v>11</x:v>
      </x:c>
      <x:c r="D2895" s="3" t="str">
        <x:v>present</x:v>
      </x:c>
      <x:c r="E2895" s="5" t="str">
        <x:f>VLOOKUP(B2895,Sections!$A$5:$I$45,3,FALSE)</x:f>
        <x:v>2024-1</x:v>
      </x:c>
    </x:row>
    <x:row r="2896" ht="21" customHeight="1">
      <x:c r="A2896" s="3" t="str">
        <x:v>2202019</x:v>
      </x:c>
      <x:c r="B2896" s="3" t="str">
        <x:v>SEC028</x:v>
      </x:c>
      <x:c r="C2896" s="3" t="n">
        <x:v>12</x:v>
      </x:c>
      <x:c r="D2896" s="3" t="str">
        <x:v>present</x:v>
      </x:c>
      <x:c r="E2896" s="5" t="str">
        <x:f>VLOOKUP(B2896,Sections!$A$5:$I$45,3,FALSE)</x:f>
        <x:v>2024-1</x:v>
      </x:c>
    </x:row>
    <x:row r="2897" ht="21" customHeight="1">
      <x:c r="A2897" s="3" t="str">
        <x:v>2202019</x:v>
      </x:c>
      <x:c r="B2897" s="3" t="str">
        <x:v>SEC028</x:v>
      </x:c>
      <x:c r="C2897" s="3" t="n">
        <x:v>13</x:v>
      </x:c>
      <x:c r="D2897" s="3" t="str">
        <x:v>present</x:v>
      </x:c>
      <x:c r="E2897" s="5" t="str">
        <x:f>VLOOKUP(B2897,Sections!$A$5:$I$45,3,FALSE)</x:f>
        <x:v>2024-1</x:v>
      </x:c>
    </x:row>
    <x:row r="2898" ht="21" customHeight="1">
      <x:c r="A2898" s="3" t="str">
        <x:v>2202019</x:v>
      </x:c>
      <x:c r="B2898" s="3" t="str">
        <x:v>SEC028</x:v>
      </x:c>
      <x:c r="C2898" s="3" t="n">
        <x:v>14</x:v>
      </x:c>
      <x:c r="D2898" s="3" t="str">
        <x:v>present</x:v>
      </x:c>
      <x:c r="E2898" s="5" t="str">
        <x:f>VLOOKUP(B2898,Sections!$A$5:$I$45,3,FALSE)</x:f>
        <x:v>2024-1</x:v>
      </x:c>
    </x:row>
    <x:row r="2899" ht="21" customHeight="1">
      <x:c r="A2899" s="3" t="str">
        <x:v>2202019</x:v>
      </x:c>
      <x:c r="B2899" s="3" t="str">
        <x:v>SEC028</x:v>
      </x:c>
      <x:c r="C2899" s="3" t="n">
        <x:v>15</x:v>
      </x:c>
      <x:c r="D2899" s="3" t="str">
        <x:v>excused</x:v>
      </x:c>
      <x:c r="E2899" s="5" t="str">
        <x:f>VLOOKUP(B2899,Sections!$A$5:$I$45,3,FALSE)</x:f>
        <x:v>2024-1</x:v>
      </x:c>
    </x:row>
    <x:row r="2900" ht="21" customHeight="1">
      <x:c r="A2900" s="3" t="str">
        <x:v>2202020</x:v>
      </x:c>
      <x:c r="B2900" s="3" t="str">
        <x:v>SEC028</x:v>
      </x:c>
      <x:c r="C2900" s="3" t="n">
        <x:v>1</x:v>
      </x:c>
      <x:c r="D2900" s="3" t="str">
        <x:v>present</x:v>
      </x:c>
      <x:c r="E2900" s="5" t="str">
        <x:f>VLOOKUP(B2900,Sections!$A$5:$I$45,3,FALSE)</x:f>
        <x:v>2024-1</x:v>
      </x:c>
    </x:row>
    <x:row r="2901" ht="21" customHeight="1">
      <x:c r="A2901" s="3" t="str">
        <x:v>2202020</x:v>
      </x:c>
      <x:c r="B2901" s="3" t="str">
        <x:v>SEC028</x:v>
      </x:c>
      <x:c r="C2901" s="3" t="n">
        <x:v>2</x:v>
      </x:c>
      <x:c r="D2901" s="3" t="str">
        <x:v>late</x:v>
      </x:c>
      <x:c r="E2901" s="5" t="str">
        <x:f>VLOOKUP(B2901,Sections!$A$5:$I$45,3,FALSE)</x:f>
        <x:v>2024-1</x:v>
      </x:c>
    </x:row>
    <x:row r="2902" ht="21" customHeight="1">
      <x:c r="A2902" s="3" t="str">
        <x:v>2202020</x:v>
      </x:c>
      <x:c r="B2902" s="3" t="str">
        <x:v>SEC028</x:v>
      </x:c>
      <x:c r="C2902" s="3" t="n">
        <x:v>3</x:v>
      </x:c>
      <x:c r="D2902" s="3" t="str">
        <x:v>present</x:v>
      </x:c>
      <x:c r="E2902" s="5" t="str">
        <x:f>VLOOKUP(B2902,Sections!$A$5:$I$45,3,FALSE)</x:f>
        <x:v>2024-1</x:v>
      </x:c>
    </x:row>
    <x:row r="2903" ht="21" customHeight="1">
      <x:c r="A2903" s="3" t="str">
        <x:v>2202020</x:v>
      </x:c>
      <x:c r="B2903" s="3" t="str">
        <x:v>SEC028</x:v>
      </x:c>
      <x:c r="C2903" s="3" t="n">
        <x:v>4</x:v>
      </x:c>
      <x:c r="D2903" s="3" t="str">
        <x:v>absent</x:v>
      </x:c>
      <x:c r="E2903" s="5" t="str">
        <x:f>VLOOKUP(B2903,Sections!$A$5:$I$45,3,FALSE)</x:f>
        <x:v>2024-1</x:v>
      </x:c>
    </x:row>
    <x:row r="2904" ht="21" customHeight="1">
      <x:c r="A2904" s="3" t="str">
        <x:v>2202020</x:v>
      </x:c>
      <x:c r="B2904" s="3" t="str">
        <x:v>SEC028</x:v>
      </x:c>
      <x:c r="C2904" s="3" t="n">
        <x:v>5</x:v>
      </x:c>
      <x:c r="D2904" s="3" t="str">
        <x:v>absent</x:v>
      </x:c>
      <x:c r="E2904" s="5" t="str">
        <x:f>VLOOKUP(B2904,Sections!$A$5:$I$45,3,FALSE)</x:f>
        <x:v>2024-1</x:v>
      </x:c>
    </x:row>
    <x:row r="2905" ht="21" customHeight="1">
      <x:c r="A2905" s="3" t="str">
        <x:v>2202020</x:v>
      </x:c>
      <x:c r="B2905" s="3" t="str">
        <x:v>SEC028</x:v>
      </x:c>
      <x:c r="C2905" s="3" t="n">
        <x:v>6</x:v>
      </x:c>
      <x:c r="D2905" s="3" t="str">
        <x:v>present</x:v>
      </x:c>
      <x:c r="E2905" s="5" t="str">
        <x:f>VLOOKUP(B2905,Sections!$A$5:$I$45,3,FALSE)</x:f>
        <x:v>2024-1</x:v>
      </x:c>
    </x:row>
    <x:row r="2906" ht="21" customHeight="1">
      <x:c r="A2906" s="3" t="str">
        <x:v>2202020</x:v>
      </x:c>
      <x:c r="B2906" s="3" t="str">
        <x:v>SEC028</x:v>
      </x:c>
      <x:c r="C2906" s="3" t="n">
        <x:v>7</x:v>
      </x:c>
      <x:c r="D2906" s="3" t="str">
        <x:v>present</x:v>
      </x:c>
      <x:c r="E2906" s="5" t="str">
        <x:f>VLOOKUP(B2906,Sections!$A$5:$I$45,3,FALSE)</x:f>
        <x:v>2024-1</x:v>
      </x:c>
    </x:row>
    <x:row r="2907" ht="21" customHeight="1">
      <x:c r="A2907" s="3" t="str">
        <x:v>2202020</x:v>
      </x:c>
      <x:c r="B2907" s="3" t="str">
        <x:v>SEC028</x:v>
      </x:c>
      <x:c r="C2907" s="3" t="n">
        <x:v>8</x:v>
      </x:c>
      <x:c r="D2907" s="3" t="str">
        <x:v>present</x:v>
      </x:c>
      <x:c r="E2907" s="5" t="str">
        <x:f>VLOOKUP(B2907,Sections!$A$5:$I$45,3,FALSE)</x:f>
        <x:v>2024-1</x:v>
      </x:c>
    </x:row>
    <x:row r="2908" ht="21" customHeight="1">
      <x:c r="A2908" s="3" t="str">
        <x:v>2202020</x:v>
      </x:c>
      <x:c r="B2908" s="3" t="str">
        <x:v>SEC028</x:v>
      </x:c>
      <x:c r="C2908" s="3" t="n">
        <x:v>9</x:v>
      </x:c>
      <x:c r="D2908" s="3" t="str">
        <x:v>late</x:v>
      </x:c>
      <x:c r="E2908" s="5" t="str">
        <x:f>VLOOKUP(B2908,Sections!$A$5:$I$45,3,FALSE)</x:f>
        <x:v>2024-1</x:v>
      </x:c>
    </x:row>
    <x:row r="2909" ht="21" customHeight="1">
      <x:c r="A2909" s="3" t="str">
        <x:v>2202020</x:v>
      </x:c>
      <x:c r="B2909" s="3" t="str">
        <x:v>SEC028</x:v>
      </x:c>
      <x:c r="C2909" s="3" t="n">
        <x:v>10</x:v>
      </x:c>
      <x:c r="D2909" s="3" t="str">
        <x:v>present</x:v>
      </x:c>
      <x:c r="E2909" s="5" t="str">
        <x:f>VLOOKUP(B2909,Sections!$A$5:$I$45,3,FALSE)</x:f>
        <x:v>2024-1</x:v>
      </x:c>
    </x:row>
    <x:row r="2910" ht="21" customHeight="1">
      <x:c r="A2910" s="3" t="str">
        <x:v>2202020</x:v>
      </x:c>
      <x:c r="B2910" s="3" t="str">
        <x:v>SEC028</x:v>
      </x:c>
      <x:c r="C2910" s="3" t="n">
        <x:v>11</x:v>
      </x:c>
      <x:c r="D2910" s="3" t="str">
        <x:v>present</x:v>
      </x:c>
      <x:c r="E2910" s="5" t="str">
        <x:f>VLOOKUP(B2910,Sections!$A$5:$I$45,3,FALSE)</x:f>
        <x:v>2024-1</x:v>
      </x:c>
    </x:row>
    <x:row r="2911" ht="21" customHeight="1">
      <x:c r="A2911" s="3" t="str">
        <x:v>2202020</x:v>
      </x:c>
      <x:c r="B2911" s="3" t="str">
        <x:v>SEC028</x:v>
      </x:c>
      <x:c r="C2911" s="3" t="n">
        <x:v>12</x:v>
      </x:c>
      <x:c r="D2911" s="3" t="str">
        <x:v>present</x:v>
      </x:c>
      <x:c r="E2911" s="5" t="str">
        <x:f>VLOOKUP(B2911,Sections!$A$5:$I$45,3,FALSE)</x:f>
        <x:v>2024-1</x:v>
      </x:c>
    </x:row>
    <x:row r="2912" ht="21" customHeight="1">
      <x:c r="A2912" s="3" t="str">
        <x:v>2202020</x:v>
      </x:c>
      <x:c r="B2912" s="3" t="str">
        <x:v>SEC028</x:v>
      </x:c>
      <x:c r="C2912" s="3" t="n">
        <x:v>13</x:v>
      </x:c>
      <x:c r="D2912" s="3" t="str">
        <x:v>absent</x:v>
      </x:c>
      <x:c r="E2912" s="5" t="str">
        <x:f>VLOOKUP(B2912,Sections!$A$5:$I$45,3,FALSE)</x:f>
        <x:v>2024-1</x:v>
      </x:c>
    </x:row>
    <x:row r="2913" ht="21" customHeight="1">
      <x:c r="A2913" s="3" t="str">
        <x:v>2202020</x:v>
      </x:c>
      <x:c r="B2913" s="3" t="str">
        <x:v>SEC028</x:v>
      </x:c>
      <x:c r="C2913" s="3" t="n">
        <x:v>14</x:v>
      </x:c>
      <x:c r="D2913" s="3" t="str">
        <x:v>present</x:v>
      </x:c>
      <x:c r="E2913" s="5" t="str">
        <x:f>VLOOKUP(B2913,Sections!$A$5:$I$45,3,FALSE)</x:f>
        <x:v>2024-1</x:v>
      </x:c>
    </x:row>
    <x:row r="2914" ht="21" customHeight="1">
      <x:c r="A2914" s="3" t="str">
        <x:v>2202020</x:v>
      </x:c>
      <x:c r="B2914" s="3" t="str">
        <x:v>SEC028</x:v>
      </x:c>
      <x:c r="C2914" s="3" t="n">
        <x:v>15</x:v>
      </x:c>
      <x:c r="D2914" s="3" t="str">
        <x:v>present</x:v>
      </x:c>
      <x:c r="E2914" s="5" t="str">
        <x:f>VLOOKUP(B2914,Sections!$A$5:$I$45,3,FALSE)</x:f>
        <x:v>2024-1</x:v>
      </x:c>
    </x:row>
    <x:row r="2915" ht="21" customHeight="1">
      <x:c r="A2915" s="3" t="str">
        <x:v>2201001</x:v>
      </x:c>
      <x:c r="B2915" s="3" t="str">
        <x:v>SEC029</x:v>
      </x:c>
      <x:c r="C2915" s="3" t="n">
        <x:v>1</x:v>
      </x:c>
      <x:c r="D2915" s="3" t="str">
        <x:v>present</x:v>
      </x:c>
      <x:c r="E2915" s="5" t="str">
        <x:f>VLOOKUP(B2915,Sections!$A$5:$I$45,3,FALSE)</x:f>
        <x:v>2024-1</x:v>
      </x:c>
    </x:row>
    <x:row r="2916" ht="21" customHeight="1">
      <x:c r="A2916" s="3" t="str">
        <x:v>2201001</x:v>
      </x:c>
      <x:c r="B2916" s="3" t="str">
        <x:v>SEC029</x:v>
      </x:c>
      <x:c r="C2916" s="3" t="n">
        <x:v>2</x:v>
      </x:c>
      <x:c r="D2916" s="3" t="str">
        <x:v>present</x:v>
      </x:c>
      <x:c r="E2916" s="5" t="str">
        <x:f>VLOOKUP(B2916,Sections!$A$5:$I$45,3,FALSE)</x:f>
        <x:v>2024-1</x:v>
      </x:c>
    </x:row>
    <x:row r="2917" ht="21" customHeight="1">
      <x:c r="A2917" s="3" t="str">
        <x:v>2201001</x:v>
      </x:c>
      <x:c r="B2917" s="3" t="str">
        <x:v>SEC029</x:v>
      </x:c>
      <x:c r="C2917" s="3" t="n">
        <x:v>3</x:v>
      </x:c>
      <x:c r="D2917" s="3" t="str">
        <x:v>present</x:v>
      </x:c>
      <x:c r="E2917" s="5" t="str">
        <x:f>VLOOKUP(B2917,Sections!$A$5:$I$45,3,FALSE)</x:f>
        <x:v>2024-1</x:v>
      </x:c>
    </x:row>
    <x:row r="2918" ht="21" customHeight="1">
      <x:c r="A2918" s="3" t="str">
        <x:v>2201001</x:v>
      </x:c>
      <x:c r="B2918" s="3" t="str">
        <x:v>SEC029</x:v>
      </x:c>
      <x:c r="C2918" s="3" t="n">
        <x:v>4</x:v>
      </x:c>
      <x:c r="D2918" s="3" t="str">
        <x:v>present</x:v>
      </x:c>
      <x:c r="E2918" s="5" t="str">
        <x:f>VLOOKUP(B2918,Sections!$A$5:$I$45,3,FALSE)</x:f>
        <x:v>2024-1</x:v>
      </x:c>
    </x:row>
    <x:row r="2919" ht="21" customHeight="1">
      <x:c r="A2919" s="3" t="str">
        <x:v>2201001</x:v>
      </x:c>
      <x:c r="B2919" s="3" t="str">
        <x:v>SEC029</x:v>
      </x:c>
      <x:c r="C2919" s="3" t="n">
        <x:v>5</x:v>
      </x:c>
      <x:c r="D2919" s="3" t="str">
        <x:v>excused</x:v>
      </x:c>
      <x:c r="E2919" s="5" t="str">
        <x:f>VLOOKUP(B2919,Sections!$A$5:$I$45,3,FALSE)</x:f>
        <x:v>2024-1</x:v>
      </x:c>
    </x:row>
    <x:row r="2920" ht="21" customHeight="1">
      <x:c r="A2920" s="3" t="str">
        <x:v>2201001</x:v>
      </x:c>
      <x:c r="B2920" s="3" t="str">
        <x:v>SEC029</x:v>
      </x:c>
      <x:c r="C2920" s="3" t="n">
        <x:v>6</x:v>
      </x:c>
      <x:c r="D2920" s="3" t="str">
        <x:v>present</x:v>
      </x:c>
      <x:c r="E2920" s="5" t="str">
        <x:f>VLOOKUP(B2920,Sections!$A$5:$I$45,3,FALSE)</x:f>
        <x:v>2024-1</x:v>
      </x:c>
    </x:row>
    <x:row r="2921" ht="21" customHeight="1">
      <x:c r="A2921" s="3" t="str">
        <x:v>2201001</x:v>
      </x:c>
      <x:c r="B2921" s="3" t="str">
        <x:v>SEC029</x:v>
      </x:c>
      <x:c r="C2921" s="3" t="n">
        <x:v>7</x:v>
      </x:c>
      <x:c r="D2921" s="3" t="str">
        <x:v>present</x:v>
      </x:c>
      <x:c r="E2921" s="5" t="str">
        <x:f>VLOOKUP(B2921,Sections!$A$5:$I$45,3,FALSE)</x:f>
        <x:v>2024-1</x:v>
      </x:c>
    </x:row>
    <x:row r="2922" ht="21" customHeight="1">
      <x:c r="A2922" s="3" t="str">
        <x:v>2201001</x:v>
      </x:c>
      <x:c r="B2922" s="3" t="str">
        <x:v>SEC029</x:v>
      </x:c>
      <x:c r="C2922" s="3" t="n">
        <x:v>8</x:v>
      </x:c>
      <x:c r="D2922" s="3" t="str">
        <x:v>present</x:v>
      </x:c>
      <x:c r="E2922" s="5" t="str">
        <x:f>VLOOKUP(B2922,Sections!$A$5:$I$45,3,FALSE)</x:f>
        <x:v>2024-1</x:v>
      </x:c>
    </x:row>
    <x:row r="2923" ht="21" customHeight="1">
      <x:c r="A2923" s="3" t="str">
        <x:v>2201001</x:v>
      </x:c>
      <x:c r="B2923" s="3" t="str">
        <x:v>SEC029</x:v>
      </x:c>
      <x:c r="C2923" s="3" t="n">
        <x:v>9</x:v>
      </x:c>
      <x:c r="D2923" s="3" t="str">
        <x:v>present</x:v>
      </x:c>
      <x:c r="E2923" s="5" t="str">
        <x:f>VLOOKUP(B2923,Sections!$A$5:$I$45,3,FALSE)</x:f>
        <x:v>2024-1</x:v>
      </x:c>
    </x:row>
    <x:row r="2924" ht="21" customHeight="1">
      <x:c r="A2924" s="3" t="str">
        <x:v>2201001</x:v>
      </x:c>
      <x:c r="B2924" s="3" t="str">
        <x:v>SEC029</x:v>
      </x:c>
      <x:c r="C2924" s="3" t="n">
        <x:v>10</x:v>
      </x:c>
      <x:c r="D2924" s="3" t="str">
        <x:v>present</x:v>
      </x:c>
      <x:c r="E2924" s="5" t="str">
        <x:f>VLOOKUP(B2924,Sections!$A$5:$I$45,3,FALSE)</x:f>
        <x:v>2024-1</x:v>
      </x:c>
    </x:row>
    <x:row r="2925" ht="21" customHeight="1">
      <x:c r="A2925" s="3" t="str">
        <x:v>2201001</x:v>
      </x:c>
      <x:c r="B2925" s="3" t="str">
        <x:v>SEC029</x:v>
      </x:c>
      <x:c r="C2925" s="3" t="n">
        <x:v>11</x:v>
      </x:c>
      <x:c r="D2925" s="3" t="str">
        <x:v>absent</x:v>
      </x:c>
      <x:c r="E2925" s="5" t="str">
        <x:f>VLOOKUP(B2925,Sections!$A$5:$I$45,3,FALSE)</x:f>
        <x:v>2024-1</x:v>
      </x:c>
    </x:row>
    <x:row r="2926" ht="21" customHeight="1">
      <x:c r="A2926" s="3" t="str">
        <x:v>2201001</x:v>
      </x:c>
      <x:c r="B2926" s="3" t="str">
        <x:v>SEC029</x:v>
      </x:c>
      <x:c r="C2926" s="3" t="n">
        <x:v>12</x:v>
      </x:c>
      <x:c r="D2926" s="3" t="str">
        <x:v>present</x:v>
      </x:c>
      <x:c r="E2926" s="5" t="str">
        <x:f>VLOOKUP(B2926,Sections!$A$5:$I$45,3,FALSE)</x:f>
        <x:v>2024-1</x:v>
      </x:c>
    </x:row>
    <x:row r="2927" ht="21" customHeight="1">
      <x:c r="A2927" s="3" t="str">
        <x:v>2201001</x:v>
      </x:c>
      <x:c r="B2927" s="3" t="str">
        <x:v>SEC029</x:v>
      </x:c>
      <x:c r="C2927" s="3" t="n">
        <x:v>13</x:v>
      </x:c>
      <x:c r="D2927" s="3" t="str">
        <x:v>present</x:v>
      </x:c>
      <x:c r="E2927" s="5" t="str">
        <x:f>VLOOKUP(B2927,Sections!$A$5:$I$45,3,FALSE)</x:f>
        <x:v>2024-1</x:v>
      </x:c>
    </x:row>
    <x:row r="2928" ht="21" customHeight="1">
      <x:c r="A2928" s="3" t="str">
        <x:v>2201001</x:v>
      </x:c>
      <x:c r="B2928" s="3" t="str">
        <x:v>SEC029</x:v>
      </x:c>
      <x:c r="C2928" s="3" t="n">
        <x:v>14</x:v>
      </x:c>
      <x:c r="D2928" s="3" t="str">
        <x:v>present</x:v>
      </x:c>
      <x:c r="E2928" s="5" t="str">
        <x:f>VLOOKUP(B2928,Sections!$A$5:$I$45,3,FALSE)</x:f>
        <x:v>2024-1</x:v>
      </x:c>
    </x:row>
    <x:row r="2929" ht="21" customHeight="1">
      <x:c r="A2929" s="3" t="str">
        <x:v>2201001</x:v>
      </x:c>
      <x:c r="B2929" s="3" t="str">
        <x:v>SEC029</x:v>
      </x:c>
      <x:c r="C2929" s="3" t="n">
        <x:v>15</x:v>
      </x:c>
      <x:c r="D2929" s="3" t="str">
        <x:v>present</x:v>
      </x:c>
      <x:c r="E2929" s="5" t="str">
        <x:f>VLOOKUP(B2929,Sections!$A$5:$I$45,3,FALSE)</x:f>
        <x:v>2024-1</x:v>
      </x:c>
    </x:row>
    <x:row r="2930" ht="21" customHeight="1">
      <x:c r="A2930" s="3" t="str">
        <x:v>2201002</x:v>
      </x:c>
      <x:c r="B2930" s="3" t="str">
        <x:v>SEC029</x:v>
      </x:c>
      <x:c r="C2930" s="3" t="n">
        <x:v>1</x:v>
      </x:c>
      <x:c r="D2930" s="3" t="str">
        <x:v>present</x:v>
      </x:c>
      <x:c r="E2930" s="5" t="str">
        <x:f>VLOOKUP(B2930,Sections!$A$5:$I$45,3,FALSE)</x:f>
        <x:v>2024-1</x:v>
      </x:c>
    </x:row>
    <x:row r="2931" ht="21" customHeight="1">
      <x:c r="A2931" s="3" t="str">
        <x:v>2201002</x:v>
      </x:c>
      <x:c r="B2931" s="3" t="str">
        <x:v>SEC029</x:v>
      </x:c>
      <x:c r="C2931" s="3" t="n">
        <x:v>2</x:v>
      </x:c>
      <x:c r="D2931" s="3" t="str">
        <x:v>absent</x:v>
      </x:c>
      <x:c r="E2931" s="5" t="str">
        <x:f>VLOOKUP(B2931,Sections!$A$5:$I$45,3,FALSE)</x:f>
        <x:v>2024-1</x:v>
      </x:c>
    </x:row>
    <x:row r="2932" ht="21" customHeight="1">
      <x:c r="A2932" s="3" t="str">
        <x:v>2201002</x:v>
      </x:c>
      <x:c r="B2932" s="3" t="str">
        <x:v>SEC029</x:v>
      </x:c>
      <x:c r="C2932" s="3" t="n">
        <x:v>3</x:v>
      </x:c>
      <x:c r="D2932" s="3" t="str">
        <x:v>present</x:v>
      </x:c>
      <x:c r="E2932" s="5" t="str">
        <x:f>VLOOKUP(B2932,Sections!$A$5:$I$45,3,FALSE)</x:f>
        <x:v>2024-1</x:v>
      </x:c>
    </x:row>
    <x:row r="2933" ht="21" customHeight="1">
      <x:c r="A2933" s="3" t="str">
        <x:v>2201002</x:v>
      </x:c>
      <x:c r="B2933" s="3" t="str">
        <x:v>SEC029</x:v>
      </x:c>
      <x:c r="C2933" s="3" t="n">
        <x:v>4</x:v>
      </x:c>
      <x:c r="D2933" s="3" t="str">
        <x:v>present</x:v>
      </x:c>
      <x:c r="E2933" s="5" t="str">
        <x:f>VLOOKUP(B2933,Sections!$A$5:$I$45,3,FALSE)</x:f>
        <x:v>2024-1</x:v>
      </x:c>
    </x:row>
    <x:row r="2934" ht="21" customHeight="1">
      <x:c r="A2934" s="3" t="str">
        <x:v>2201002</x:v>
      </x:c>
      <x:c r="B2934" s="3" t="str">
        <x:v>SEC029</x:v>
      </x:c>
      <x:c r="C2934" s="3" t="n">
        <x:v>5</x:v>
      </x:c>
      <x:c r="D2934" s="3" t="str">
        <x:v>present</x:v>
      </x:c>
      <x:c r="E2934" s="5" t="str">
        <x:f>VLOOKUP(B2934,Sections!$A$5:$I$45,3,FALSE)</x:f>
        <x:v>2024-1</x:v>
      </x:c>
    </x:row>
    <x:row r="2935" ht="21" customHeight="1">
      <x:c r="A2935" s="3" t="str">
        <x:v>2201002</x:v>
      </x:c>
      <x:c r="B2935" s="3" t="str">
        <x:v>SEC029</x:v>
      </x:c>
      <x:c r="C2935" s="3" t="n">
        <x:v>6</x:v>
      </x:c>
      <x:c r="D2935" s="3" t="str">
        <x:v>late</x:v>
      </x:c>
      <x:c r="E2935" s="5" t="str">
        <x:f>VLOOKUP(B2935,Sections!$A$5:$I$45,3,FALSE)</x:f>
        <x:v>2024-1</x:v>
      </x:c>
    </x:row>
    <x:row r="2936" ht="21" customHeight="1">
      <x:c r="A2936" s="3" t="str">
        <x:v>2201002</x:v>
      </x:c>
      <x:c r="B2936" s="3" t="str">
        <x:v>SEC029</x:v>
      </x:c>
      <x:c r="C2936" s="3" t="n">
        <x:v>7</x:v>
      </x:c>
      <x:c r="D2936" s="3" t="str">
        <x:v>present</x:v>
      </x:c>
      <x:c r="E2936" s="5" t="str">
        <x:f>VLOOKUP(B2936,Sections!$A$5:$I$45,3,FALSE)</x:f>
        <x:v>2024-1</x:v>
      </x:c>
    </x:row>
    <x:row r="2937" ht="21" customHeight="1">
      <x:c r="A2937" s="3" t="str">
        <x:v>2201002</x:v>
      </x:c>
      <x:c r="B2937" s="3" t="str">
        <x:v>SEC029</x:v>
      </x:c>
      <x:c r="C2937" s="3" t="n">
        <x:v>8</x:v>
      </x:c>
      <x:c r="D2937" s="3" t="str">
        <x:v>late</x:v>
      </x:c>
      <x:c r="E2937" s="5" t="str">
        <x:f>VLOOKUP(B2937,Sections!$A$5:$I$45,3,FALSE)</x:f>
        <x:v>2024-1</x:v>
      </x:c>
    </x:row>
    <x:row r="2938" ht="21" customHeight="1">
      <x:c r="A2938" s="3" t="str">
        <x:v>2201002</x:v>
      </x:c>
      <x:c r="B2938" s="3" t="str">
        <x:v>SEC029</x:v>
      </x:c>
      <x:c r="C2938" s="3" t="n">
        <x:v>9</x:v>
      </x:c>
      <x:c r="D2938" s="3" t="str">
        <x:v>present</x:v>
      </x:c>
      <x:c r="E2938" s="5" t="str">
        <x:f>VLOOKUP(B2938,Sections!$A$5:$I$45,3,FALSE)</x:f>
        <x:v>2024-1</x:v>
      </x:c>
    </x:row>
    <x:row r="2939" ht="21" customHeight="1">
      <x:c r="A2939" s="3" t="str">
        <x:v>2201002</x:v>
      </x:c>
      <x:c r="B2939" s="3" t="str">
        <x:v>SEC029</x:v>
      </x:c>
      <x:c r="C2939" s="3" t="n">
        <x:v>10</x:v>
      </x:c>
      <x:c r="D2939" s="3" t="str">
        <x:v>present</x:v>
      </x:c>
      <x:c r="E2939" s="5" t="str">
        <x:f>VLOOKUP(B2939,Sections!$A$5:$I$45,3,FALSE)</x:f>
        <x:v>2024-1</x:v>
      </x:c>
    </x:row>
    <x:row r="2940" ht="21" customHeight="1">
      <x:c r="A2940" s="3" t="str">
        <x:v>2201002</x:v>
      </x:c>
      <x:c r="B2940" s="3" t="str">
        <x:v>SEC029</x:v>
      </x:c>
      <x:c r="C2940" s="3" t="n">
        <x:v>11</x:v>
      </x:c>
      <x:c r="D2940" s="3" t="str">
        <x:v>present</x:v>
      </x:c>
      <x:c r="E2940" s="5" t="str">
        <x:f>VLOOKUP(B2940,Sections!$A$5:$I$45,3,FALSE)</x:f>
        <x:v>2024-1</x:v>
      </x:c>
    </x:row>
    <x:row r="2941" ht="21" customHeight="1">
      <x:c r="A2941" s="3" t="str">
        <x:v>2201002</x:v>
      </x:c>
      <x:c r="B2941" s="3" t="str">
        <x:v>SEC029</x:v>
      </x:c>
      <x:c r="C2941" s="3" t="n">
        <x:v>12</x:v>
      </x:c>
      <x:c r="D2941" s="3" t="str">
        <x:v>present</x:v>
      </x:c>
      <x:c r="E2941" s="5" t="str">
        <x:f>VLOOKUP(B2941,Sections!$A$5:$I$45,3,FALSE)</x:f>
        <x:v>2024-1</x:v>
      </x:c>
    </x:row>
    <x:row r="2942" ht="21" customHeight="1">
      <x:c r="A2942" s="3" t="str">
        <x:v>2201002</x:v>
      </x:c>
      <x:c r="B2942" s="3" t="str">
        <x:v>SEC029</x:v>
      </x:c>
      <x:c r="C2942" s="3" t="n">
        <x:v>13</x:v>
      </x:c>
      <x:c r="D2942" s="3" t="str">
        <x:v>present</x:v>
      </x:c>
      <x:c r="E2942" s="5" t="str">
        <x:f>VLOOKUP(B2942,Sections!$A$5:$I$45,3,FALSE)</x:f>
        <x:v>2024-1</x:v>
      </x:c>
    </x:row>
    <x:row r="2943" ht="21" customHeight="1">
      <x:c r="A2943" s="3" t="str">
        <x:v>2201002</x:v>
      </x:c>
      <x:c r="B2943" s="3" t="str">
        <x:v>SEC029</x:v>
      </x:c>
      <x:c r="C2943" s="3" t="n">
        <x:v>14</x:v>
      </x:c>
      <x:c r="D2943" s="3" t="str">
        <x:v>present</x:v>
      </x:c>
      <x:c r="E2943" s="5" t="str">
        <x:f>VLOOKUP(B2943,Sections!$A$5:$I$45,3,FALSE)</x:f>
        <x:v>2024-1</x:v>
      </x:c>
    </x:row>
    <x:row r="2944" ht="21" customHeight="1">
      <x:c r="A2944" s="3" t="str">
        <x:v>2201002</x:v>
      </x:c>
      <x:c r="B2944" s="3" t="str">
        <x:v>SEC029</x:v>
      </x:c>
      <x:c r="C2944" s="3" t="n">
        <x:v>15</x:v>
      </x:c>
      <x:c r="D2944" s="3" t="str">
        <x:v>present</x:v>
      </x:c>
      <x:c r="E2944" s="5" t="str">
        <x:f>VLOOKUP(B2944,Sections!$A$5:$I$45,3,FALSE)</x:f>
        <x:v>2024-1</x:v>
      </x:c>
    </x:row>
    <x:row r="2945" ht="21" customHeight="1">
      <x:c r="A2945" s="3" t="str">
        <x:v>2201003</x:v>
      </x:c>
      <x:c r="B2945" s="3" t="str">
        <x:v>SEC029</x:v>
      </x:c>
      <x:c r="C2945" s="3" t="n">
        <x:v>1</x:v>
      </x:c>
      <x:c r="D2945" s="3" t="str">
        <x:v>present</x:v>
      </x:c>
      <x:c r="E2945" s="5" t="str">
        <x:f>VLOOKUP(B2945,Sections!$A$5:$I$45,3,FALSE)</x:f>
        <x:v>2024-1</x:v>
      </x:c>
    </x:row>
    <x:row r="2946" ht="21" customHeight="1">
      <x:c r="A2946" s="3" t="str">
        <x:v>2201003</x:v>
      </x:c>
      <x:c r="B2946" s="3" t="str">
        <x:v>SEC029</x:v>
      </x:c>
      <x:c r="C2946" s="3" t="n">
        <x:v>2</x:v>
      </x:c>
      <x:c r="D2946" s="3" t="str">
        <x:v>present</x:v>
      </x:c>
      <x:c r="E2946" s="5" t="str">
        <x:f>VLOOKUP(B2946,Sections!$A$5:$I$45,3,FALSE)</x:f>
        <x:v>2024-1</x:v>
      </x:c>
    </x:row>
    <x:row r="2947" ht="21" customHeight="1">
      <x:c r="A2947" s="3" t="str">
        <x:v>2201003</x:v>
      </x:c>
      <x:c r="B2947" s="3" t="str">
        <x:v>SEC029</x:v>
      </x:c>
      <x:c r="C2947" s="3" t="n">
        <x:v>3</x:v>
      </x:c>
      <x:c r="D2947" s="3" t="str">
        <x:v>present</x:v>
      </x:c>
      <x:c r="E2947" s="5" t="str">
        <x:f>VLOOKUP(B2947,Sections!$A$5:$I$45,3,FALSE)</x:f>
        <x:v>2024-1</x:v>
      </x:c>
    </x:row>
    <x:row r="2948" ht="21" customHeight="1">
      <x:c r="A2948" s="3" t="str">
        <x:v>2201003</x:v>
      </x:c>
      <x:c r="B2948" s="3" t="str">
        <x:v>SEC029</x:v>
      </x:c>
      <x:c r="C2948" s="3" t="n">
        <x:v>4</x:v>
      </x:c>
      <x:c r="D2948" s="3" t="str">
        <x:v>present</x:v>
      </x:c>
      <x:c r="E2948" s="5" t="str">
        <x:f>VLOOKUP(B2948,Sections!$A$5:$I$45,3,FALSE)</x:f>
        <x:v>2024-1</x:v>
      </x:c>
    </x:row>
    <x:row r="2949" ht="21" customHeight="1">
      <x:c r="A2949" s="3" t="str">
        <x:v>2201003</x:v>
      </x:c>
      <x:c r="B2949" s="3" t="str">
        <x:v>SEC029</x:v>
      </x:c>
      <x:c r="C2949" s="3" t="n">
        <x:v>5</x:v>
      </x:c>
      <x:c r="D2949" s="3" t="str">
        <x:v>present</x:v>
      </x:c>
      <x:c r="E2949" s="5" t="str">
        <x:f>VLOOKUP(B2949,Sections!$A$5:$I$45,3,FALSE)</x:f>
        <x:v>2024-1</x:v>
      </x:c>
    </x:row>
    <x:row r="2950" ht="21" customHeight="1">
      <x:c r="A2950" s="3" t="str">
        <x:v>2201003</x:v>
      </x:c>
      <x:c r="B2950" s="3" t="str">
        <x:v>SEC029</x:v>
      </x:c>
      <x:c r="C2950" s="3" t="n">
        <x:v>6</x:v>
      </x:c>
      <x:c r="D2950" s="3" t="str">
        <x:v>present</x:v>
      </x:c>
      <x:c r="E2950" s="5" t="str">
        <x:f>VLOOKUP(B2950,Sections!$A$5:$I$45,3,FALSE)</x:f>
        <x:v>2024-1</x:v>
      </x:c>
    </x:row>
    <x:row r="2951" ht="21" customHeight="1">
      <x:c r="A2951" s="3" t="str">
        <x:v>2201003</x:v>
      </x:c>
      <x:c r="B2951" s="3" t="str">
        <x:v>SEC029</x:v>
      </x:c>
      <x:c r="C2951" s="3" t="n">
        <x:v>7</x:v>
      </x:c>
      <x:c r="D2951" s="3" t="str">
        <x:v>present</x:v>
      </x:c>
      <x:c r="E2951" s="5" t="str">
        <x:f>VLOOKUP(B2951,Sections!$A$5:$I$45,3,FALSE)</x:f>
        <x:v>2024-1</x:v>
      </x:c>
    </x:row>
    <x:row r="2952" ht="21" customHeight="1">
      <x:c r="A2952" s="3" t="str">
        <x:v>2201003</x:v>
      </x:c>
      <x:c r="B2952" s="3" t="str">
        <x:v>SEC029</x:v>
      </x:c>
      <x:c r="C2952" s="3" t="n">
        <x:v>8</x:v>
      </x:c>
      <x:c r="D2952" s="3" t="str">
        <x:v>present</x:v>
      </x:c>
      <x:c r="E2952" s="5" t="str">
        <x:f>VLOOKUP(B2952,Sections!$A$5:$I$45,3,FALSE)</x:f>
        <x:v>2024-1</x:v>
      </x:c>
    </x:row>
    <x:row r="2953" ht="21" customHeight="1">
      <x:c r="A2953" s="3" t="str">
        <x:v>2201003</x:v>
      </x:c>
      <x:c r="B2953" s="3" t="str">
        <x:v>SEC029</x:v>
      </x:c>
      <x:c r="C2953" s="3" t="n">
        <x:v>9</x:v>
      </x:c>
      <x:c r="D2953" s="3" t="str">
        <x:v>present</x:v>
      </x:c>
      <x:c r="E2953" s="5" t="str">
        <x:f>VLOOKUP(B2953,Sections!$A$5:$I$45,3,FALSE)</x:f>
        <x:v>2024-1</x:v>
      </x:c>
    </x:row>
    <x:row r="2954" ht="21" customHeight="1">
      <x:c r="A2954" s="3" t="str">
        <x:v>2201003</x:v>
      </x:c>
      <x:c r="B2954" s="3" t="str">
        <x:v>SEC029</x:v>
      </x:c>
      <x:c r="C2954" s="3" t="n">
        <x:v>10</x:v>
      </x:c>
      <x:c r="D2954" s="3" t="str">
        <x:v>present</x:v>
      </x:c>
      <x:c r="E2954" s="5" t="str">
        <x:f>VLOOKUP(B2954,Sections!$A$5:$I$45,3,FALSE)</x:f>
        <x:v>2024-1</x:v>
      </x:c>
    </x:row>
    <x:row r="2955" ht="21" customHeight="1">
      <x:c r="A2955" s="3" t="str">
        <x:v>2201003</x:v>
      </x:c>
      <x:c r="B2955" s="3" t="str">
        <x:v>SEC029</x:v>
      </x:c>
      <x:c r="C2955" s="3" t="n">
        <x:v>11</x:v>
      </x:c>
      <x:c r="D2955" s="3" t="str">
        <x:v>present</x:v>
      </x:c>
      <x:c r="E2955" s="5" t="str">
        <x:f>VLOOKUP(B2955,Sections!$A$5:$I$45,3,FALSE)</x:f>
        <x:v>2024-1</x:v>
      </x:c>
    </x:row>
    <x:row r="2956" ht="21" customHeight="1">
      <x:c r="A2956" s="3" t="str">
        <x:v>2201003</x:v>
      </x:c>
      <x:c r="B2956" s="3" t="str">
        <x:v>SEC029</x:v>
      </x:c>
      <x:c r="C2956" s="3" t="n">
        <x:v>12</x:v>
      </x:c>
      <x:c r="D2956" s="3" t="str">
        <x:v>absent</x:v>
      </x:c>
      <x:c r="E2956" s="5" t="str">
        <x:f>VLOOKUP(B2956,Sections!$A$5:$I$45,3,FALSE)</x:f>
        <x:v>2024-1</x:v>
      </x:c>
    </x:row>
    <x:row r="2957" ht="21" customHeight="1">
      <x:c r="A2957" s="3" t="str">
        <x:v>2201003</x:v>
      </x:c>
      <x:c r="B2957" s="3" t="str">
        <x:v>SEC029</x:v>
      </x:c>
      <x:c r="C2957" s="3" t="n">
        <x:v>13</x:v>
      </x:c>
      <x:c r="D2957" s="3" t="str">
        <x:v>excused</x:v>
      </x:c>
      <x:c r="E2957" s="5" t="str">
        <x:f>VLOOKUP(B2957,Sections!$A$5:$I$45,3,FALSE)</x:f>
        <x:v>2024-1</x:v>
      </x:c>
    </x:row>
    <x:row r="2958" ht="21" customHeight="1">
      <x:c r="A2958" s="3" t="str">
        <x:v>2201003</x:v>
      </x:c>
      <x:c r="B2958" s="3" t="str">
        <x:v>SEC029</x:v>
      </x:c>
      <x:c r="C2958" s="3" t="n">
        <x:v>14</x:v>
      </x:c>
      <x:c r="D2958" s="3" t="str">
        <x:v>present</x:v>
      </x:c>
      <x:c r="E2958" s="5" t="str">
        <x:f>VLOOKUP(B2958,Sections!$A$5:$I$45,3,FALSE)</x:f>
        <x:v>2024-1</x:v>
      </x:c>
    </x:row>
    <x:row r="2959" ht="21" customHeight="1">
      <x:c r="A2959" s="3" t="str">
        <x:v>2201003</x:v>
      </x:c>
      <x:c r="B2959" s="3" t="str">
        <x:v>SEC029</x:v>
      </x:c>
      <x:c r="C2959" s="3" t="n">
        <x:v>15</x:v>
      </x:c>
      <x:c r="D2959" s="3" t="str">
        <x:v>present</x:v>
      </x:c>
      <x:c r="E2959" s="5" t="str">
        <x:f>VLOOKUP(B2959,Sections!$A$5:$I$45,3,FALSE)</x:f>
        <x:v>2024-1</x:v>
      </x:c>
    </x:row>
    <x:row r="2960" ht="21" customHeight="1">
      <x:c r="A2960" s="3" t="str">
        <x:v>2201004</x:v>
      </x:c>
      <x:c r="B2960" s="3" t="str">
        <x:v>SEC029</x:v>
      </x:c>
      <x:c r="C2960" s="3" t="n">
        <x:v>1</x:v>
      </x:c>
      <x:c r="D2960" s="3" t="str">
        <x:v>present</x:v>
      </x:c>
      <x:c r="E2960" s="5" t="str">
        <x:f>VLOOKUP(B2960,Sections!$A$5:$I$45,3,FALSE)</x:f>
        <x:v>2024-1</x:v>
      </x:c>
    </x:row>
    <x:row r="2961" ht="21" customHeight="1">
      <x:c r="A2961" s="3" t="str">
        <x:v>2201004</x:v>
      </x:c>
      <x:c r="B2961" s="3" t="str">
        <x:v>SEC029</x:v>
      </x:c>
      <x:c r="C2961" s="3" t="n">
        <x:v>2</x:v>
      </x:c>
      <x:c r="D2961" s="3" t="str">
        <x:v>present</x:v>
      </x:c>
      <x:c r="E2961" s="5" t="str">
        <x:f>VLOOKUP(B2961,Sections!$A$5:$I$45,3,FALSE)</x:f>
        <x:v>2024-1</x:v>
      </x:c>
    </x:row>
    <x:row r="2962" ht="21" customHeight="1">
      <x:c r="A2962" s="3" t="str">
        <x:v>2201004</x:v>
      </x:c>
      <x:c r="B2962" s="3" t="str">
        <x:v>SEC029</x:v>
      </x:c>
      <x:c r="C2962" s="3" t="n">
        <x:v>3</x:v>
      </x:c>
      <x:c r="D2962" s="3" t="str">
        <x:v>present</x:v>
      </x:c>
      <x:c r="E2962" s="5" t="str">
        <x:f>VLOOKUP(B2962,Sections!$A$5:$I$45,3,FALSE)</x:f>
        <x:v>2024-1</x:v>
      </x:c>
    </x:row>
    <x:row r="2963" ht="21" customHeight="1">
      <x:c r="A2963" s="3" t="str">
        <x:v>2201004</x:v>
      </x:c>
      <x:c r="B2963" s="3" t="str">
        <x:v>SEC029</x:v>
      </x:c>
      <x:c r="C2963" s="3" t="n">
        <x:v>4</x:v>
      </x:c>
      <x:c r="D2963" s="3" t="str">
        <x:v>present</x:v>
      </x:c>
      <x:c r="E2963" s="5" t="str">
        <x:f>VLOOKUP(B2963,Sections!$A$5:$I$45,3,FALSE)</x:f>
        <x:v>2024-1</x:v>
      </x:c>
    </x:row>
    <x:row r="2964" ht="21" customHeight="1">
      <x:c r="A2964" s="3" t="str">
        <x:v>2201004</x:v>
      </x:c>
      <x:c r="B2964" s="3" t="str">
        <x:v>SEC029</x:v>
      </x:c>
      <x:c r="C2964" s="3" t="n">
        <x:v>5</x:v>
      </x:c>
      <x:c r="D2964" s="3" t="str">
        <x:v>present</x:v>
      </x:c>
      <x:c r="E2964" s="5" t="str">
        <x:f>VLOOKUP(B2964,Sections!$A$5:$I$45,3,FALSE)</x:f>
        <x:v>2024-1</x:v>
      </x:c>
    </x:row>
    <x:row r="2965" ht="21" customHeight="1">
      <x:c r="A2965" s="3" t="str">
        <x:v>2201004</x:v>
      </x:c>
      <x:c r="B2965" s="3" t="str">
        <x:v>SEC029</x:v>
      </x:c>
      <x:c r="C2965" s="3" t="n">
        <x:v>6</x:v>
      </x:c>
      <x:c r="D2965" s="3" t="str">
        <x:v>present</x:v>
      </x:c>
      <x:c r="E2965" s="5" t="str">
        <x:f>VLOOKUP(B2965,Sections!$A$5:$I$45,3,FALSE)</x:f>
        <x:v>2024-1</x:v>
      </x:c>
    </x:row>
    <x:row r="2966" ht="21" customHeight="1">
      <x:c r="A2966" s="3" t="str">
        <x:v>2201004</x:v>
      </x:c>
      <x:c r="B2966" s="3" t="str">
        <x:v>SEC029</x:v>
      </x:c>
      <x:c r="C2966" s="3" t="n">
        <x:v>7</x:v>
      </x:c>
      <x:c r="D2966" s="3" t="str">
        <x:v>present</x:v>
      </x:c>
      <x:c r="E2966" s="5" t="str">
        <x:f>VLOOKUP(B2966,Sections!$A$5:$I$45,3,FALSE)</x:f>
        <x:v>2024-1</x:v>
      </x:c>
    </x:row>
    <x:row r="2967" ht="21" customHeight="1">
      <x:c r="A2967" s="3" t="str">
        <x:v>2201004</x:v>
      </x:c>
      <x:c r="B2967" s="3" t="str">
        <x:v>SEC029</x:v>
      </x:c>
      <x:c r="C2967" s="3" t="n">
        <x:v>8</x:v>
      </x:c>
      <x:c r="D2967" s="3" t="str">
        <x:v>present</x:v>
      </x:c>
      <x:c r="E2967" s="5" t="str">
        <x:f>VLOOKUP(B2967,Sections!$A$5:$I$45,3,FALSE)</x:f>
        <x:v>2024-1</x:v>
      </x:c>
    </x:row>
    <x:row r="2968" ht="21" customHeight="1">
      <x:c r="A2968" s="3" t="str">
        <x:v>2201004</x:v>
      </x:c>
      <x:c r="B2968" s="3" t="str">
        <x:v>SEC029</x:v>
      </x:c>
      <x:c r="C2968" s="3" t="n">
        <x:v>9</x:v>
      </x:c>
      <x:c r="D2968" s="3" t="str">
        <x:v>present</x:v>
      </x:c>
      <x:c r="E2968" s="5" t="str">
        <x:f>VLOOKUP(B2968,Sections!$A$5:$I$45,3,FALSE)</x:f>
        <x:v>2024-1</x:v>
      </x:c>
    </x:row>
    <x:row r="2969" ht="21" customHeight="1">
      <x:c r="A2969" s="3" t="str">
        <x:v>2201004</x:v>
      </x:c>
      <x:c r="B2969" s="3" t="str">
        <x:v>SEC029</x:v>
      </x:c>
      <x:c r="C2969" s="3" t="n">
        <x:v>10</x:v>
      </x:c>
      <x:c r="D2969" s="3" t="str">
        <x:v>present</x:v>
      </x:c>
      <x:c r="E2969" s="5" t="str">
        <x:f>VLOOKUP(B2969,Sections!$A$5:$I$45,3,FALSE)</x:f>
        <x:v>2024-1</x:v>
      </x:c>
    </x:row>
    <x:row r="2970" ht="21" customHeight="1">
      <x:c r="A2970" s="3" t="str">
        <x:v>2201004</x:v>
      </x:c>
      <x:c r="B2970" s="3" t="str">
        <x:v>SEC029</x:v>
      </x:c>
      <x:c r="C2970" s="3" t="n">
        <x:v>11</x:v>
      </x:c>
      <x:c r="D2970" s="3" t="str">
        <x:v>present</x:v>
      </x:c>
      <x:c r="E2970" s="5" t="str">
        <x:f>VLOOKUP(B2970,Sections!$A$5:$I$45,3,FALSE)</x:f>
        <x:v>2024-1</x:v>
      </x:c>
    </x:row>
    <x:row r="2971" ht="21" customHeight="1">
      <x:c r="A2971" s="3" t="str">
        <x:v>2201004</x:v>
      </x:c>
      <x:c r="B2971" s="3" t="str">
        <x:v>SEC029</x:v>
      </x:c>
      <x:c r="C2971" s="3" t="n">
        <x:v>12</x:v>
      </x:c>
      <x:c r="D2971" s="3" t="str">
        <x:v>present</x:v>
      </x:c>
      <x:c r="E2971" s="5" t="str">
        <x:f>VLOOKUP(B2971,Sections!$A$5:$I$45,3,FALSE)</x:f>
        <x:v>2024-1</x:v>
      </x:c>
    </x:row>
    <x:row r="2972" ht="21" customHeight="1">
      <x:c r="A2972" s="3" t="str">
        <x:v>2201004</x:v>
      </x:c>
      <x:c r="B2972" s="3" t="str">
        <x:v>SEC029</x:v>
      </x:c>
      <x:c r="C2972" s="3" t="n">
        <x:v>13</x:v>
      </x:c>
      <x:c r="D2972" s="3" t="str">
        <x:v>present</x:v>
      </x:c>
      <x:c r="E2972" s="5" t="str">
        <x:f>VLOOKUP(B2972,Sections!$A$5:$I$45,3,FALSE)</x:f>
        <x:v>2024-1</x:v>
      </x:c>
    </x:row>
    <x:row r="2973" ht="21" customHeight="1">
      <x:c r="A2973" s="3" t="str">
        <x:v>2201004</x:v>
      </x:c>
      <x:c r="B2973" s="3" t="str">
        <x:v>SEC029</x:v>
      </x:c>
      <x:c r="C2973" s="3" t="n">
        <x:v>14</x:v>
      </x:c>
      <x:c r="D2973" s="3" t="str">
        <x:v>present</x:v>
      </x:c>
      <x:c r="E2973" s="5" t="str">
        <x:f>VLOOKUP(B2973,Sections!$A$5:$I$45,3,FALSE)</x:f>
        <x:v>2024-1</x:v>
      </x:c>
    </x:row>
    <x:row r="2974" ht="21" customHeight="1">
      <x:c r="A2974" s="3" t="str">
        <x:v>2201004</x:v>
      </x:c>
      <x:c r="B2974" s="3" t="str">
        <x:v>SEC029</x:v>
      </x:c>
      <x:c r="C2974" s="3" t="n">
        <x:v>15</x:v>
      </x:c>
      <x:c r="D2974" s="3" t="str">
        <x:v>present</x:v>
      </x:c>
      <x:c r="E2974" s="5" t="str">
        <x:f>VLOOKUP(B2974,Sections!$A$5:$I$45,3,FALSE)</x:f>
        <x:v>2024-1</x:v>
      </x:c>
    </x:row>
    <x:row r="2975" ht="21" customHeight="1">
      <x:c r="A2975" s="3" t="str">
        <x:v>2201005</x:v>
      </x:c>
      <x:c r="B2975" s="3" t="str">
        <x:v>SEC029</x:v>
      </x:c>
      <x:c r="C2975" s="3" t="n">
        <x:v>1</x:v>
      </x:c>
      <x:c r="D2975" s="3" t="str">
        <x:v>late</x:v>
      </x:c>
      <x:c r="E2975" s="5" t="str">
        <x:f>VLOOKUP(B2975,Sections!$A$5:$I$45,3,FALSE)</x:f>
        <x:v>2024-1</x:v>
      </x:c>
    </x:row>
    <x:row r="2976" ht="21" customHeight="1">
      <x:c r="A2976" s="3" t="str">
        <x:v>2201005</x:v>
      </x:c>
      <x:c r="B2976" s="3" t="str">
        <x:v>SEC029</x:v>
      </x:c>
      <x:c r="C2976" s="3" t="n">
        <x:v>2</x:v>
      </x:c>
      <x:c r="D2976" s="3" t="str">
        <x:v>absent</x:v>
      </x:c>
      <x:c r="E2976" s="5" t="str">
        <x:f>VLOOKUP(B2976,Sections!$A$5:$I$45,3,FALSE)</x:f>
        <x:v>2024-1</x:v>
      </x:c>
    </x:row>
    <x:row r="2977" ht="21" customHeight="1">
      <x:c r="A2977" s="3" t="str">
        <x:v>2201005</x:v>
      </x:c>
      <x:c r="B2977" s="3" t="str">
        <x:v>SEC029</x:v>
      </x:c>
      <x:c r="C2977" s="3" t="n">
        <x:v>3</x:v>
      </x:c>
      <x:c r="D2977" s="3" t="str">
        <x:v>absent</x:v>
      </x:c>
      <x:c r="E2977" s="5" t="str">
        <x:f>VLOOKUP(B2977,Sections!$A$5:$I$45,3,FALSE)</x:f>
        <x:v>2024-1</x:v>
      </x:c>
    </x:row>
    <x:row r="2978" ht="21" customHeight="1">
      <x:c r="A2978" s="3" t="str">
        <x:v>2201005</x:v>
      </x:c>
      <x:c r="B2978" s="3" t="str">
        <x:v>SEC029</x:v>
      </x:c>
      <x:c r="C2978" s="3" t="n">
        <x:v>4</x:v>
      </x:c>
      <x:c r="D2978" s="3" t="str">
        <x:v>late</x:v>
      </x:c>
      <x:c r="E2978" s="5" t="str">
        <x:f>VLOOKUP(B2978,Sections!$A$5:$I$45,3,FALSE)</x:f>
        <x:v>2024-1</x:v>
      </x:c>
    </x:row>
    <x:row r="2979" ht="21" customHeight="1">
      <x:c r="A2979" s="3" t="str">
        <x:v>2201005</x:v>
      </x:c>
      <x:c r="B2979" s="3" t="str">
        <x:v>SEC029</x:v>
      </x:c>
      <x:c r="C2979" s="3" t="n">
        <x:v>5</x:v>
      </x:c>
      <x:c r="D2979" s="3" t="str">
        <x:v>present</x:v>
      </x:c>
      <x:c r="E2979" s="5" t="str">
        <x:f>VLOOKUP(B2979,Sections!$A$5:$I$45,3,FALSE)</x:f>
        <x:v>2024-1</x:v>
      </x:c>
    </x:row>
    <x:row r="2980" ht="21" customHeight="1">
      <x:c r="A2980" s="3" t="str">
        <x:v>2201005</x:v>
      </x:c>
      <x:c r="B2980" s="3" t="str">
        <x:v>SEC029</x:v>
      </x:c>
      <x:c r="C2980" s="3" t="n">
        <x:v>6</x:v>
      </x:c>
      <x:c r="D2980" s="3" t="str">
        <x:v>absent</x:v>
      </x:c>
      <x:c r="E2980" s="5" t="str">
        <x:f>VLOOKUP(B2980,Sections!$A$5:$I$45,3,FALSE)</x:f>
        <x:v>2024-1</x:v>
      </x:c>
    </x:row>
    <x:row r="2981" ht="21" customHeight="1">
      <x:c r="A2981" s="3" t="str">
        <x:v>2201005</x:v>
      </x:c>
      <x:c r="B2981" s="3" t="str">
        <x:v>SEC029</x:v>
      </x:c>
      <x:c r="C2981" s="3" t="n">
        <x:v>7</x:v>
      </x:c>
      <x:c r="D2981" s="3" t="str">
        <x:v>present</x:v>
      </x:c>
      <x:c r="E2981" s="5" t="str">
        <x:f>VLOOKUP(B2981,Sections!$A$5:$I$45,3,FALSE)</x:f>
        <x:v>2024-1</x:v>
      </x:c>
    </x:row>
    <x:row r="2982" ht="21" customHeight="1">
      <x:c r="A2982" s="3" t="str">
        <x:v>2201005</x:v>
      </x:c>
      <x:c r="B2982" s="3" t="str">
        <x:v>SEC029</x:v>
      </x:c>
      <x:c r="C2982" s="3" t="n">
        <x:v>8</x:v>
      </x:c>
      <x:c r="D2982" s="3" t="str">
        <x:v>present</x:v>
      </x:c>
      <x:c r="E2982" s="5" t="str">
        <x:f>VLOOKUP(B2982,Sections!$A$5:$I$45,3,FALSE)</x:f>
        <x:v>2024-1</x:v>
      </x:c>
    </x:row>
    <x:row r="2983" ht="21" customHeight="1">
      <x:c r="A2983" s="3" t="str">
        <x:v>2201005</x:v>
      </x:c>
      <x:c r="B2983" s="3" t="str">
        <x:v>SEC029</x:v>
      </x:c>
      <x:c r="C2983" s="3" t="n">
        <x:v>9</x:v>
      </x:c>
      <x:c r="D2983" s="3" t="str">
        <x:v>present</x:v>
      </x:c>
      <x:c r="E2983" s="5" t="str">
        <x:f>VLOOKUP(B2983,Sections!$A$5:$I$45,3,FALSE)</x:f>
        <x:v>2024-1</x:v>
      </x:c>
    </x:row>
    <x:row r="2984" ht="21" customHeight="1">
      <x:c r="A2984" s="3" t="str">
        <x:v>2201005</x:v>
      </x:c>
      <x:c r="B2984" s="3" t="str">
        <x:v>SEC029</x:v>
      </x:c>
      <x:c r="C2984" s="3" t="n">
        <x:v>10</x:v>
      </x:c>
      <x:c r="D2984" s="3" t="str">
        <x:v>absent</x:v>
      </x:c>
      <x:c r="E2984" s="5" t="str">
        <x:f>VLOOKUP(B2984,Sections!$A$5:$I$45,3,FALSE)</x:f>
        <x:v>2024-1</x:v>
      </x:c>
    </x:row>
    <x:row r="2985" ht="21" customHeight="1">
      <x:c r="A2985" s="3" t="str">
        <x:v>2201005</x:v>
      </x:c>
      <x:c r="B2985" s="3" t="str">
        <x:v>SEC029</x:v>
      </x:c>
      <x:c r="C2985" s="3" t="n">
        <x:v>11</x:v>
      </x:c>
      <x:c r="D2985" s="3" t="str">
        <x:v>present</x:v>
      </x:c>
      <x:c r="E2985" s="5" t="str">
        <x:f>VLOOKUP(B2985,Sections!$A$5:$I$45,3,FALSE)</x:f>
        <x:v>2024-1</x:v>
      </x:c>
    </x:row>
    <x:row r="2986" ht="21" customHeight="1">
      <x:c r="A2986" s="3" t="str">
        <x:v>2201005</x:v>
      </x:c>
      <x:c r="B2986" s="3" t="str">
        <x:v>SEC029</x:v>
      </x:c>
      <x:c r="C2986" s="3" t="n">
        <x:v>12</x:v>
      </x:c>
      <x:c r="D2986" s="3" t="str">
        <x:v>late</x:v>
      </x:c>
      <x:c r="E2986" s="5" t="str">
        <x:f>VLOOKUP(B2986,Sections!$A$5:$I$45,3,FALSE)</x:f>
        <x:v>2024-1</x:v>
      </x:c>
    </x:row>
    <x:row r="2987" ht="21" customHeight="1">
      <x:c r="A2987" s="3" t="str">
        <x:v>2201005</x:v>
      </x:c>
      <x:c r="B2987" s="3" t="str">
        <x:v>SEC029</x:v>
      </x:c>
      <x:c r="C2987" s="3" t="n">
        <x:v>13</x:v>
      </x:c>
      <x:c r="D2987" s="3" t="str">
        <x:v>late</x:v>
      </x:c>
      <x:c r="E2987" s="5" t="str">
        <x:f>VLOOKUP(B2987,Sections!$A$5:$I$45,3,FALSE)</x:f>
        <x:v>2024-1</x:v>
      </x:c>
    </x:row>
    <x:row r="2988" ht="21" customHeight="1">
      <x:c r="A2988" s="3" t="str">
        <x:v>2201005</x:v>
      </x:c>
      <x:c r="B2988" s="3" t="str">
        <x:v>SEC029</x:v>
      </x:c>
      <x:c r="C2988" s="3" t="n">
        <x:v>14</x:v>
      </x:c>
      <x:c r="D2988" s="3" t="str">
        <x:v>absent</x:v>
      </x:c>
      <x:c r="E2988" s="5" t="str">
        <x:f>VLOOKUP(B2988,Sections!$A$5:$I$45,3,FALSE)</x:f>
        <x:v>2024-1</x:v>
      </x:c>
    </x:row>
    <x:row r="2989" ht="21" customHeight="1">
      <x:c r="A2989" s="3" t="str">
        <x:v>2201005</x:v>
      </x:c>
      <x:c r="B2989" s="3" t="str">
        <x:v>SEC029</x:v>
      </x:c>
      <x:c r="C2989" s="3" t="n">
        <x:v>15</x:v>
      </x:c>
      <x:c r="D2989" s="3" t="str">
        <x:v>present</x:v>
      </x:c>
      <x:c r="E2989" s="5" t="str">
        <x:f>VLOOKUP(B2989,Sections!$A$5:$I$45,3,FALSE)</x:f>
        <x:v>2024-1</x:v>
      </x:c>
    </x:row>
    <x:row r="2990" ht="21" customHeight="1">
      <x:c r="A2990" s="3" t="str">
        <x:v>2201006</x:v>
      </x:c>
      <x:c r="B2990" s="3" t="str">
        <x:v>SEC029</x:v>
      </x:c>
      <x:c r="C2990" s="3" t="n">
        <x:v>1</x:v>
      </x:c>
      <x:c r="D2990" s="3" t="str">
        <x:v>excused</x:v>
      </x:c>
      <x:c r="E2990" s="5" t="str">
        <x:f>VLOOKUP(B2990,Sections!$A$5:$I$45,3,FALSE)</x:f>
        <x:v>2024-1</x:v>
      </x:c>
    </x:row>
    <x:row r="2991" ht="21" customHeight="1">
      <x:c r="A2991" s="3" t="str">
        <x:v>2201006</x:v>
      </x:c>
      <x:c r="B2991" s="3" t="str">
        <x:v>SEC029</x:v>
      </x:c>
      <x:c r="C2991" s="3" t="n">
        <x:v>2</x:v>
      </x:c>
      <x:c r="D2991" s="3" t="str">
        <x:v>present</x:v>
      </x:c>
      <x:c r="E2991" s="5" t="str">
        <x:f>VLOOKUP(B2991,Sections!$A$5:$I$45,3,FALSE)</x:f>
        <x:v>2024-1</x:v>
      </x:c>
    </x:row>
    <x:row r="2992" ht="21" customHeight="1">
      <x:c r="A2992" s="3" t="str">
        <x:v>2201006</x:v>
      </x:c>
      <x:c r="B2992" s="3" t="str">
        <x:v>SEC029</x:v>
      </x:c>
      <x:c r="C2992" s="3" t="n">
        <x:v>3</x:v>
      </x:c>
      <x:c r="D2992" s="3" t="str">
        <x:v>present</x:v>
      </x:c>
      <x:c r="E2992" s="5" t="str">
        <x:f>VLOOKUP(B2992,Sections!$A$5:$I$45,3,FALSE)</x:f>
        <x:v>2024-1</x:v>
      </x:c>
    </x:row>
    <x:row r="2993" ht="21" customHeight="1">
      <x:c r="A2993" s="3" t="str">
        <x:v>2201006</x:v>
      </x:c>
      <x:c r="B2993" s="3" t="str">
        <x:v>SEC029</x:v>
      </x:c>
      <x:c r="C2993" s="3" t="n">
        <x:v>4</x:v>
      </x:c>
      <x:c r="D2993" s="3" t="str">
        <x:v>present</x:v>
      </x:c>
      <x:c r="E2993" s="5" t="str">
        <x:f>VLOOKUP(B2993,Sections!$A$5:$I$45,3,FALSE)</x:f>
        <x:v>2024-1</x:v>
      </x:c>
    </x:row>
    <x:row r="2994" ht="21" customHeight="1">
      <x:c r="A2994" s="3" t="str">
        <x:v>2201006</x:v>
      </x:c>
      <x:c r="B2994" s="3" t="str">
        <x:v>SEC029</x:v>
      </x:c>
      <x:c r="C2994" s="3" t="n">
        <x:v>5</x:v>
      </x:c>
      <x:c r="D2994" s="3" t="str">
        <x:v>present</x:v>
      </x:c>
      <x:c r="E2994" s="5" t="str">
        <x:f>VLOOKUP(B2994,Sections!$A$5:$I$45,3,FALSE)</x:f>
        <x:v>2024-1</x:v>
      </x:c>
    </x:row>
    <x:row r="2995" ht="21" customHeight="1">
      <x:c r="A2995" s="3" t="str">
        <x:v>2201006</x:v>
      </x:c>
      <x:c r="B2995" s="3" t="str">
        <x:v>SEC029</x:v>
      </x:c>
      <x:c r="C2995" s="3" t="n">
        <x:v>6</x:v>
      </x:c>
      <x:c r="D2995" s="3" t="str">
        <x:v>present</x:v>
      </x:c>
      <x:c r="E2995" s="5" t="str">
        <x:f>VLOOKUP(B2995,Sections!$A$5:$I$45,3,FALSE)</x:f>
        <x:v>2024-1</x:v>
      </x:c>
    </x:row>
    <x:row r="2996" ht="21" customHeight="1">
      <x:c r="A2996" s="3" t="str">
        <x:v>2201006</x:v>
      </x:c>
      <x:c r="B2996" s="3" t="str">
        <x:v>SEC029</x:v>
      </x:c>
      <x:c r="C2996" s="3" t="n">
        <x:v>7</x:v>
      </x:c>
      <x:c r="D2996" s="3" t="str">
        <x:v>present</x:v>
      </x:c>
      <x:c r="E2996" s="5" t="str">
        <x:f>VLOOKUP(B2996,Sections!$A$5:$I$45,3,FALSE)</x:f>
        <x:v>2024-1</x:v>
      </x:c>
    </x:row>
    <x:row r="2997" ht="21" customHeight="1">
      <x:c r="A2997" s="3" t="str">
        <x:v>2201006</x:v>
      </x:c>
      <x:c r="B2997" s="3" t="str">
        <x:v>SEC029</x:v>
      </x:c>
      <x:c r="C2997" s="3" t="n">
        <x:v>8</x:v>
      </x:c>
      <x:c r="D2997" s="3" t="str">
        <x:v>present</x:v>
      </x:c>
      <x:c r="E2997" s="5" t="str">
        <x:f>VLOOKUP(B2997,Sections!$A$5:$I$45,3,FALSE)</x:f>
        <x:v>2024-1</x:v>
      </x:c>
    </x:row>
    <x:row r="2998" ht="21" customHeight="1">
      <x:c r="A2998" s="3" t="str">
        <x:v>2201006</x:v>
      </x:c>
      <x:c r="B2998" s="3" t="str">
        <x:v>SEC029</x:v>
      </x:c>
      <x:c r="C2998" s="3" t="n">
        <x:v>9</x:v>
      </x:c>
      <x:c r="D2998" s="3" t="str">
        <x:v>late</x:v>
      </x:c>
      <x:c r="E2998" s="5" t="str">
        <x:f>VLOOKUP(B2998,Sections!$A$5:$I$45,3,FALSE)</x:f>
        <x:v>2024-1</x:v>
      </x:c>
    </x:row>
    <x:row r="2999" ht="21" customHeight="1">
      <x:c r="A2999" s="3" t="str">
        <x:v>2201006</x:v>
      </x:c>
      <x:c r="B2999" s="3" t="str">
        <x:v>SEC029</x:v>
      </x:c>
      <x:c r="C2999" s="3" t="n">
        <x:v>10</x:v>
      </x:c>
      <x:c r="D2999" s="3" t="str">
        <x:v>present</x:v>
      </x:c>
      <x:c r="E2999" s="5" t="str">
        <x:f>VLOOKUP(B2999,Sections!$A$5:$I$45,3,FALSE)</x:f>
        <x:v>2024-1</x:v>
      </x:c>
    </x:row>
    <x:row r="3000" ht="21" customHeight="1">
      <x:c r="A3000" s="3" t="str">
        <x:v>2201006</x:v>
      </x:c>
      <x:c r="B3000" s="3" t="str">
        <x:v>SEC029</x:v>
      </x:c>
      <x:c r="C3000" s="3" t="n">
        <x:v>11</x:v>
      </x:c>
      <x:c r="D3000" s="3" t="str">
        <x:v>present</x:v>
      </x:c>
      <x:c r="E3000" s="5" t="str">
        <x:f>VLOOKUP(B3000,Sections!$A$5:$I$45,3,FALSE)</x:f>
        <x:v>2024-1</x:v>
      </x:c>
    </x:row>
    <x:row r="3001" ht="21" customHeight="1">
      <x:c r="A3001" s="3" t="str">
        <x:v>2201006</x:v>
      </x:c>
      <x:c r="B3001" s="3" t="str">
        <x:v>SEC029</x:v>
      </x:c>
      <x:c r="C3001" s="3" t="n">
        <x:v>12</x:v>
      </x:c>
      <x:c r="D3001" s="3" t="str">
        <x:v>present</x:v>
      </x:c>
      <x:c r="E3001" s="5" t="str">
        <x:f>VLOOKUP(B3001,Sections!$A$5:$I$45,3,FALSE)</x:f>
        <x:v>2024-1</x:v>
      </x:c>
    </x:row>
    <x:row r="3002" ht="21" customHeight="1">
      <x:c r="A3002" s="3" t="str">
        <x:v>2201006</x:v>
      </x:c>
      <x:c r="B3002" s="3" t="str">
        <x:v>SEC029</x:v>
      </x:c>
      <x:c r="C3002" s="3" t="n">
        <x:v>13</x:v>
      </x:c>
      <x:c r="D3002" s="3" t="str">
        <x:v>present</x:v>
      </x:c>
      <x:c r="E3002" s="5" t="str">
        <x:f>VLOOKUP(B3002,Sections!$A$5:$I$45,3,FALSE)</x:f>
        <x:v>2024-1</x:v>
      </x:c>
    </x:row>
    <x:row r="3003" ht="21" customHeight="1">
      <x:c r="A3003" s="3" t="str">
        <x:v>2201006</x:v>
      </x:c>
      <x:c r="B3003" s="3" t="str">
        <x:v>SEC029</x:v>
      </x:c>
      <x:c r="C3003" s="3" t="n">
        <x:v>14</x:v>
      </x:c>
      <x:c r="D3003" s="3" t="str">
        <x:v>present</x:v>
      </x:c>
      <x:c r="E3003" s="5" t="str">
        <x:f>VLOOKUP(B3003,Sections!$A$5:$I$45,3,FALSE)</x:f>
        <x:v>2024-1</x:v>
      </x:c>
    </x:row>
    <x:row r="3004" ht="21" customHeight="1">
      <x:c r="A3004" s="3" t="str">
        <x:v>2201006</x:v>
      </x:c>
      <x:c r="B3004" s="3" t="str">
        <x:v>SEC029</x:v>
      </x:c>
      <x:c r="C3004" s="3" t="n">
        <x:v>15</x:v>
      </x:c>
      <x:c r="D3004" s="3" t="str">
        <x:v>present</x:v>
      </x:c>
      <x:c r="E3004" s="5" t="str">
        <x:f>VLOOKUP(B3004,Sections!$A$5:$I$45,3,FALSE)</x:f>
        <x:v>2024-1</x:v>
      </x:c>
    </x:row>
    <x:row r="3005" ht="21" customHeight="1">
      <x:c r="A3005" s="3" t="str">
        <x:v>2201007</x:v>
      </x:c>
      <x:c r="B3005" s="3" t="str">
        <x:v>SEC029</x:v>
      </x:c>
      <x:c r="C3005" s="3" t="n">
        <x:v>1</x:v>
      </x:c>
      <x:c r="D3005" s="3" t="str">
        <x:v>present</x:v>
      </x:c>
      <x:c r="E3005" s="5" t="str">
        <x:f>VLOOKUP(B3005,Sections!$A$5:$I$45,3,FALSE)</x:f>
        <x:v>2024-1</x:v>
      </x:c>
    </x:row>
    <x:row r="3006" ht="21" customHeight="1">
      <x:c r="A3006" s="3" t="str">
        <x:v>2201007</x:v>
      </x:c>
      <x:c r="B3006" s="3" t="str">
        <x:v>SEC029</x:v>
      </x:c>
      <x:c r="C3006" s="3" t="n">
        <x:v>2</x:v>
      </x:c>
      <x:c r="D3006" s="3" t="str">
        <x:v>absent</x:v>
      </x:c>
      <x:c r="E3006" s="5" t="str">
        <x:f>VLOOKUP(B3006,Sections!$A$5:$I$45,3,FALSE)</x:f>
        <x:v>2024-1</x:v>
      </x:c>
    </x:row>
    <x:row r="3007" ht="21" customHeight="1">
      <x:c r="A3007" s="3" t="str">
        <x:v>2201007</x:v>
      </x:c>
      <x:c r="B3007" s="3" t="str">
        <x:v>SEC029</x:v>
      </x:c>
      <x:c r="C3007" s="3" t="n">
        <x:v>3</x:v>
      </x:c>
      <x:c r="D3007" s="3" t="str">
        <x:v>present</x:v>
      </x:c>
      <x:c r="E3007" s="5" t="str">
        <x:f>VLOOKUP(B3007,Sections!$A$5:$I$45,3,FALSE)</x:f>
        <x:v>2024-1</x:v>
      </x:c>
    </x:row>
    <x:row r="3008" ht="21" customHeight="1">
      <x:c r="A3008" s="3" t="str">
        <x:v>2201007</x:v>
      </x:c>
      <x:c r="B3008" s="3" t="str">
        <x:v>SEC029</x:v>
      </x:c>
      <x:c r="C3008" s="3" t="n">
        <x:v>4</x:v>
      </x:c>
      <x:c r="D3008" s="3" t="str">
        <x:v>present</x:v>
      </x:c>
      <x:c r="E3008" s="5" t="str">
        <x:f>VLOOKUP(B3008,Sections!$A$5:$I$45,3,FALSE)</x:f>
        <x:v>2024-1</x:v>
      </x:c>
    </x:row>
    <x:row r="3009" ht="21" customHeight="1">
      <x:c r="A3009" s="3" t="str">
        <x:v>2201007</x:v>
      </x:c>
      <x:c r="B3009" s="3" t="str">
        <x:v>SEC029</x:v>
      </x:c>
      <x:c r="C3009" s="3" t="n">
        <x:v>5</x:v>
      </x:c>
      <x:c r="D3009" s="3" t="str">
        <x:v>excused</x:v>
      </x:c>
      <x:c r="E3009" s="5" t="str">
        <x:f>VLOOKUP(B3009,Sections!$A$5:$I$45,3,FALSE)</x:f>
        <x:v>2024-1</x:v>
      </x:c>
    </x:row>
    <x:row r="3010" ht="21" customHeight="1">
      <x:c r="A3010" s="3" t="str">
        <x:v>2201007</x:v>
      </x:c>
      <x:c r="B3010" s="3" t="str">
        <x:v>SEC029</x:v>
      </x:c>
      <x:c r="C3010" s="3" t="n">
        <x:v>6</x:v>
      </x:c>
      <x:c r="D3010" s="3" t="str">
        <x:v>absent</x:v>
      </x:c>
      <x:c r="E3010" s="5" t="str">
        <x:f>VLOOKUP(B3010,Sections!$A$5:$I$45,3,FALSE)</x:f>
        <x:v>2024-1</x:v>
      </x:c>
    </x:row>
    <x:row r="3011" ht="21" customHeight="1">
      <x:c r="A3011" s="3" t="str">
        <x:v>2201007</x:v>
      </x:c>
      <x:c r="B3011" s="3" t="str">
        <x:v>SEC029</x:v>
      </x:c>
      <x:c r="C3011" s="3" t="n">
        <x:v>7</x:v>
      </x:c>
      <x:c r="D3011" s="3" t="str">
        <x:v>absent</x:v>
      </x:c>
      <x:c r="E3011" s="5" t="str">
        <x:f>VLOOKUP(B3011,Sections!$A$5:$I$45,3,FALSE)</x:f>
        <x:v>2024-1</x:v>
      </x:c>
    </x:row>
    <x:row r="3012" ht="21" customHeight="1">
      <x:c r="A3012" s="3" t="str">
        <x:v>2201007</x:v>
      </x:c>
      <x:c r="B3012" s="3" t="str">
        <x:v>SEC029</x:v>
      </x:c>
      <x:c r="C3012" s="3" t="n">
        <x:v>8</x:v>
      </x:c>
      <x:c r="D3012" s="3" t="str">
        <x:v>present</x:v>
      </x:c>
      <x:c r="E3012" s="5" t="str">
        <x:f>VLOOKUP(B3012,Sections!$A$5:$I$45,3,FALSE)</x:f>
        <x:v>2024-1</x:v>
      </x:c>
    </x:row>
    <x:row r="3013" ht="21" customHeight="1">
      <x:c r="A3013" s="3" t="str">
        <x:v>2201007</x:v>
      </x:c>
      <x:c r="B3013" s="3" t="str">
        <x:v>SEC029</x:v>
      </x:c>
      <x:c r="C3013" s="3" t="n">
        <x:v>9</x:v>
      </x:c>
      <x:c r="D3013" s="3" t="str">
        <x:v>late</x:v>
      </x:c>
      <x:c r="E3013" s="5" t="str">
        <x:f>VLOOKUP(B3013,Sections!$A$5:$I$45,3,FALSE)</x:f>
        <x:v>2024-1</x:v>
      </x:c>
    </x:row>
    <x:row r="3014" ht="21" customHeight="1">
      <x:c r="A3014" s="3" t="str">
        <x:v>2201007</x:v>
      </x:c>
      <x:c r="B3014" s="3" t="str">
        <x:v>SEC029</x:v>
      </x:c>
      <x:c r="C3014" s="3" t="n">
        <x:v>10</x:v>
      </x:c>
      <x:c r="D3014" s="3" t="str">
        <x:v>present</x:v>
      </x:c>
      <x:c r="E3014" s="5" t="str">
        <x:f>VLOOKUP(B3014,Sections!$A$5:$I$45,3,FALSE)</x:f>
        <x:v>2024-1</x:v>
      </x:c>
    </x:row>
    <x:row r="3015" ht="21" customHeight="1">
      <x:c r="A3015" s="3" t="str">
        <x:v>2201007</x:v>
      </x:c>
      <x:c r="B3015" s="3" t="str">
        <x:v>SEC029</x:v>
      </x:c>
      <x:c r="C3015" s="3" t="n">
        <x:v>11</x:v>
      </x:c>
      <x:c r="D3015" s="3" t="str">
        <x:v>late</x:v>
      </x:c>
      <x:c r="E3015" s="5" t="str">
        <x:f>VLOOKUP(B3015,Sections!$A$5:$I$45,3,FALSE)</x:f>
        <x:v>2024-1</x:v>
      </x:c>
    </x:row>
    <x:row r="3016" ht="21" customHeight="1">
      <x:c r="A3016" s="3" t="str">
        <x:v>2201007</x:v>
      </x:c>
      <x:c r="B3016" s="3" t="str">
        <x:v>SEC029</x:v>
      </x:c>
      <x:c r="C3016" s="3" t="n">
        <x:v>12</x:v>
      </x:c>
      <x:c r="D3016" s="3" t="str">
        <x:v>present</x:v>
      </x:c>
      <x:c r="E3016" s="5" t="str">
        <x:f>VLOOKUP(B3016,Sections!$A$5:$I$45,3,FALSE)</x:f>
        <x:v>2024-1</x:v>
      </x:c>
    </x:row>
    <x:row r="3017" ht="21" customHeight="1">
      <x:c r="A3017" s="3" t="str">
        <x:v>2201007</x:v>
      </x:c>
      <x:c r="B3017" s="3" t="str">
        <x:v>SEC029</x:v>
      </x:c>
      <x:c r="C3017" s="3" t="n">
        <x:v>13</x:v>
      </x:c>
      <x:c r="D3017" s="3" t="str">
        <x:v>present</x:v>
      </x:c>
      <x:c r="E3017" s="5" t="str">
        <x:f>VLOOKUP(B3017,Sections!$A$5:$I$45,3,FALSE)</x:f>
        <x:v>2024-1</x:v>
      </x:c>
    </x:row>
    <x:row r="3018" ht="21" customHeight="1">
      <x:c r="A3018" s="3" t="str">
        <x:v>2201007</x:v>
      </x:c>
      <x:c r="B3018" s="3" t="str">
        <x:v>SEC029</x:v>
      </x:c>
      <x:c r="C3018" s="3" t="n">
        <x:v>14</x:v>
      </x:c>
      <x:c r="D3018" s="3" t="str">
        <x:v>present</x:v>
      </x:c>
      <x:c r="E3018" s="5" t="str">
        <x:f>VLOOKUP(B3018,Sections!$A$5:$I$45,3,FALSE)</x:f>
        <x:v>2024-1</x:v>
      </x:c>
    </x:row>
    <x:row r="3019" ht="21" customHeight="1">
      <x:c r="A3019" s="3" t="str">
        <x:v>2201007</x:v>
      </x:c>
      <x:c r="B3019" s="3" t="str">
        <x:v>SEC029</x:v>
      </x:c>
      <x:c r="C3019" s="3" t="n">
        <x:v>15</x:v>
      </x:c>
      <x:c r="D3019" s="3" t="str">
        <x:v>present</x:v>
      </x:c>
      <x:c r="E3019" s="5" t="str">
        <x:f>VLOOKUP(B3019,Sections!$A$5:$I$45,3,FALSE)</x:f>
        <x:v>2024-1</x:v>
      </x:c>
    </x:row>
    <x:row r="3020" ht="21" customHeight="1">
      <x:c r="A3020" s="3" t="str">
        <x:v>2201008</x:v>
      </x:c>
      <x:c r="B3020" s="3" t="str">
        <x:v>SEC029</x:v>
      </x:c>
      <x:c r="C3020" s="3" t="n">
        <x:v>1</x:v>
      </x:c>
      <x:c r="D3020" s="3" t="str">
        <x:v>present</x:v>
      </x:c>
      <x:c r="E3020" s="5" t="str">
        <x:f>VLOOKUP(B3020,Sections!$A$5:$I$45,3,FALSE)</x:f>
        <x:v>2024-1</x:v>
      </x:c>
    </x:row>
    <x:row r="3021" ht="21" customHeight="1">
      <x:c r="A3021" s="3" t="str">
        <x:v>2201008</x:v>
      </x:c>
      <x:c r="B3021" s="3" t="str">
        <x:v>SEC029</x:v>
      </x:c>
      <x:c r="C3021" s="3" t="n">
        <x:v>2</x:v>
      </x:c>
      <x:c r="D3021" s="3" t="str">
        <x:v>present</x:v>
      </x:c>
      <x:c r="E3021" s="5" t="str">
        <x:f>VLOOKUP(B3021,Sections!$A$5:$I$45,3,FALSE)</x:f>
        <x:v>2024-1</x:v>
      </x:c>
    </x:row>
    <x:row r="3022" ht="21" customHeight="1">
      <x:c r="A3022" s="3" t="str">
        <x:v>2201008</x:v>
      </x:c>
      <x:c r="B3022" s="3" t="str">
        <x:v>SEC029</x:v>
      </x:c>
      <x:c r="C3022" s="3" t="n">
        <x:v>3</x:v>
      </x:c>
      <x:c r="D3022" s="3" t="str">
        <x:v>present</x:v>
      </x:c>
      <x:c r="E3022" s="5" t="str">
        <x:f>VLOOKUP(B3022,Sections!$A$5:$I$45,3,FALSE)</x:f>
        <x:v>2024-1</x:v>
      </x:c>
    </x:row>
    <x:row r="3023" ht="21" customHeight="1">
      <x:c r="A3023" s="3" t="str">
        <x:v>2201008</x:v>
      </x:c>
      <x:c r="B3023" s="3" t="str">
        <x:v>SEC029</x:v>
      </x:c>
      <x:c r="C3023" s="3" t="n">
        <x:v>4</x:v>
      </x:c>
      <x:c r="D3023" s="3" t="str">
        <x:v>present</x:v>
      </x:c>
      <x:c r="E3023" s="5" t="str">
        <x:f>VLOOKUP(B3023,Sections!$A$5:$I$45,3,FALSE)</x:f>
        <x:v>2024-1</x:v>
      </x:c>
    </x:row>
    <x:row r="3024" ht="21" customHeight="1">
      <x:c r="A3024" s="3" t="str">
        <x:v>2201008</x:v>
      </x:c>
      <x:c r="B3024" s="3" t="str">
        <x:v>SEC029</x:v>
      </x:c>
      <x:c r="C3024" s="3" t="n">
        <x:v>5</x:v>
      </x:c>
      <x:c r="D3024" s="3" t="str">
        <x:v>present</x:v>
      </x:c>
      <x:c r="E3024" s="5" t="str">
        <x:f>VLOOKUP(B3024,Sections!$A$5:$I$45,3,FALSE)</x:f>
        <x:v>2024-1</x:v>
      </x:c>
    </x:row>
    <x:row r="3025" ht="21" customHeight="1">
      <x:c r="A3025" s="3" t="str">
        <x:v>2201008</x:v>
      </x:c>
      <x:c r="B3025" s="3" t="str">
        <x:v>SEC029</x:v>
      </x:c>
      <x:c r="C3025" s="3" t="n">
        <x:v>6</x:v>
      </x:c>
      <x:c r="D3025" s="3" t="str">
        <x:v>present</x:v>
      </x:c>
      <x:c r="E3025" s="5" t="str">
        <x:f>VLOOKUP(B3025,Sections!$A$5:$I$45,3,FALSE)</x:f>
        <x:v>2024-1</x:v>
      </x:c>
    </x:row>
    <x:row r="3026" ht="21" customHeight="1">
      <x:c r="A3026" s="3" t="str">
        <x:v>2201008</x:v>
      </x:c>
      <x:c r="B3026" s="3" t="str">
        <x:v>SEC029</x:v>
      </x:c>
      <x:c r="C3026" s="3" t="n">
        <x:v>7</x:v>
      </x:c>
      <x:c r="D3026" s="3" t="str">
        <x:v>present</x:v>
      </x:c>
      <x:c r="E3026" s="5" t="str">
        <x:f>VLOOKUP(B3026,Sections!$A$5:$I$45,3,FALSE)</x:f>
        <x:v>2024-1</x:v>
      </x:c>
    </x:row>
    <x:row r="3027" ht="21" customHeight="1">
      <x:c r="A3027" s="3" t="str">
        <x:v>2201008</x:v>
      </x:c>
      <x:c r="B3027" s="3" t="str">
        <x:v>SEC029</x:v>
      </x:c>
      <x:c r="C3027" s="3" t="n">
        <x:v>8</x:v>
      </x:c>
      <x:c r="D3027" s="3" t="str">
        <x:v>present</x:v>
      </x:c>
      <x:c r="E3027" s="5" t="str">
        <x:f>VLOOKUP(B3027,Sections!$A$5:$I$45,3,FALSE)</x:f>
        <x:v>2024-1</x:v>
      </x:c>
    </x:row>
    <x:row r="3028" ht="21" customHeight="1">
      <x:c r="A3028" s="3" t="str">
        <x:v>2201008</x:v>
      </x:c>
      <x:c r="B3028" s="3" t="str">
        <x:v>SEC029</x:v>
      </x:c>
      <x:c r="C3028" s="3" t="n">
        <x:v>9</x:v>
      </x:c>
      <x:c r="D3028" s="3" t="str">
        <x:v>present</x:v>
      </x:c>
      <x:c r="E3028" s="5" t="str">
        <x:f>VLOOKUP(B3028,Sections!$A$5:$I$45,3,FALSE)</x:f>
        <x:v>2024-1</x:v>
      </x:c>
    </x:row>
    <x:row r="3029" ht="21" customHeight="1">
      <x:c r="A3029" s="3" t="str">
        <x:v>2201008</x:v>
      </x:c>
      <x:c r="B3029" s="3" t="str">
        <x:v>SEC029</x:v>
      </x:c>
      <x:c r="C3029" s="3" t="n">
        <x:v>10</x:v>
      </x:c>
      <x:c r="D3029" s="3" t="str">
        <x:v>present</x:v>
      </x:c>
      <x:c r="E3029" s="5" t="str">
        <x:f>VLOOKUP(B3029,Sections!$A$5:$I$45,3,FALSE)</x:f>
        <x:v>2024-1</x:v>
      </x:c>
    </x:row>
    <x:row r="3030" ht="21" customHeight="1">
      <x:c r="A3030" s="3" t="str">
        <x:v>2201008</x:v>
      </x:c>
      <x:c r="B3030" s="3" t="str">
        <x:v>SEC029</x:v>
      </x:c>
      <x:c r="C3030" s="3" t="n">
        <x:v>11</x:v>
      </x:c>
      <x:c r="D3030" s="3" t="str">
        <x:v>present</x:v>
      </x:c>
      <x:c r="E3030" s="5" t="str">
        <x:f>VLOOKUP(B3030,Sections!$A$5:$I$45,3,FALSE)</x:f>
        <x:v>2024-1</x:v>
      </x:c>
    </x:row>
    <x:row r="3031" ht="21" customHeight="1">
      <x:c r="A3031" s="3" t="str">
        <x:v>2201008</x:v>
      </x:c>
      <x:c r="B3031" s="3" t="str">
        <x:v>SEC029</x:v>
      </x:c>
      <x:c r="C3031" s="3" t="n">
        <x:v>12</x:v>
      </x:c>
      <x:c r="D3031" s="3" t="str">
        <x:v>present</x:v>
      </x:c>
      <x:c r="E3031" s="5" t="str">
        <x:f>VLOOKUP(B3031,Sections!$A$5:$I$45,3,FALSE)</x:f>
        <x:v>2024-1</x:v>
      </x:c>
    </x:row>
    <x:row r="3032" ht="21" customHeight="1">
      <x:c r="A3032" s="3" t="str">
        <x:v>2201008</x:v>
      </x:c>
      <x:c r="B3032" s="3" t="str">
        <x:v>SEC029</x:v>
      </x:c>
      <x:c r="C3032" s="3" t="n">
        <x:v>13</x:v>
      </x:c>
      <x:c r="D3032" s="3" t="str">
        <x:v>present</x:v>
      </x:c>
      <x:c r="E3032" s="5" t="str">
        <x:f>VLOOKUP(B3032,Sections!$A$5:$I$45,3,FALSE)</x:f>
        <x:v>2024-1</x:v>
      </x:c>
    </x:row>
    <x:row r="3033" ht="21" customHeight="1">
      <x:c r="A3033" s="3" t="str">
        <x:v>2201008</x:v>
      </x:c>
      <x:c r="B3033" s="3" t="str">
        <x:v>SEC029</x:v>
      </x:c>
      <x:c r="C3033" s="3" t="n">
        <x:v>14</x:v>
      </x:c>
      <x:c r="D3033" s="3" t="str">
        <x:v>present</x:v>
      </x:c>
      <x:c r="E3033" s="5" t="str">
        <x:f>VLOOKUP(B3033,Sections!$A$5:$I$45,3,FALSE)</x:f>
        <x:v>2024-1</x:v>
      </x:c>
    </x:row>
    <x:row r="3034" ht="21" customHeight="1">
      <x:c r="A3034" s="3" t="str">
        <x:v>2201008</x:v>
      </x:c>
      <x:c r="B3034" s="3" t="str">
        <x:v>SEC029</x:v>
      </x:c>
      <x:c r="C3034" s="3" t="n">
        <x:v>15</x:v>
      </x:c>
      <x:c r="D3034" s="3" t="str">
        <x:v>present</x:v>
      </x:c>
      <x:c r="E3034" s="5" t="str">
        <x:f>VLOOKUP(B3034,Sections!$A$5:$I$45,3,FALSE)</x:f>
        <x:v>2024-1</x:v>
      </x:c>
    </x:row>
    <x:row r="3035" ht="21" customHeight="1">
      <x:c r="A3035" s="3" t="str">
        <x:v>2201009</x:v>
      </x:c>
      <x:c r="B3035" s="3" t="str">
        <x:v>SEC029</x:v>
      </x:c>
      <x:c r="C3035" s="3" t="n">
        <x:v>1</x:v>
      </x:c>
      <x:c r="D3035" s="3" t="str">
        <x:v>present</x:v>
      </x:c>
      <x:c r="E3035" s="5" t="str">
        <x:f>VLOOKUP(B3035,Sections!$A$5:$I$45,3,FALSE)</x:f>
        <x:v>2024-1</x:v>
      </x:c>
    </x:row>
    <x:row r="3036" ht="21" customHeight="1">
      <x:c r="A3036" s="3" t="str">
        <x:v>2201009</x:v>
      </x:c>
      <x:c r="B3036" s="3" t="str">
        <x:v>SEC029</x:v>
      </x:c>
      <x:c r="C3036" s="3" t="n">
        <x:v>2</x:v>
      </x:c>
      <x:c r="D3036" s="3" t="str">
        <x:v>present</x:v>
      </x:c>
      <x:c r="E3036" s="5" t="str">
        <x:f>VLOOKUP(B3036,Sections!$A$5:$I$45,3,FALSE)</x:f>
        <x:v>2024-1</x:v>
      </x:c>
    </x:row>
    <x:row r="3037" ht="21" customHeight="1">
      <x:c r="A3037" s="3" t="str">
        <x:v>2201009</x:v>
      </x:c>
      <x:c r="B3037" s="3" t="str">
        <x:v>SEC029</x:v>
      </x:c>
      <x:c r="C3037" s="3" t="n">
        <x:v>3</x:v>
      </x:c>
      <x:c r="D3037" s="3" t="str">
        <x:v>present</x:v>
      </x:c>
      <x:c r="E3037" s="5" t="str">
        <x:f>VLOOKUP(B3037,Sections!$A$5:$I$45,3,FALSE)</x:f>
        <x:v>2024-1</x:v>
      </x:c>
    </x:row>
    <x:row r="3038" ht="21" customHeight="1">
      <x:c r="A3038" s="3" t="str">
        <x:v>2201009</x:v>
      </x:c>
      <x:c r="B3038" s="3" t="str">
        <x:v>SEC029</x:v>
      </x:c>
      <x:c r="C3038" s="3" t="n">
        <x:v>4</x:v>
      </x:c>
      <x:c r="D3038" s="3" t="str">
        <x:v>present</x:v>
      </x:c>
      <x:c r="E3038" s="5" t="str">
        <x:f>VLOOKUP(B3038,Sections!$A$5:$I$45,3,FALSE)</x:f>
        <x:v>2024-1</x:v>
      </x:c>
    </x:row>
    <x:row r="3039" ht="21" customHeight="1">
      <x:c r="A3039" s="3" t="str">
        <x:v>2201009</x:v>
      </x:c>
      <x:c r="B3039" s="3" t="str">
        <x:v>SEC029</x:v>
      </x:c>
      <x:c r="C3039" s="3" t="n">
        <x:v>5</x:v>
      </x:c>
      <x:c r="D3039" s="3" t="str">
        <x:v>present</x:v>
      </x:c>
      <x:c r="E3039" s="5" t="str">
        <x:f>VLOOKUP(B3039,Sections!$A$5:$I$45,3,FALSE)</x:f>
        <x:v>2024-1</x:v>
      </x:c>
    </x:row>
    <x:row r="3040" ht="21" customHeight="1">
      <x:c r="A3040" s="3" t="str">
        <x:v>2201009</x:v>
      </x:c>
      <x:c r="B3040" s="3" t="str">
        <x:v>SEC029</x:v>
      </x:c>
      <x:c r="C3040" s="3" t="n">
        <x:v>6</x:v>
      </x:c>
      <x:c r="D3040" s="3" t="str">
        <x:v>present</x:v>
      </x:c>
      <x:c r="E3040" s="5" t="str">
        <x:f>VLOOKUP(B3040,Sections!$A$5:$I$45,3,FALSE)</x:f>
        <x:v>2024-1</x:v>
      </x:c>
    </x:row>
    <x:row r="3041" ht="21" customHeight="1">
      <x:c r="A3041" s="3" t="str">
        <x:v>2201009</x:v>
      </x:c>
      <x:c r="B3041" s="3" t="str">
        <x:v>SEC029</x:v>
      </x:c>
      <x:c r="C3041" s="3" t="n">
        <x:v>7</x:v>
      </x:c>
      <x:c r="D3041" s="3" t="str">
        <x:v>present</x:v>
      </x:c>
      <x:c r="E3041" s="5" t="str">
        <x:f>VLOOKUP(B3041,Sections!$A$5:$I$45,3,FALSE)</x:f>
        <x:v>2024-1</x:v>
      </x:c>
    </x:row>
    <x:row r="3042" ht="21" customHeight="1">
      <x:c r="A3042" s="3" t="str">
        <x:v>2201009</x:v>
      </x:c>
      <x:c r="B3042" s="3" t="str">
        <x:v>SEC029</x:v>
      </x:c>
      <x:c r="C3042" s="3" t="n">
        <x:v>8</x:v>
      </x:c>
      <x:c r="D3042" s="3" t="str">
        <x:v>present</x:v>
      </x:c>
      <x:c r="E3042" s="5" t="str">
        <x:f>VLOOKUP(B3042,Sections!$A$5:$I$45,3,FALSE)</x:f>
        <x:v>2024-1</x:v>
      </x:c>
    </x:row>
    <x:row r="3043" ht="21" customHeight="1">
      <x:c r="A3043" s="3" t="str">
        <x:v>2201009</x:v>
      </x:c>
      <x:c r="B3043" s="3" t="str">
        <x:v>SEC029</x:v>
      </x:c>
      <x:c r="C3043" s="3" t="n">
        <x:v>9</x:v>
      </x:c>
      <x:c r="D3043" s="3" t="str">
        <x:v>present</x:v>
      </x:c>
      <x:c r="E3043" s="5" t="str">
        <x:f>VLOOKUP(B3043,Sections!$A$5:$I$45,3,FALSE)</x:f>
        <x:v>2024-1</x:v>
      </x:c>
    </x:row>
    <x:row r="3044" ht="21" customHeight="1">
      <x:c r="A3044" s="3" t="str">
        <x:v>2201009</x:v>
      </x:c>
      <x:c r="B3044" s="3" t="str">
        <x:v>SEC029</x:v>
      </x:c>
      <x:c r="C3044" s="3" t="n">
        <x:v>10</x:v>
      </x:c>
      <x:c r="D3044" s="3" t="str">
        <x:v>present</x:v>
      </x:c>
      <x:c r="E3044" s="5" t="str">
        <x:f>VLOOKUP(B3044,Sections!$A$5:$I$45,3,FALSE)</x:f>
        <x:v>2024-1</x:v>
      </x:c>
    </x:row>
    <x:row r="3045" ht="21" customHeight="1">
      <x:c r="A3045" s="3" t="str">
        <x:v>2201009</x:v>
      </x:c>
      <x:c r="B3045" s="3" t="str">
        <x:v>SEC029</x:v>
      </x:c>
      <x:c r="C3045" s="3" t="n">
        <x:v>11</x:v>
      </x:c>
      <x:c r="D3045" s="3" t="str">
        <x:v>present</x:v>
      </x:c>
      <x:c r="E3045" s="5" t="str">
        <x:f>VLOOKUP(B3045,Sections!$A$5:$I$45,3,FALSE)</x:f>
        <x:v>2024-1</x:v>
      </x:c>
    </x:row>
    <x:row r="3046" ht="21" customHeight="1">
      <x:c r="A3046" s="3" t="str">
        <x:v>2201009</x:v>
      </x:c>
      <x:c r="B3046" s="3" t="str">
        <x:v>SEC029</x:v>
      </x:c>
      <x:c r="C3046" s="3" t="n">
        <x:v>12</x:v>
      </x:c>
      <x:c r="D3046" s="3" t="str">
        <x:v>present</x:v>
      </x:c>
      <x:c r="E3046" s="5" t="str">
        <x:f>VLOOKUP(B3046,Sections!$A$5:$I$45,3,FALSE)</x:f>
        <x:v>2024-1</x:v>
      </x:c>
    </x:row>
    <x:row r="3047" ht="21" customHeight="1">
      <x:c r="A3047" s="3" t="str">
        <x:v>2201009</x:v>
      </x:c>
      <x:c r="B3047" s="3" t="str">
        <x:v>SEC029</x:v>
      </x:c>
      <x:c r="C3047" s="3" t="n">
        <x:v>13</x:v>
      </x:c>
      <x:c r="D3047" s="3" t="str">
        <x:v>present</x:v>
      </x:c>
      <x:c r="E3047" s="5" t="str">
        <x:f>VLOOKUP(B3047,Sections!$A$5:$I$45,3,FALSE)</x:f>
        <x:v>2024-1</x:v>
      </x:c>
    </x:row>
    <x:row r="3048" ht="21" customHeight="1">
      <x:c r="A3048" s="3" t="str">
        <x:v>2201009</x:v>
      </x:c>
      <x:c r="B3048" s="3" t="str">
        <x:v>SEC029</x:v>
      </x:c>
      <x:c r="C3048" s="3" t="n">
        <x:v>14</x:v>
      </x:c>
      <x:c r="D3048" s="3" t="str">
        <x:v>present</x:v>
      </x:c>
      <x:c r="E3048" s="5" t="str">
        <x:f>VLOOKUP(B3048,Sections!$A$5:$I$45,3,FALSE)</x:f>
        <x:v>2024-1</x:v>
      </x:c>
    </x:row>
    <x:row r="3049" ht="21" customHeight="1">
      <x:c r="A3049" s="3" t="str">
        <x:v>2201009</x:v>
      </x:c>
      <x:c r="B3049" s="3" t="str">
        <x:v>SEC029</x:v>
      </x:c>
      <x:c r="C3049" s="3" t="n">
        <x:v>15</x:v>
      </x:c>
      <x:c r="D3049" s="3" t="str">
        <x:v>late</x:v>
      </x:c>
      <x:c r="E3049" s="5" t="str">
        <x:f>VLOOKUP(B3049,Sections!$A$5:$I$45,3,FALSE)</x:f>
        <x:v>2024-1</x:v>
      </x:c>
    </x:row>
    <x:row r="3050" ht="21" customHeight="1">
      <x:c r="A3050" s="3" t="str">
        <x:v>2201010</x:v>
      </x:c>
      <x:c r="B3050" s="3" t="str">
        <x:v>SEC029</x:v>
      </x:c>
      <x:c r="C3050" s="3" t="n">
        <x:v>1</x:v>
      </x:c>
      <x:c r="D3050" s="3" t="str">
        <x:v>absent</x:v>
      </x:c>
      <x:c r="E3050" s="5" t="str">
        <x:f>VLOOKUP(B3050,Sections!$A$5:$I$45,3,FALSE)</x:f>
        <x:v>2024-1</x:v>
      </x:c>
    </x:row>
    <x:row r="3051" ht="21" customHeight="1">
      <x:c r="A3051" s="3" t="str">
        <x:v>2201010</x:v>
      </x:c>
      <x:c r="B3051" s="3" t="str">
        <x:v>SEC029</x:v>
      </x:c>
      <x:c r="C3051" s="3" t="n">
        <x:v>2</x:v>
      </x:c>
      <x:c r="D3051" s="3" t="str">
        <x:v>absent</x:v>
      </x:c>
      <x:c r="E3051" s="5" t="str">
        <x:f>VLOOKUP(B3051,Sections!$A$5:$I$45,3,FALSE)</x:f>
        <x:v>2024-1</x:v>
      </x:c>
    </x:row>
    <x:row r="3052" ht="21" customHeight="1">
      <x:c r="A3052" s="3" t="str">
        <x:v>2201010</x:v>
      </x:c>
      <x:c r="B3052" s="3" t="str">
        <x:v>SEC029</x:v>
      </x:c>
      <x:c r="C3052" s="3" t="n">
        <x:v>3</x:v>
      </x:c>
      <x:c r="D3052" s="3" t="str">
        <x:v>late</x:v>
      </x:c>
      <x:c r="E3052" s="5" t="str">
        <x:f>VLOOKUP(B3052,Sections!$A$5:$I$45,3,FALSE)</x:f>
        <x:v>2024-1</x:v>
      </x:c>
    </x:row>
    <x:row r="3053" ht="21" customHeight="1">
      <x:c r="A3053" s="3" t="str">
        <x:v>2201010</x:v>
      </x:c>
      <x:c r="B3053" s="3" t="str">
        <x:v>SEC029</x:v>
      </x:c>
      <x:c r="C3053" s="3" t="n">
        <x:v>4</x:v>
      </x:c>
      <x:c r="D3053" s="3" t="str">
        <x:v>present</x:v>
      </x:c>
      <x:c r="E3053" s="5" t="str">
        <x:f>VLOOKUP(B3053,Sections!$A$5:$I$45,3,FALSE)</x:f>
        <x:v>2024-1</x:v>
      </x:c>
    </x:row>
    <x:row r="3054" ht="21" customHeight="1">
      <x:c r="A3054" s="3" t="str">
        <x:v>2201010</x:v>
      </x:c>
      <x:c r="B3054" s="3" t="str">
        <x:v>SEC029</x:v>
      </x:c>
      <x:c r="C3054" s="3" t="n">
        <x:v>5</x:v>
      </x:c>
      <x:c r="D3054" s="3" t="str">
        <x:v>present</x:v>
      </x:c>
      <x:c r="E3054" s="5" t="str">
        <x:f>VLOOKUP(B3054,Sections!$A$5:$I$45,3,FALSE)</x:f>
        <x:v>2024-1</x:v>
      </x:c>
    </x:row>
    <x:row r="3055" ht="21" customHeight="1">
      <x:c r="A3055" s="3" t="str">
        <x:v>2201010</x:v>
      </x:c>
      <x:c r="B3055" s="3" t="str">
        <x:v>SEC029</x:v>
      </x:c>
      <x:c r="C3055" s="3" t="n">
        <x:v>6</x:v>
      </x:c>
      <x:c r="D3055" s="3" t="str">
        <x:v>absent</x:v>
      </x:c>
      <x:c r="E3055" s="5" t="str">
        <x:f>VLOOKUP(B3055,Sections!$A$5:$I$45,3,FALSE)</x:f>
        <x:v>2024-1</x:v>
      </x:c>
    </x:row>
    <x:row r="3056" ht="21" customHeight="1">
      <x:c r="A3056" s="3" t="str">
        <x:v>2201010</x:v>
      </x:c>
      <x:c r="B3056" s="3" t="str">
        <x:v>SEC029</x:v>
      </x:c>
      <x:c r="C3056" s="3" t="n">
        <x:v>7</x:v>
      </x:c>
      <x:c r="D3056" s="3" t="str">
        <x:v>absent</x:v>
      </x:c>
      <x:c r="E3056" s="5" t="str">
        <x:f>VLOOKUP(B3056,Sections!$A$5:$I$45,3,FALSE)</x:f>
        <x:v>2024-1</x:v>
      </x:c>
    </x:row>
    <x:row r="3057" ht="21" customHeight="1">
      <x:c r="A3057" s="3" t="str">
        <x:v>2201010</x:v>
      </x:c>
      <x:c r="B3057" s="3" t="str">
        <x:v>SEC029</x:v>
      </x:c>
      <x:c r="C3057" s="3" t="n">
        <x:v>8</x:v>
      </x:c>
      <x:c r="D3057" s="3" t="str">
        <x:v>present</x:v>
      </x:c>
      <x:c r="E3057" s="5" t="str">
        <x:f>VLOOKUP(B3057,Sections!$A$5:$I$45,3,FALSE)</x:f>
        <x:v>2024-1</x:v>
      </x:c>
    </x:row>
    <x:row r="3058" ht="21" customHeight="1">
      <x:c r="A3058" s="3" t="str">
        <x:v>2201010</x:v>
      </x:c>
      <x:c r="B3058" s="3" t="str">
        <x:v>SEC029</x:v>
      </x:c>
      <x:c r="C3058" s="3" t="n">
        <x:v>9</x:v>
      </x:c>
      <x:c r="D3058" s="3" t="str">
        <x:v>present</x:v>
      </x:c>
      <x:c r="E3058" s="5" t="str">
        <x:f>VLOOKUP(B3058,Sections!$A$5:$I$45,3,FALSE)</x:f>
        <x:v>2024-1</x:v>
      </x:c>
    </x:row>
    <x:row r="3059" ht="21" customHeight="1">
      <x:c r="A3059" s="3" t="str">
        <x:v>2201010</x:v>
      </x:c>
      <x:c r="B3059" s="3" t="str">
        <x:v>SEC029</x:v>
      </x:c>
      <x:c r="C3059" s="3" t="n">
        <x:v>10</x:v>
      </x:c>
      <x:c r="D3059" s="3" t="str">
        <x:v>late</x:v>
      </x:c>
      <x:c r="E3059" s="5" t="str">
        <x:f>VLOOKUP(B3059,Sections!$A$5:$I$45,3,FALSE)</x:f>
        <x:v>2024-1</x:v>
      </x:c>
    </x:row>
    <x:row r="3060" ht="21" customHeight="1">
      <x:c r="A3060" s="3" t="str">
        <x:v>2201010</x:v>
      </x:c>
      <x:c r="B3060" s="3" t="str">
        <x:v>SEC029</x:v>
      </x:c>
      <x:c r="C3060" s="3" t="n">
        <x:v>11</x:v>
      </x:c>
      <x:c r="D3060" s="3" t="str">
        <x:v>present</x:v>
      </x:c>
      <x:c r="E3060" s="5" t="str">
        <x:f>VLOOKUP(B3060,Sections!$A$5:$I$45,3,FALSE)</x:f>
        <x:v>2024-1</x:v>
      </x:c>
    </x:row>
    <x:row r="3061" ht="21" customHeight="1">
      <x:c r="A3061" s="3" t="str">
        <x:v>2201010</x:v>
      </x:c>
      <x:c r="B3061" s="3" t="str">
        <x:v>SEC029</x:v>
      </x:c>
      <x:c r="C3061" s="3" t="n">
        <x:v>12</x:v>
      </x:c>
      <x:c r="D3061" s="3" t="str">
        <x:v>present</x:v>
      </x:c>
      <x:c r="E3061" s="5" t="str">
        <x:f>VLOOKUP(B3061,Sections!$A$5:$I$45,3,FALSE)</x:f>
        <x:v>2024-1</x:v>
      </x:c>
    </x:row>
    <x:row r="3062" ht="21" customHeight="1">
      <x:c r="A3062" s="3" t="str">
        <x:v>2201010</x:v>
      </x:c>
      <x:c r="B3062" s="3" t="str">
        <x:v>SEC029</x:v>
      </x:c>
      <x:c r="C3062" s="3" t="n">
        <x:v>13</x:v>
      </x:c>
      <x:c r="D3062" s="3" t="str">
        <x:v>present</x:v>
      </x:c>
      <x:c r="E3062" s="5" t="str">
        <x:f>VLOOKUP(B3062,Sections!$A$5:$I$45,3,FALSE)</x:f>
        <x:v>2024-1</x:v>
      </x:c>
    </x:row>
    <x:row r="3063" ht="21" customHeight="1">
      <x:c r="A3063" s="3" t="str">
        <x:v>2201010</x:v>
      </x:c>
      <x:c r="B3063" s="3" t="str">
        <x:v>SEC029</x:v>
      </x:c>
      <x:c r="C3063" s="3" t="n">
        <x:v>14</x:v>
      </x:c>
      <x:c r="D3063" s="3" t="str">
        <x:v>absent</x:v>
      </x:c>
      <x:c r="E3063" s="5" t="str">
        <x:f>VLOOKUP(B3063,Sections!$A$5:$I$45,3,FALSE)</x:f>
        <x:v>2024-1</x:v>
      </x:c>
    </x:row>
    <x:row r="3064" ht="21" customHeight="1">
      <x:c r="A3064" s="3" t="str">
        <x:v>2201010</x:v>
      </x:c>
      <x:c r="B3064" s="3" t="str">
        <x:v>SEC029</x:v>
      </x:c>
      <x:c r="C3064" s="3" t="n">
        <x:v>15</x:v>
      </x:c>
      <x:c r="D3064" s="3" t="str">
        <x:v>present</x:v>
      </x:c>
      <x:c r="E3064" s="5" t="str">
        <x:f>VLOOKUP(B3064,Sections!$A$5:$I$45,3,FALSE)</x:f>
        <x:v>2024-1</x:v>
      </x:c>
    </x:row>
    <x:row r="3065" ht="21" customHeight="1">
      <x:c r="A3065" s="3" t="str">
        <x:v>2201011</x:v>
      </x:c>
      <x:c r="B3065" s="3" t="str">
        <x:v>SEC030</x:v>
      </x:c>
      <x:c r="C3065" s="3" t="n">
        <x:v>1</x:v>
      </x:c>
      <x:c r="D3065" s="3" t="str">
        <x:v>present</x:v>
      </x:c>
      <x:c r="E3065" s="5" t="str">
        <x:f>VLOOKUP(B3065,Sections!$A$5:$I$45,3,FALSE)</x:f>
        <x:v>2024-1</x:v>
      </x:c>
    </x:row>
    <x:row r="3066" ht="21" customHeight="1">
      <x:c r="A3066" s="3" t="str">
        <x:v>2201011</x:v>
      </x:c>
      <x:c r="B3066" s="3" t="str">
        <x:v>SEC030</x:v>
      </x:c>
      <x:c r="C3066" s="3" t="n">
        <x:v>2</x:v>
      </x:c>
      <x:c r="D3066" s="3" t="str">
        <x:v>present</x:v>
      </x:c>
      <x:c r="E3066" s="5" t="str">
        <x:f>VLOOKUP(B3066,Sections!$A$5:$I$45,3,FALSE)</x:f>
        <x:v>2024-1</x:v>
      </x:c>
    </x:row>
    <x:row r="3067" ht="21" customHeight="1">
      <x:c r="A3067" s="3" t="str">
        <x:v>2201011</x:v>
      </x:c>
      <x:c r="B3067" s="3" t="str">
        <x:v>SEC030</x:v>
      </x:c>
      <x:c r="C3067" s="3" t="n">
        <x:v>3</x:v>
      </x:c>
      <x:c r="D3067" s="3" t="str">
        <x:v>present</x:v>
      </x:c>
      <x:c r="E3067" s="5" t="str">
        <x:f>VLOOKUP(B3067,Sections!$A$5:$I$45,3,FALSE)</x:f>
        <x:v>2024-1</x:v>
      </x:c>
    </x:row>
    <x:row r="3068" ht="21" customHeight="1">
      <x:c r="A3068" s="3" t="str">
        <x:v>2201011</x:v>
      </x:c>
      <x:c r="B3068" s="3" t="str">
        <x:v>SEC030</x:v>
      </x:c>
      <x:c r="C3068" s="3" t="n">
        <x:v>4</x:v>
      </x:c>
      <x:c r="D3068" s="3" t="str">
        <x:v>present</x:v>
      </x:c>
      <x:c r="E3068" s="5" t="str">
        <x:f>VLOOKUP(B3068,Sections!$A$5:$I$45,3,FALSE)</x:f>
        <x:v>2024-1</x:v>
      </x:c>
    </x:row>
    <x:row r="3069" ht="21" customHeight="1">
      <x:c r="A3069" s="3" t="str">
        <x:v>2201011</x:v>
      </x:c>
      <x:c r="B3069" s="3" t="str">
        <x:v>SEC030</x:v>
      </x:c>
      <x:c r="C3069" s="3" t="n">
        <x:v>5</x:v>
      </x:c>
      <x:c r="D3069" s="3" t="str">
        <x:v>present</x:v>
      </x:c>
      <x:c r="E3069" s="5" t="str">
        <x:f>VLOOKUP(B3069,Sections!$A$5:$I$45,3,FALSE)</x:f>
        <x:v>2024-1</x:v>
      </x:c>
    </x:row>
    <x:row r="3070" ht="21" customHeight="1">
      <x:c r="A3070" s="3" t="str">
        <x:v>2201011</x:v>
      </x:c>
      <x:c r="B3070" s="3" t="str">
        <x:v>SEC030</x:v>
      </x:c>
      <x:c r="C3070" s="3" t="n">
        <x:v>6</x:v>
      </x:c>
      <x:c r="D3070" s="3" t="str">
        <x:v>present</x:v>
      </x:c>
      <x:c r="E3070" s="5" t="str">
        <x:f>VLOOKUP(B3070,Sections!$A$5:$I$45,3,FALSE)</x:f>
        <x:v>2024-1</x:v>
      </x:c>
    </x:row>
    <x:row r="3071" ht="21" customHeight="1">
      <x:c r="A3071" s="3" t="str">
        <x:v>2201011</x:v>
      </x:c>
      <x:c r="B3071" s="3" t="str">
        <x:v>SEC030</x:v>
      </x:c>
      <x:c r="C3071" s="3" t="n">
        <x:v>7</x:v>
      </x:c>
      <x:c r="D3071" s="3" t="str">
        <x:v>present</x:v>
      </x:c>
      <x:c r="E3071" s="5" t="str">
        <x:f>VLOOKUP(B3071,Sections!$A$5:$I$45,3,FALSE)</x:f>
        <x:v>2024-1</x:v>
      </x:c>
    </x:row>
    <x:row r="3072" ht="21" customHeight="1">
      <x:c r="A3072" s="3" t="str">
        <x:v>2201011</x:v>
      </x:c>
      <x:c r="B3072" s="3" t="str">
        <x:v>SEC030</x:v>
      </x:c>
      <x:c r="C3072" s="3" t="n">
        <x:v>8</x:v>
      </x:c>
      <x:c r="D3072" s="3" t="str">
        <x:v>present</x:v>
      </x:c>
      <x:c r="E3072" s="5" t="str">
        <x:f>VLOOKUP(B3072,Sections!$A$5:$I$45,3,FALSE)</x:f>
        <x:v>2024-1</x:v>
      </x:c>
    </x:row>
    <x:row r="3073" ht="21" customHeight="1">
      <x:c r="A3073" s="3" t="str">
        <x:v>2201011</x:v>
      </x:c>
      <x:c r="B3073" s="3" t="str">
        <x:v>SEC030</x:v>
      </x:c>
      <x:c r="C3073" s="3" t="n">
        <x:v>9</x:v>
      </x:c>
      <x:c r="D3073" s="3" t="str">
        <x:v>present</x:v>
      </x:c>
      <x:c r="E3073" s="5" t="str">
        <x:f>VLOOKUP(B3073,Sections!$A$5:$I$45,3,FALSE)</x:f>
        <x:v>2024-1</x:v>
      </x:c>
    </x:row>
    <x:row r="3074" ht="21" customHeight="1">
      <x:c r="A3074" s="3" t="str">
        <x:v>2201011</x:v>
      </x:c>
      <x:c r="B3074" s="3" t="str">
        <x:v>SEC030</x:v>
      </x:c>
      <x:c r="C3074" s="3" t="n">
        <x:v>10</x:v>
      </x:c>
      <x:c r="D3074" s="3" t="str">
        <x:v>present</x:v>
      </x:c>
      <x:c r="E3074" s="5" t="str">
        <x:f>VLOOKUP(B3074,Sections!$A$5:$I$45,3,FALSE)</x:f>
        <x:v>2024-1</x:v>
      </x:c>
    </x:row>
    <x:row r="3075" ht="21" customHeight="1">
      <x:c r="A3075" s="3" t="str">
        <x:v>2201011</x:v>
      </x:c>
      <x:c r="B3075" s="3" t="str">
        <x:v>SEC030</x:v>
      </x:c>
      <x:c r="C3075" s="3" t="n">
        <x:v>11</x:v>
      </x:c>
      <x:c r="D3075" s="3" t="str">
        <x:v>present</x:v>
      </x:c>
      <x:c r="E3075" s="5" t="str">
        <x:f>VLOOKUP(B3075,Sections!$A$5:$I$45,3,FALSE)</x:f>
        <x:v>2024-1</x:v>
      </x:c>
    </x:row>
    <x:row r="3076" ht="21" customHeight="1">
      <x:c r="A3076" s="3" t="str">
        <x:v>2201011</x:v>
      </x:c>
      <x:c r="B3076" s="3" t="str">
        <x:v>SEC030</x:v>
      </x:c>
      <x:c r="C3076" s="3" t="n">
        <x:v>12</x:v>
      </x:c>
      <x:c r="D3076" s="3" t="str">
        <x:v>late</x:v>
      </x:c>
      <x:c r="E3076" s="5" t="str">
        <x:f>VLOOKUP(B3076,Sections!$A$5:$I$45,3,FALSE)</x:f>
        <x:v>2024-1</x:v>
      </x:c>
    </x:row>
    <x:row r="3077" ht="21" customHeight="1">
      <x:c r="A3077" s="3" t="str">
        <x:v>2201011</x:v>
      </x:c>
      <x:c r="B3077" s="3" t="str">
        <x:v>SEC030</x:v>
      </x:c>
      <x:c r="C3077" s="3" t="n">
        <x:v>13</x:v>
      </x:c>
      <x:c r="D3077" s="3" t="str">
        <x:v>present</x:v>
      </x:c>
      <x:c r="E3077" s="5" t="str">
        <x:f>VLOOKUP(B3077,Sections!$A$5:$I$45,3,FALSE)</x:f>
        <x:v>2024-1</x:v>
      </x:c>
    </x:row>
    <x:row r="3078" ht="21" customHeight="1">
      <x:c r="A3078" s="3" t="str">
        <x:v>2201011</x:v>
      </x:c>
      <x:c r="B3078" s="3" t="str">
        <x:v>SEC030</x:v>
      </x:c>
      <x:c r="C3078" s="3" t="n">
        <x:v>14</x:v>
      </x:c>
      <x:c r="D3078" s="3" t="str">
        <x:v>present</x:v>
      </x:c>
      <x:c r="E3078" s="5" t="str">
        <x:f>VLOOKUP(B3078,Sections!$A$5:$I$45,3,FALSE)</x:f>
        <x:v>2024-1</x:v>
      </x:c>
    </x:row>
    <x:row r="3079" ht="21" customHeight="1">
      <x:c r="A3079" s="3" t="str">
        <x:v>2201011</x:v>
      </x:c>
      <x:c r="B3079" s="3" t="str">
        <x:v>SEC030</x:v>
      </x:c>
      <x:c r="C3079" s="3" t="n">
        <x:v>15</x:v>
      </x:c>
      <x:c r="D3079" s="3" t="str">
        <x:v>present</x:v>
      </x:c>
      <x:c r="E3079" s="5" t="str">
        <x:f>VLOOKUP(B3079,Sections!$A$5:$I$45,3,FALSE)</x:f>
        <x:v>2024-1</x:v>
      </x:c>
    </x:row>
    <x:row r="3080" ht="21" customHeight="1">
      <x:c r="A3080" s="3" t="str">
        <x:v>2201012</x:v>
      </x:c>
      <x:c r="B3080" s="3" t="str">
        <x:v>SEC030</x:v>
      </x:c>
      <x:c r="C3080" s="3" t="n">
        <x:v>1</x:v>
      </x:c>
      <x:c r="D3080" s="3" t="str">
        <x:v>present</x:v>
      </x:c>
      <x:c r="E3080" s="5" t="str">
        <x:f>VLOOKUP(B3080,Sections!$A$5:$I$45,3,FALSE)</x:f>
        <x:v>2024-1</x:v>
      </x:c>
    </x:row>
    <x:row r="3081" ht="21" customHeight="1">
      <x:c r="A3081" s="3" t="str">
        <x:v>2201012</x:v>
      </x:c>
      <x:c r="B3081" s="3" t="str">
        <x:v>SEC030</x:v>
      </x:c>
      <x:c r="C3081" s="3" t="n">
        <x:v>2</x:v>
      </x:c>
      <x:c r="D3081" s="3" t="str">
        <x:v>present</x:v>
      </x:c>
      <x:c r="E3081" s="5" t="str">
        <x:f>VLOOKUP(B3081,Sections!$A$5:$I$45,3,FALSE)</x:f>
        <x:v>2024-1</x:v>
      </x:c>
    </x:row>
    <x:row r="3082" ht="21" customHeight="1">
      <x:c r="A3082" s="3" t="str">
        <x:v>2201012</x:v>
      </x:c>
      <x:c r="B3082" s="3" t="str">
        <x:v>SEC030</x:v>
      </x:c>
      <x:c r="C3082" s="3" t="n">
        <x:v>3</x:v>
      </x:c>
      <x:c r="D3082" s="3" t="str">
        <x:v>present</x:v>
      </x:c>
      <x:c r="E3082" s="5" t="str">
        <x:f>VLOOKUP(B3082,Sections!$A$5:$I$45,3,FALSE)</x:f>
        <x:v>2024-1</x:v>
      </x:c>
    </x:row>
    <x:row r="3083" ht="21" customHeight="1">
      <x:c r="A3083" s="3" t="str">
        <x:v>2201012</x:v>
      </x:c>
      <x:c r="B3083" s="3" t="str">
        <x:v>SEC030</x:v>
      </x:c>
      <x:c r="C3083" s="3" t="n">
        <x:v>4</x:v>
      </x:c>
      <x:c r="D3083" s="3" t="str">
        <x:v>present</x:v>
      </x:c>
      <x:c r="E3083" s="5" t="str">
        <x:f>VLOOKUP(B3083,Sections!$A$5:$I$45,3,FALSE)</x:f>
        <x:v>2024-1</x:v>
      </x:c>
    </x:row>
    <x:row r="3084" ht="21" customHeight="1">
      <x:c r="A3084" s="3" t="str">
        <x:v>2201012</x:v>
      </x:c>
      <x:c r="B3084" s="3" t="str">
        <x:v>SEC030</x:v>
      </x:c>
      <x:c r="C3084" s="3" t="n">
        <x:v>5</x:v>
      </x:c>
      <x:c r="D3084" s="3" t="str">
        <x:v>present</x:v>
      </x:c>
      <x:c r="E3084" s="5" t="str">
        <x:f>VLOOKUP(B3084,Sections!$A$5:$I$45,3,FALSE)</x:f>
        <x:v>2024-1</x:v>
      </x:c>
    </x:row>
    <x:row r="3085" ht="21" customHeight="1">
      <x:c r="A3085" s="3" t="str">
        <x:v>2201012</x:v>
      </x:c>
      <x:c r="B3085" s="3" t="str">
        <x:v>SEC030</x:v>
      </x:c>
      <x:c r="C3085" s="3" t="n">
        <x:v>6</x:v>
      </x:c>
      <x:c r="D3085" s="3" t="str">
        <x:v>present</x:v>
      </x:c>
      <x:c r="E3085" s="5" t="str">
        <x:f>VLOOKUP(B3085,Sections!$A$5:$I$45,3,FALSE)</x:f>
        <x:v>2024-1</x:v>
      </x:c>
    </x:row>
    <x:row r="3086" ht="21" customHeight="1">
      <x:c r="A3086" s="3" t="str">
        <x:v>2201012</x:v>
      </x:c>
      <x:c r="B3086" s="3" t="str">
        <x:v>SEC030</x:v>
      </x:c>
      <x:c r="C3086" s="3" t="n">
        <x:v>7</x:v>
      </x:c>
      <x:c r="D3086" s="3" t="str">
        <x:v>present</x:v>
      </x:c>
      <x:c r="E3086" s="5" t="str">
        <x:f>VLOOKUP(B3086,Sections!$A$5:$I$45,3,FALSE)</x:f>
        <x:v>2024-1</x:v>
      </x:c>
    </x:row>
    <x:row r="3087" ht="21" customHeight="1">
      <x:c r="A3087" s="3" t="str">
        <x:v>2201012</x:v>
      </x:c>
      <x:c r="B3087" s="3" t="str">
        <x:v>SEC030</x:v>
      </x:c>
      <x:c r="C3087" s="3" t="n">
        <x:v>8</x:v>
      </x:c>
      <x:c r="D3087" s="3" t="str">
        <x:v>present</x:v>
      </x:c>
      <x:c r="E3087" s="5" t="str">
        <x:f>VLOOKUP(B3087,Sections!$A$5:$I$45,3,FALSE)</x:f>
        <x:v>2024-1</x:v>
      </x:c>
    </x:row>
    <x:row r="3088" ht="21" customHeight="1">
      <x:c r="A3088" s="3" t="str">
        <x:v>2201012</x:v>
      </x:c>
      <x:c r="B3088" s="3" t="str">
        <x:v>SEC030</x:v>
      </x:c>
      <x:c r="C3088" s="3" t="n">
        <x:v>9</x:v>
      </x:c>
      <x:c r="D3088" s="3" t="str">
        <x:v>present</x:v>
      </x:c>
      <x:c r="E3088" s="5" t="str">
        <x:f>VLOOKUP(B3088,Sections!$A$5:$I$45,3,FALSE)</x:f>
        <x:v>2024-1</x:v>
      </x:c>
    </x:row>
    <x:row r="3089" ht="21" customHeight="1">
      <x:c r="A3089" s="3" t="str">
        <x:v>2201012</x:v>
      </x:c>
      <x:c r="B3089" s="3" t="str">
        <x:v>SEC030</x:v>
      </x:c>
      <x:c r="C3089" s="3" t="n">
        <x:v>10</x:v>
      </x:c>
      <x:c r="D3089" s="3" t="str">
        <x:v>present</x:v>
      </x:c>
      <x:c r="E3089" s="5" t="str">
        <x:f>VLOOKUP(B3089,Sections!$A$5:$I$45,3,FALSE)</x:f>
        <x:v>2024-1</x:v>
      </x:c>
    </x:row>
    <x:row r="3090" ht="21" customHeight="1">
      <x:c r="A3090" s="3" t="str">
        <x:v>2201012</x:v>
      </x:c>
      <x:c r="B3090" s="3" t="str">
        <x:v>SEC030</x:v>
      </x:c>
      <x:c r="C3090" s="3" t="n">
        <x:v>11</x:v>
      </x:c>
      <x:c r="D3090" s="3" t="str">
        <x:v>present</x:v>
      </x:c>
      <x:c r="E3090" s="5" t="str">
        <x:f>VLOOKUP(B3090,Sections!$A$5:$I$45,3,FALSE)</x:f>
        <x:v>2024-1</x:v>
      </x:c>
    </x:row>
    <x:row r="3091" ht="21" customHeight="1">
      <x:c r="A3091" s="3" t="str">
        <x:v>2201012</x:v>
      </x:c>
      <x:c r="B3091" s="3" t="str">
        <x:v>SEC030</x:v>
      </x:c>
      <x:c r="C3091" s="3" t="n">
        <x:v>12</x:v>
      </x:c>
      <x:c r="D3091" s="3" t="str">
        <x:v>absent</x:v>
      </x:c>
      <x:c r="E3091" s="5" t="str">
        <x:f>VLOOKUP(B3091,Sections!$A$5:$I$45,3,FALSE)</x:f>
        <x:v>2024-1</x:v>
      </x:c>
    </x:row>
    <x:row r="3092" ht="21" customHeight="1">
      <x:c r="A3092" s="3" t="str">
        <x:v>2201012</x:v>
      </x:c>
      <x:c r="B3092" s="3" t="str">
        <x:v>SEC030</x:v>
      </x:c>
      <x:c r="C3092" s="3" t="n">
        <x:v>13</x:v>
      </x:c>
      <x:c r="D3092" s="3" t="str">
        <x:v>late</x:v>
      </x:c>
      <x:c r="E3092" s="5" t="str">
        <x:f>VLOOKUP(B3092,Sections!$A$5:$I$45,3,FALSE)</x:f>
        <x:v>2024-1</x:v>
      </x:c>
    </x:row>
    <x:row r="3093" ht="21" customHeight="1">
      <x:c r="A3093" s="3" t="str">
        <x:v>2201012</x:v>
      </x:c>
      <x:c r="B3093" s="3" t="str">
        <x:v>SEC030</x:v>
      </x:c>
      <x:c r="C3093" s="3" t="n">
        <x:v>14</x:v>
      </x:c>
      <x:c r="D3093" s="3" t="str">
        <x:v>present</x:v>
      </x:c>
      <x:c r="E3093" s="5" t="str">
        <x:f>VLOOKUP(B3093,Sections!$A$5:$I$45,3,FALSE)</x:f>
        <x:v>2024-1</x:v>
      </x:c>
    </x:row>
    <x:row r="3094" ht="21" customHeight="1">
      <x:c r="A3094" s="3" t="str">
        <x:v>2201012</x:v>
      </x:c>
      <x:c r="B3094" s="3" t="str">
        <x:v>SEC030</x:v>
      </x:c>
      <x:c r="C3094" s="3" t="n">
        <x:v>15</x:v>
      </x:c>
      <x:c r="D3094" s="3" t="str">
        <x:v>present</x:v>
      </x:c>
      <x:c r="E3094" s="5" t="str">
        <x:f>VLOOKUP(B3094,Sections!$A$5:$I$45,3,FALSE)</x:f>
        <x:v>2024-1</x:v>
      </x:c>
    </x:row>
    <x:row r="3095" ht="21" customHeight="1">
      <x:c r="A3095" s="3" t="str">
        <x:v>2201013</x:v>
      </x:c>
      <x:c r="B3095" s="3" t="str">
        <x:v>SEC030</x:v>
      </x:c>
      <x:c r="C3095" s="3" t="n">
        <x:v>1</x:v>
      </x:c>
      <x:c r="D3095" s="3" t="str">
        <x:v>present</x:v>
      </x:c>
      <x:c r="E3095" s="5" t="str">
        <x:f>VLOOKUP(B3095,Sections!$A$5:$I$45,3,FALSE)</x:f>
        <x:v>2024-1</x:v>
      </x:c>
    </x:row>
    <x:row r="3096" ht="21" customHeight="1">
      <x:c r="A3096" s="3" t="str">
        <x:v>2201013</x:v>
      </x:c>
      <x:c r="B3096" s="3" t="str">
        <x:v>SEC030</x:v>
      </x:c>
      <x:c r="C3096" s="3" t="n">
        <x:v>2</x:v>
      </x:c>
      <x:c r="D3096" s="3" t="str">
        <x:v>present</x:v>
      </x:c>
      <x:c r="E3096" s="5" t="str">
        <x:f>VLOOKUP(B3096,Sections!$A$5:$I$45,3,FALSE)</x:f>
        <x:v>2024-1</x:v>
      </x:c>
    </x:row>
    <x:row r="3097" ht="21" customHeight="1">
      <x:c r="A3097" s="3" t="str">
        <x:v>2201013</x:v>
      </x:c>
      <x:c r="B3097" s="3" t="str">
        <x:v>SEC030</x:v>
      </x:c>
      <x:c r="C3097" s="3" t="n">
        <x:v>3</x:v>
      </x:c>
      <x:c r="D3097" s="3" t="str">
        <x:v>present</x:v>
      </x:c>
      <x:c r="E3097" s="5" t="str">
        <x:f>VLOOKUP(B3097,Sections!$A$5:$I$45,3,FALSE)</x:f>
        <x:v>2024-1</x:v>
      </x:c>
    </x:row>
    <x:row r="3098" ht="21" customHeight="1">
      <x:c r="A3098" s="3" t="str">
        <x:v>2201013</x:v>
      </x:c>
      <x:c r="B3098" s="3" t="str">
        <x:v>SEC030</x:v>
      </x:c>
      <x:c r="C3098" s="3" t="n">
        <x:v>4</x:v>
      </x:c>
      <x:c r="D3098" s="3" t="str">
        <x:v>present</x:v>
      </x:c>
      <x:c r="E3098" s="5" t="str">
        <x:f>VLOOKUP(B3098,Sections!$A$5:$I$45,3,FALSE)</x:f>
        <x:v>2024-1</x:v>
      </x:c>
    </x:row>
    <x:row r="3099" ht="21" customHeight="1">
      <x:c r="A3099" s="3" t="str">
        <x:v>2201013</x:v>
      </x:c>
      <x:c r="B3099" s="3" t="str">
        <x:v>SEC030</x:v>
      </x:c>
      <x:c r="C3099" s="3" t="n">
        <x:v>5</x:v>
      </x:c>
      <x:c r="D3099" s="3" t="str">
        <x:v>present</x:v>
      </x:c>
      <x:c r="E3099" s="5" t="str">
        <x:f>VLOOKUP(B3099,Sections!$A$5:$I$45,3,FALSE)</x:f>
        <x:v>2024-1</x:v>
      </x:c>
    </x:row>
    <x:row r="3100" ht="21" customHeight="1">
      <x:c r="A3100" s="3" t="str">
        <x:v>2201013</x:v>
      </x:c>
      <x:c r="B3100" s="3" t="str">
        <x:v>SEC030</x:v>
      </x:c>
      <x:c r="C3100" s="3" t="n">
        <x:v>6</x:v>
      </x:c>
      <x:c r="D3100" s="3" t="str">
        <x:v>present</x:v>
      </x:c>
      <x:c r="E3100" s="5" t="str">
        <x:f>VLOOKUP(B3100,Sections!$A$5:$I$45,3,FALSE)</x:f>
        <x:v>2024-1</x:v>
      </x:c>
    </x:row>
    <x:row r="3101" ht="21" customHeight="1">
      <x:c r="A3101" s="3" t="str">
        <x:v>2201013</x:v>
      </x:c>
      <x:c r="B3101" s="3" t="str">
        <x:v>SEC030</x:v>
      </x:c>
      <x:c r="C3101" s="3" t="n">
        <x:v>7</x:v>
      </x:c>
      <x:c r="D3101" s="3" t="str">
        <x:v>late</x:v>
      </x:c>
      <x:c r="E3101" s="5" t="str">
        <x:f>VLOOKUP(B3101,Sections!$A$5:$I$45,3,FALSE)</x:f>
        <x:v>2024-1</x:v>
      </x:c>
    </x:row>
    <x:row r="3102" ht="21" customHeight="1">
      <x:c r="A3102" s="3" t="str">
        <x:v>2201013</x:v>
      </x:c>
      <x:c r="B3102" s="3" t="str">
        <x:v>SEC030</x:v>
      </x:c>
      <x:c r="C3102" s="3" t="n">
        <x:v>8</x:v>
      </x:c>
      <x:c r="D3102" s="3" t="str">
        <x:v>present</x:v>
      </x:c>
      <x:c r="E3102" s="5" t="str">
        <x:f>VLOOKUP(B3102,Sections!$A$5:$I$45,3,FALSE)</x:f>
        <x:v>2024-1</x:v>
      </x:c>
    </x:row>
    <x:row r="3103" ht="21" customHeight="1">
      <x:c r="A3103" s="3" t="str">
        <x:v>2201013</x:v>
      </x:c>
      <x:c r="B3103" s="3" t="str">
        <x:v>SEC030</x:v>
      </x:c>
      <x:c r="C3103" s="3" t="n">
        <x:v>9</x:v>
      </x:c>
      <x:c r="D3103" s="3" t="str">
        <x:v>present</x:v>
      </x:c>
      <x:c r="E3103" s="5" t="str">
        <x:f>VLOOKUP(B3103,Sections!$A$5:$I$45,3,FALSE)</x:f>
        <x:v>2024-1</x:v>
      </x:c>
    </x:row>
    <x:row r="3104" ht="21" customHeight="1">
      <x:c r="A3104" s="3" t="str">
        <x:v>2201013</x:v>
      </x:c>
      <x:c r="B3104" s="3" t="str">
        <x:v>SEC030</x:v>
      </x:c>
      <x:c r="C3104" s="3" t="n">
        <x:v>10</x:v>
      </x:c>
      <x:c r="D3104" s="3" t="str">
        <x:v>excused</x:v>
      </x:c>
      <x:c r="E3104" s="5" t="str">
        <x:f>VLOOKUP(B3104,Sections!$A$5:$I$45,3,FALSE)</x:f>
        <x:v>2024-1</x:v>
      </x:c>
    </x:row>
    <x:row r="3105" ht="21" customHeight="1">
      <x:c r="A3105" s="3" t="str">
        <x:v>2201013</x:v>
      </x:c>
      <x:c r="B3105" s="3" t="str">
        <x:v>SEC030</x:v>
      </x:c>
      <x:c r="C3105" s="3" t="n">
        <x:v>11</x:v>
      </x:c>
      <x:c r="D3105" s="3" t="str">
        <x:v>present</x:v>
      </x:c>
      <x:c r="E3105" s="5" t="str">
        <x:f>VLOOKUP(B3105,Sections!$A$5:$I$45,3,FALSE)</x:f>
        <x:v>2024-1</x:v>
      </x:c>
    </x:row>
    <x:row r="3106" ht="21" customHeight="1">
      <x:c r="A3106" s="3" t="str">
        <x:v>2201013</x:v>
      </x:c>
      <x:c r="B3106" s="3" t="str">
        <x:v>SEC030</x:v>
      </x:c>
      <x:c r="C3106" s="3" t="n">
        <x:v>12</x:v>
      </x:c>
      <x:c r="D3106" s="3" t="str">
        <x:v>present</x:v>
      </x:c>
      <x:c r="E3106" s="5" t="str">
        <x:f>VLOOKUP(B3106,Sections!$A$5:$I$45,3,FALSE)</x:f>
        <x:v>2024-1</x:v>
      </x:c>
    </x:row>
    <x:row r="3107" ht="21" customHeight="1">
      <x:c r="A3107" s="3" t="str">
        <x:v>2201013</x:v>
      </x:c>
      <x:c r="B3107" s="3" t="str">
        <x:v>SEC030</x:v>
      </x:c>
      <x:c r="C3107" s="3" t="n">
        <x:v>13</x:v>
      </x:c>
      <x:c r="D3107" s="3" t="str">
        <x:v>present</x:v>
      </x:c>
      <x:c r="E3107" s="5" t="str">
        <x:f>VLOOKUP(B3107,Sections!$A$5:$I$45,3,FALSE)</x:f>
        <x:v>2024-1</x:v>
      </x:c>
    </x:row>
    <x:row r="3108" ht="21" customHeight="1">
      <x:c r="A3108" s="3" t="str">
        <x:v>2201013</x:v>
      </x:c>
      <x:c r="B3108" s="3" t="str">
        <x:v>SEC030</x:v>
      </x:c>
      <x:c r="C3108" s="3" t="n">
        <x:v>14</x:v>
      </x:c>
      <x:c r="D3108" s="3" t="str">
        <x:v>present</x:v>
      </x:c>
      <x:c r="E3108" s="5" t="str">
        <x:f>VLOOKUP(B3108,Sections!$A$5:$I$45,3,FALSE)</x:f>
        <x:v>2024-1</x:v>
      </x:c>
    </x:row>
    <x:row r="3109" ht="21" customHeight="1">
      <x:c r="A3109" s="3" t="str">
        <x:v>2201013</x:v>
      </x:c>
      <x:c r="B3109" s="3" t="str">
        <x:v>SEC030</x:v>
      </x:c>
      <x:c r="C3109" s="3" t="n">
        <x:v>15</x:v>
      </x:c>
      <x:c r="D3109" s="3" t="str">
        <x:v>present</x:v>
      </x:c>
      <x:c r="E3109" s="5" t="str">
        <x:f>VLOOKUP(B3109,Sections!$A$5:$I$45,3,FALSE)</x:f>
        <x:v>2024-1</x:v>
      </x:c>
    </x:row>
    <x:row r="3110" ht="21" customHeight="1">
      <x:c r="A3110" s="3" t="str">
        <x:v>2201014</x:v>
      </x:c>
      <x:c r="B3110" s="3" t="str">
        <x:v>SEC030</x:v>
      </x:c>
      <x:c r="C3110" s="3" t="n">
        <x:v>1</x:v>
      </x:c>
      <x:c r="D3110" s="3" t="str">
        <x:v>excused</x:v>
      </x:c>
      <x:c r="E3110" s="5" t="str">
        <x:f>VLOOKUP(B3110,Sections!$A$5:$I$45,3,FALSE)</x:f>
        <x:v>2024-1</x:v>
      </x:c>
    </x:row>
    <x:row r="3111" ht="21" customHeight="1">
      <x:c r="A3111" s="3" t="str">
        <x:v>2201014</x:v>
      </x:c>
      <x:c r="B3111" s="3" t="str">
        <x:v>SEC030</x:v>
      </x:c>
      <x:c r="C3111" s="3" t="n">
        <x:v>2</x:v>
      </x:c>
      <x:c r="D3111" s="3" t="str">
        <x:v>present</x:v>
      </x:c>
      <x:c r="E3111" s="5" t="str">
        <x:f>VLOOKUP(B3111,Sections!$A$5:$I$45,3,FALSE)</x:f>
        <x:v>2024-1</x:v>
      </x:c>
    </x:row>
    <x:row r="3112" ht="21" customHeight="1">
      <x:c r="A3112" s="3" t="str">
        <x:v>2201014</x:v>
      </x:c>
      <x:c r="B3112" s="3" t="str">
        <x:v>SEC030</x:v>
      </x:c>
      <x:c r="C3112" s="3" t="n">
        <x:v>3</x:v>
      </x:c>
      <x:c r="D3112" s="3" t="str">
        <x:v>present</x:v>
      </x:c>
      <x:c r="E3112" s="5" t="str">
        <x:f>VLOOKUP(B3112,Sections!$A$5:$I$45,3,FALSE)</x:f>
        <x:v>2024-1</x:v>
      </x:c>
    </x:row>
    <x:row r="3113" ht="21" customHeight="1">
      <x:c r="A3113" s="3" t="str">
        <x:v>2201014</x:v>
      </x:c>
      <x:c r="B3113" s="3" t="str">
        <x:v>SEC030</x:v>
      </x:c>
      <x:c r="C3113" s="3" t="n">
        <x:v>4</x:v>
      </x:c>
      <x:c r="D3113" s="3" t="str">
        <x:v>present</x:v>
      </x:c>
      <x:c r="E3113" s="5" t="str">
        <x:f>VLOOKUP(B3113,Sections!$A$5:$I$45,3,FALSE)</x:f>
        <x:v>2024-1</x:v>
      </x:c>
    </x:row>
    <x:row r="3114" ht="21" customHeight="1">
      <x:c r="A3114" s="3" t="str">
        <x:v>2201014</x:v>
      </x:c>
      <x:c r="B3114" s="3" t="str">
        <x:v>SEC030</x:v>
      </x:c>
      <x:c r="C3114" s="3" t="n">
        <x:v>5</x:v>
      </x:c>
      <x:c r="D3114" s="3" t="str">
        <x:v>present</x:v>
      </x:c>
      <x:c r="E3114" s="5" t="str">
        <x:f>VLOOKUP(B3114,Sections!$A$5:$I$45,3,FALSE)</x:f>
        <x:v>2024-1</x:v>
      </x:c>
    </x:row>
    <x:row r="3115" ht="21" customHeight="1">
      <x:c r="A3115" s="3" t="str">
        <x:v>2201014</x:v>
      </x:c>
      <x:c r="B3115" s="3" t="str">
        <x:v>SEC030</x:v>
      </x:c>
      <x:c r="C3115" s="3" t="n">
        <x:v>6</x:v>
      </x:c>
      <x:c r="D3115" s="3" t="str">
        <x:v>present</x:v>
      </x:c>
      <x:c r="E3115" s="5" t="str">
        <x:f>VLOOKUP(B3115,Sections!$A$5:$I$45,3,FALSE)</x:f>
        <x:v>2024-1</x:v>
      </x:c>
    </x:row>
    <x:row r="3116" ht="21" customHeight="1">
      <x:c r="A3116" s="3" t="str">
        <x:v>2201014</x:v>
      </x:c>
      <x:c r="B3116" s="3" t="str">
        <x:v>SEC030</x:v>
      </x:c>
      <x:c r="C3116" s="3" t="n">
        <x:v>7</x:v>
      </x:c>
      <x:c r="D3116" s="3" t="str">
        <x:v>present</x:v>
      </x:c>
      <x:c r="E3116" s="5" t="str">
        <x:f>VLOOKUP(B3116,Sections!$A$5:$I$45,3,FALSE)</x:f>
        <x:v>2024-1</x:v>
      </x:c>
    </x:row>
    <x:row r="3117" ht="21" customHeight="1">
      <x:c r="A3117" s="3" t="str">
        <x:v>2201014</x:v>
      </x:c>
      <x:c r="B3117" s="3" t="str">
        <x:v>SEC030</x:v>
      </x:c>
      <x:c r="C3117" s="3" t="n">
        <x:v>8</x:v>
      </x:c>
      <x:c r="D3117" s="3" t="str">
        <x:v>present</x:v>
      </x:c>
      <x:c r="E3117" s="5" t="str">
        <x:f>VLOOKUP(B3117,Sections!$A$5:$I$45,3,FALSE)</x:f>
        <x:v>2024-1</x:v>
      </x:c>
    </x:row>
    <x:row r="3118" ht="21" customHeight="1">
      <x:c r="A3118" s="3" t="str">
        <x:v>2201014</x:v>
      </x:c>
      <x:c r="B3118" s="3" t="str">
        <x:v>SEC030</x:v>
      </x:c>
      <x:c r="C3118" s="3" t="n">
        <x:v>9</x:v>
      </x:c>
      <x:c r="D3118" s="3" t="str">
        <x:v>present</x:v>
      </x:c>
      <x:c r="E3118" s="5" t="str">
        <x:f>VLOOKUP(B3118,Sections!$A$5:$I$45,3,FALSE)</x:f>
        <x:v>2024-1</x:v>
      </x:c>
    </x:row>
    <x:row r="3119" ht="21" customHeight="1">
      <x:c r="A3119" s="3" t="str">
        <x:v>2201014</x:v>
      </x:c>
      <x:c r="B3119" s="3" t="str">
        <x:v>SEC030</x:v>
      </x:c>
      <x:c r="C3119" s="3" t="n">
        <x:v>10</x:v>
      </x:c>
      <x:c r="D3119" s="3" t="str">
        <x:v>present</x:v>
      </x:c>
      <x:c r="E3119" s="5" t="str">
        <x:f>VLOOKUP(B3119,Sections!$A$5:$I$45,3,FALSE)</x:f>
        <x:v>2024-1</x:v>
      </x:c>
    </x:row>
    <x:row r="3120" ht="21" customHeight="1">
      <x:c r="A3120" s="3" t="str">
        <x:v>2201014</x:v>
      </x:c>
      <x:c r="B3120" s="3" t="str">
        <x:v>SEC030</x:v>
      </x:c>
      <x:c r="C3120" s="3" t="n">
        <x:v>11</x:v>
      </x:c>
      <x:c r="D3120" s="3" t="str">
        <x:v>absent</x:v>
      </x:c>
      <x:c r="E3120" s="5" t="str">
        <x:f>VLOOKUP(B3120,Sections!$A$5:$I$45,3,FALSE)</x:f>
        <x:v>2024-1</x:v>
      </x:c>
    </x:row>
    <x:row r="3121" ht="21" customHeight="1">
      <x:c r="A3121" s="3" t="str">
        <x:v>2201014</x:v>
      </x:c>
      <x:c r="B3121" s="3" t="str">
        <x:v>SEC030</x:v>
      </x:c>
      <x:c r="C3121" s="3" t="n">
        <x:v>12</x:v>
      </x:c>
      <x:c r="D3121" s="3" t="str">
        <x:v>present</x:v>
      </x:c>
      <x:c r="E3121" s="5" t="str">
        <x:f>VLOOKUP(B3121,Sections!$A$5:$I$45,3,FALSE)</x:f>
        <x:v>2024-1</x:v>
      </x:c>
    </x:row>
    <x:row r="3122" ht="21" customHeight="1">
      <x:c r="A3122" s="3" t="str">
        <x:v>2201014</x:v>
      </x:c>
      <x:c r="B3122" s="3" t="str">
        <x:v>SEC030</x:v>
      </x:c>
      <x:c r="C3122" s="3" t="n">
        <x:v>13</x:v>
      </x:c>
      <x:c r="D3122" s="3" t="str">
        <x:v>present</x:v>
      </x:c>
      <x:c r="E3122" s="5" t="str">
        <x:f>VLOOKUP(B3122,Sections!$A$5:$I$45,3,FALSE)</x:f>
        <x:v>2024-1</x:v>
      </x:c>
    </x:row>
    <x:row r="3123" ht="21" customHeight="1">
      <x:c r="A3123" s="3" t="str">
        <x:v>2201014</x:v>
      </x:c>
      <x:c r="B3123" s="3" t="str">
        <x:v>SEC030</x:v>
      </x:c>
      <x:c r="C3123" s="3" t="n">
        <x:v>14</x:v>
      </x:c>
      <x:c r="D3123" s="3" t="str">
        <x:v>present</x:v>
      </x:c>
      <x:c r="E3123" s="5" t="str">
        <x:f>VLOOKUP(B3123,Sections!$A$5:$I$45,3,FALSE)</x:f>
        <x:v>2024-1</x:v>
      </x:c>
    </x:row>
    <x:row r="3124" ht="21" customHeight="1">
      <x:c r="A3124" s="3" t="str">
        <x:v>2201014</x:v>
      </x:c>
      <x:c r="B3124" s="3" t="str">
        <x:v>SEC030</x:v>
      </x:c>
      <x:c r="C3124" s="3" t="n">
        <x:v>15</x:v>
      </x:c>
      <x:c r="D3124" s="3" t="str">
        <x:v>present</x:v>
      </x:c>
      <x:c r="E3124" s="5" t="str">
        <x:f>VLOOKUP(B3124,Sections!$A$5:$I$45,3,FALSE)</x:f>
        <x:v>2024-1</x:v>
      </x:c>
    </x:row>
    <x:row r="3125" ht="21" customHeight="1">
      <x:c r="A3125" s="3" t="str">
        <x:v>2201015</x:v>
      </x:c>
      <x:c r="B3125" s="3" t="str">
        <x:v>SEC030</x:v>
      </x:c>
      <x:c r="C3125" s="3" t="n">
        <x:v>1</x:v>
      </x:c>
      <x:c r="D3125" s="3" t="str">
        <x:v>present</x:v>
      </x:c>
      <x:c r="E3125" s="5" t="str">
        <x:f>VLOOKUP(B3125,Sections!$A$5:$I$45,3,FALSE)</x:f>
        <x:v>2024-1</x:v>
      </x:c>
    </x:row>
    <x:row r="3126" ht="21" customHeight="1">
      <x:c r="A3126" s="3" t="str">
        <x:v>2201015</x:v>
      </x:c>
      <x:c r="B3126" s="3" t="str">
        <x:v>SEC030</x:v>
      </x:c>
      <x:c r="C3126" s="3" t="n">
        <x:v>2</x:v>
      </x:c>
      <x:c r="D3126" s="3" t="str">
        <x:v>absent</x:v>
      </x:c>
      <x:c r="E3126" s="5" t="str">
        <x:f>VLOOKUP(B3126,Sections!$A$5:$I$45,3,FALSE)</x:f>
        <x:v>2024-1</x:v>
      </x:c>
    </x:row>
    <x:row r="3127" ht="21" customHeight="1">
      <x:c r="A3127" s="3" t="str">
        <x:v>2201015</x:v>
      </x:c>
      <x:c r="B3127" s="3" t="str">
        <x:v>SEC030</x:v>
      </x:c>
      <x:c r="C3127" s="3" t="n">
        <x:v>3</x:v>
      </x:c>
      <x:c r="D3127" s="3" t="str">
        <x:v>absent</x:v>
      </x:c>
      <x:c r="E3127" s="5" t="str">
        <x:f>VLOOKUP(B3127,Sections!$A$5:$I$45,3,FALSE)</x:f>
        <x:v>2024-1</x:v>
      </x:c>
    </x:row>
    <x:row r="3128" ht="21" customHeight="1">
      <x:c r="A3128" s="3" t="str">
        <x:v>2201015</x:v>
      </x:c>
      <x:c r="B3128" s="3" t="str">
        <x:v>SEC030</x:v>
      </x:c>
      <x:c r="C3128" s="3" t="n">
        <x:v>4</x:v>
      </x:c>
      <x:c r="D3128" s="3" t="str">
        <x:v>absent</x:v>
      </x:c>
      <x:c r="E3128" s="5" t="str">
        <x:f>VLOOKUP(B3128,Sections!$A$5:$I$45,3,FALSE)</x:f>
        <x:v>2024-1</x:v>
      </x:c>
    </x:row>
    <x:row r="3129" ht="21" customHeight="1">
      <x:c r="A3129" s="3" t="str">
        <x:v>2201015</x:v>
      </x:c>
      <x:c r="B3129" s="3" t="str">
        <x:v>SEC030</x:v>
      </x:c>
      <x:c r="C3129" s="3" t="n">
        <x:v>5</x:v>
      </x:c>
      <x:c r="D3129" s="3" t="str">
        <x:v>present</x:v>
      </x:c>
      <x:c r="E3129" s="5" t="str">
        <x:f>VLOOKUP(B3129,Sections!$A$5:$I$45,3,FALSE)</x:f>
        <x:v>2024-1</x:v>
      </x:c>
    </x:row>
    <x:row r="3130" ht="21" customHeight="1">
      <x:c r="A3130" s="3" t="str">
        <x:v>2201015</x:v>
      </x:c>
      <x:c r="B3130" s="3" t="str">
        <x:v>SEC030</x:v>
      </x:c>
      <x:c r="C3130" s="3" t="n">
        <x:v>6</x:v>
      </x:c>
      <x:c r="D3130" s="3" t="str">
        <x:v>present</x:v>
      </x:c>
      <x:c r="E3130" s="5" t="str">
        <x:f>VLOOKUP(B3130,Sections!$A$5:$I$45,3,FALSE)</x:f>
        <x:v>2024-1</x:v>
      </x:c>
    </x:row>
    <x:row r="3131" ht="21" customHeight="1">
      <x:c r="A3131" s="3" t="str">
        <x:v>2201015</x:v>
      </x:c>
      <x:c r="B3131" s="3" t="str">
        <x:v>SEC030</x:v>
      </x:c>
      <x:c r="C3131" s="3" t="n">
        <x:v>7</x:v>
      </x:c>
      <x:c r="D3131" s="3" t="str">
        <x:v>absent</x:v>
      </x:c>
      <x:c r="E3131" s="5" t="str">
        <x:f>VLOOKUP(B3131,Sections!$A$5:$I$45,3,FALSE)</x:f>
        <x:v>2024-1</x:v>
      </x:c>
    </x:row>
    <x:row r="3132" ht="21" customHeight="1">
      <x:c r="A3132" s="3" t="str">
        <x:v>2201015</x:v>
      </x:c>
      <x:c r="B3132" s="3" t="str">
        <x:v>SEC030</x:v>
      </x:c>
      <x:c r="C3132" s="3" t="n">
        <x:v>8</x:v>
      </x:c>
      <x:c r="D3132" s="3" t="str">
        <x:v>absent</x:v>
      </x:c>
      <x:c r="E3132" s="5" t="str">
        <x:f>VLOOKUP(B3132,Sections!$A$5:$I$45,3,FALSE)</x:f>
        <x:v>2024-1</x:v>
      </x:c>
    </x:row>
    <x:row r="3133" ht="21" customHeight="1">
      <x:c r="A3133" s="3" t="str">
        <x:v>2201015</x:v>
      </x:c>
      <x:c r="B3133" s="3" t="str">
        <x:v>SEC030</x:v>
      </x:c>
      <x:c r="C3133" s="3" t="n">
        <x:v>9</x:v>
      </x:c>
      <x:c r="D3133" s="3" t="str">
        <x:v>late</x:v>
      </x:c>
      <x:c r="E3133" s="5" t="str">
        <x:f>VLOOKUP(B3133,Sections!$A$5:$I$45,3,FALSE)</x:f>
        <x:v>2024-1</x:v>
      </x:c>
    </x:row>
    <x:row r="3134" ht="21" customHeight="1">
      <x:c r="A3134" s="3" t="str">
        <x:v>2201015</x:v>
      </x:c>
      <x:c r="B3134" s="3" t="str">
        <x:v>SEC030</x:v>
      </x:c>
      <x:c r="C3134" s="3" t="n">
        <x:v>10</x:v>
      </x:c>
      <x:c r="D3134" s="3" t="str">
        <x:v>absent</x:v>
      </x:c>
      <x:c r="E3134" s="5" t="str">
        <x:f>VLOOKUP(B3134,Sections!$A$5:$I$45,3,FALSE)</x:f>
        <x:v>2024-1</x:v>
      </x:c>
    </x:row>
    <x:row r="3135" ht="21" customHeight="1">
      <x:c r="A3135" s="3" t="str">
        <x:v>2201015</x:v>
      </x:c>
      <x:c r="B3135" s="3" t="str">
        <x:v>SEC030</x:v>
      </x:c>
      <x:c r="C3135" s="3" t="n">
        <x:v>11</x:v>
      </x:c>
      <x:c r="D3135" s="3" t="str">
        <x:v>absent</x:v>
      </x:c>
      <x:c r="E3135" s="5" t="str">
        <x:f>VLOOKUP(B3135,Sections!$A$5:$I$45,3,FALSE)</x:f>
        <x:v>2024-1</x:v>
      </x:c>
    </x:row>
    <x:row r="3136" ht="21" customHeight="1">
      <x:c r="A3136" s="3" t="str">
        <x:v>2201015</x:v>
      </x:c>
      <x:c r="B3136" s="3" t="str">
        <x:v>SEC030</x:v>
      </x:c>
      <x:c r="C3136" s="3" t="n">
        <x:v>12</x:v>
      </x:c>
      <x:c r="D3136" s="3" t="str">
        <x:v>present</x:v>
      </x:c>
      <x:c r="E3136" s="5" t="str">
        <x:f>VLOOKUP(B3136,Sections!$A$5:$I$45,3,FALSE)</x:f>
        <x:v>2024-1</x:v>
      </x:c>
    </x:row>
    <x:row r="3137" ht="21" customHeight="1">
      <x:c r="A3137" s="3" t="str">
        <x:v>2201015</x:v>
      </x:c>
      <x:c r="B3137" s="3" t="str">
        <x:v>SEC030</x:v>
      </x:c>
      <x:c r="C3137" s="3" t="n">
        <x:v>13</x:v>
      </x:c>
      <x:c r="D3137" s="3" t="str">
        <x:v>absent</x:v>
      </x:c>
      <x:c r="E3137" s="5" t="str">
        <x:f>VLOOKUP(B3137,Sections!$A$5:$I$45,3,FALSE)</x:f>
        <x:v>2024-1</x:v>
      </x:c>
    </x:row>
    <x:row r="3138" ht="21" customHeight="1">
      <x:c r="A3138" s="3" t="str">
        <x:v>2201015</x:v>
      </x:c>
      <x:c r="B3138" s="3" t="str">
        <x:v>SEC030</x:v>
      </x:c>
      <x:c r="C3138" s="3" t="n">
        <x:v>14</x:v>
      </x:c>
      <x:c r="D3138" s="3" t="str">
        <x:v>present</x:v>
      </x:c>
      <x:c r="E3138" s="5" t="str">
        <x:f>VLOOKUP(B3138,Sections!$A$5:$I$45,3,FALSE)</x:f>
        <x:v>2024-1</x:v>
      </x:c>
    </x:row>
    <x:row r="3139" ht="21" customHeight="1">
      <x:c r="A3139" s="3" t="str">
        <x:v>2201015</x:v>
      </x:c>
      <x:c r="B3139" s="3" t="str">
        <x:v>SEC030</x:v>
      </x:c>
      <x:c r="C3139" s="3" t="n">
        <x:v>15</x:v>
      </x:c>
      <x:c r="D3139" s="3" t="str">
        <x:v>present</x:v>
      </x:c>
      <x:c r="E3139" s="5" t="str">
        <x:f>VLOOKUP(B3139,Sections!$A$5:$I$45,3,FALSE)</x:f>
        <x:v>2024-1</x:v>
      </x:c>
    </x:row>
    <x:row r="3140" ht="21" customHeight="1">
      <x:c r="A3140" s="3" t="str">
        <x:v>2201016</x:v>
      </x:c>
      <x:c r="B3140" s="3" t="str">
        <x:v>SEC030</x:v>
      </x:c>
      <x:c r="C3140" s="3" t="n">
        <x:v>1</x:v>
      </x:c>
      <x:c r="D3140" s="3" t="str">
        <x:v>present</x:v>
      </x:c>
      <x:c r="E3140" s="5" t="str">
        <x:f>VLOOKUP(B3140,Sections!$A$5:$I$45,3,FALSE)</x:f>
        <x:v>2024-1</x:v>
      </x:c>
    </x:row>
    <x:row r="3141" ht="21" customHeight="1">
      <x:c r="A3141" s="3" t="str">
        <x:v>2201016</x:v>
      </x:c>
      <x:c r="B3141" s="3" t="str">
        <x:v>SEC030</x:v>
      </x:c>
      <x:c r="C3141" s="3" t="n">
        <x:v>2</x:v>
      </x:c>
      <x:c r="D3141" s="3" t="str">
        <x:v>present</x:v>
      </x:c>
      <x:c r="E3141" s="5" t="str">
        <x:f>VLOOKUP(B3141,Sections!$A$5:$I$45,3,FALSE)</x:f>
        <x:v>2024-1</x:v>
      </x:c>
    </x:row>
    <x:row r="3142" ht="21" customHeight="1">
      <x:c r="A3142" s="3" t="str">
        <x:v>2201016</x:v>
      </x:c>
      <x:c r="B3142" s="3" t="str">
        <x:v>SEC030</x:v>
      </x:c>
      <x:c r="C3142" s="3" t="n">
        <x:v>3</x:v>
      </x:c>
      <x:c r="D3142" s="3" t="str">
        <x:v>present</x:v>
      </x:c>
      <x:c r="E3142" s="5" t="str">
        <x:f>VLOOKUP(B3142,Sections!$A$5:$I$45,3,FALSE)</x:f>
        <x:v>2024-1</x:v>
      </x:c>
    </x:row>
    <x:row r="3143" ht="21" customHeight="1">
      <x:c r="A3143" s="3" t="str">
        <x:v>2201016</x:v>
      </x:c>
      <x:c r="B3143" s="3" t="str">
        <x:v>SEC030</x:v>
      </x:c>
      <x:c r="C3143" s="3" t="n">
        <x:v>4</x:v>
      </x:c>
      <x:c r="D3143" s="3" t="str">
        <x:v>present</x:v>
      </x:c>
      <x:c r="E3143" s="5" t="str">
        <x:f>VLOOKUP(B3143,Sections!$A$5:$I$45,3,FALSE)</x:f>
        <x:v>2024-1</x:v>
      </x:c>
    </x:row>
    <x:row r="3144" ht="21" customHeight="1">
      <x:c r="A3144" s="3" t="str">
        <x:v>2201016</x:v>
      </x:c>
      <x:c r="B3144" s="3" t="str">
        <x:v>SEC030</x:v>
      </x:c>
      <x:c r="C3144" s="3" t="n">
        <x:v>5</x:v>
      </x:c>
      <x:c r="D3144" s="3" t="str">
        <x:v>present</x:v>
      </x:c>
      <x:c r="E3144" s="5" t="str">
        <x:f>VLOOKUP(B3144,Sections!$A$5:$I$45,3,FALSE)</x:f>
        <x:v>2024-1</x:v>
      </x:c>
    </x:row>
    <x:row r="3145" ht="21" customHeight="1">
      <x:c r="A3145" s="3" t="str">
        <x:v>2201016</x:v>
      </x:c>
      <x:c r="B3145" s="3" t="str">
        <x:v>SEC030</x:v>
      </x:c>
      <x:c r="C3145" s="3" t="n">
        <x:v>6</x:v>
      </x:c>
      <x:c r="D3145" s="3" t="str">
        <x:v>present</x:v>
      </x:c>
      <x:c r="E3145" s="5" t="str">
        <x:f>VLOOKUP(B3145,Sections!$A$5:$I$45,3,FALSE)</x:f>
        <x:v>2024-1</x:v>
      </x:c>
    </x:row>
    <x:row r="3146" ht="21" customHeight="1">
      <x:c r="A3146" s="3" t="str">
        <x:v>2201016</x:v>
      </x:c>
      <x:c r="B3146" s="3" t="str">
        <x:v>SEC030</x:v>
      </x:c>
      <x:c r="C3146" s="3" t="n">
        <x:v>7</x:v>
      </x:c>
      <x:c r="D3146" s="3" t="str">
        <x:v>present</x:v>
      </x:c>
      <x:c r="E3146" s="5" t="str">
        <x:f>VLOOKUP(B3146,Sections!$A$5:$I$45,3,FALSE)</x:f>
        <x:v>2024-1</x:v>
      </x:c>
    </x:row>
    <x:row r="3147" ht="21" customHeight="1">
      <x:c r="A3147" s="3" t="str">
        <x:v>2201016</x:v>
      </x:c>
      <x:c r="B3147" s="3" t="str">
        <x:v>SEC030</x:v>
      </x:c>
      <x:c r="C3147" s="3" t="n">
        <x:v>8</x:v>
      </x:c>
      <x:c r="D3147" s="3" t="str">
        <x:v>present</x:v>
      </x:c>
      <x:c r="E3147" s="5" t="str">
        <x:f>VLOOKUP(B3147,Sections!$A$5:$I$45,3,FALSE)</x:f>
        <x:v>2024-1</x:v>
      </x:c>
    </x:row>
    <x:row r="3148" ht="21" customHeight="1">
      <x:c r="A3148" s="3" t="str">
        <x:v>2201016</x:v>
      </x:c>
      <x:c r="B3148" s="3" t="str">
        <x:v>SEC030</x:v>
      </x:c>
      <x:c r="C3148" s="3" t="n">
        <x:v>9</x:v>
      </x:c>
      <x:c r="D3148" s="3" t="str">
        <x:v>present</x:v>
      </x:c>
      <x:c r="E3148" s="5" t="str">
        <x:f>VLOOKUP(B3148,Sections!$A$5:$I$45,3,FALSE)</x:f>
        <x:v>2024-1</x:v>
      </x:c>
    </x:row>
    <x:row r="3149" ht="21" customHeight="1">
      <x:c r="A3149" s="3" t="str">
        <x:v>2201016</x:v>
      </x:c>
      <x:c r="B3149" s="3" t="str">
        <x:v>SEC030</x:v>
      </x:c>
      <x:c r="C3149" s="3" t="n">
        <x:v>10</x:v>
      </x:c>
      <x:c r="D3149" s="3" t="str">
        <x:v>present</x:v>
      </x:c>
      <x:c r="E3149" s="5" t="str">
        <x:f>VLOOKUP(B3149,Sections!$A$5:$I$45,3,FALSE)</x:f>
        <x:v>2024-1</x:v>
      </x:c>
    </x:row>
    <x:row r="3150" ht="21" customHeight="1">
      <x:c r="A3150" s="3" t="str">
        <x:v>2201016</x:v>
      </x:c>
      <x:c r="B3150" s="3" t="str">
        <x:v>SEC030</x:v>
      </x:c>
      <x:c r="C3150" s="3" t="n">
        <x:v>11</x:v>
      </x:c>
      <x:c r="D3150" s="3" t="str">
        <x:v>present</x:v>
      </x:c>
      <x:c r="E3150" s="5" t="str">
        <x:f>VLOOKUP(B3150,Sections!$A$5:$I$45,3,FALSE)</x:f>
        <x:v>2024-1</x:v>
      </x:c>
    </x:row>
    <x:row r="3151" ht="21" customHeight="1">
      <x:c r="A3151" s="3" t="str">
        <x:v>2201016</x:v>
      </x:c>
      <x:c r="B3151" s="3" t="str">
        <x:v>SEC030</x:v>
      </x:c>
      <x:c r="C3151" s="3" t="n">
        <x:v>12</x:v>
      </x:c>
      <x:c r="D3151" s="3" t="str">
        <x:v>present</x:v>
      </x:c>
      <x:c r="E3151" s="5" t="str">
        <x:f>VLOOKUP(B3151,Sections!$A$5:$I$45,3,FALSE)</x:f>
        <x:v>2024-1</x:v>
      </x:c>
    </x:row>
    <x:row r="3152" ht="21" customHeight="1">
      <x:c r="A3152" s="3" t="str">
        <x:v>2201016</x:v>
      </x:c>
      <x:c r="B3152" s="3" t="str">
        <x:v>SEC030</x:v>
      </x:c>
      <x:c r="C3152" s="3" t="n">
        <x:v>13</x:v>
      </x:c>
      <x:c r="D3152" s="3" t="str">
        <x:v>present</x:v>
      </x:c>
      <x:c r="E3152" s="5" t="str">
        <x:f>VLOOKUP(B3152,Sections!$A$5:$I$45,3,FALSE)</x:f>
        <x:v>2024-1</x:v>
      </x:c>
    </x:row>
    <x:row r="3153" ht="21" customHeight="1">
      <x:c r="A3153" s="3" t="str">
        <x:v>2201016</x:v>
      </x:c>
      <x:c r="B3153" s="3" t="str">
        <x:v>SEC030</x:v>
      </x:c>
      <x:c r="C3153" s="3" t="n">
        <x:v>14</x:v>
      </x:c>
      <x:c r="D3153" s="3" t="str">
        <x:v>present</x:v>
      </x:c>
      <x:c r="E3153" s="5" t="str">
        <x:f>VLOOKUP(B3153,Sections!$A$5:$I$45,3,FALSE)</x:f>
        <x:v>2024-1</x:v>
      </x:c>
    </x:row>
    <x:row r="3154" ht="21" customHeight="1">
      <x:c r="A3154" s="3" t="str">
        <x:v>2201016</x:v>
      </x:c>
      <x:c r="B3154" s="3" t="str">
        <x:v>SEC030</x:v>
      </x:c>
      <x:c r="C3154" s="3" t="n">
        <x:v>15</x:v>
      </x:c>
      <x:c r="D3154" s="3" t="str">
        <x:v>present</x:v>
      </x:c>
      <x:c r="E3154" s="5" t="str">
        <x:f>VLOOKUP(B3154,Sections!$A$5:$I$45,3,FALSE)</x:f>
        <x:v>2024-1</x:v>
      </x:c>
    </x:row>
    <x:row r="3155" ht="21" customHeight="1">
      <x:c r="A3155" s="3" t="str">
        <x:v>2201017</x:v>
      </x:c>
      <x:c r="B3155" s="3" t="str">
        <x:v>SEC030</x:v>
      </x:c>
      <x:c r="C3155" s="3" t="n">
        <x:v>1</x:v>
      </x:c>
      <x:c r="D3155" s="3" t="str">
        <x:v>present</x:v>
      </x:c>
      <x:c r="E3155" s="5" t="str">
        <x:f>VLOOKUP(B3155,Sections!$A$5:$I$45,3,FALSE)</x:f>
        <x:v>2024-1</x:v>
      </x:c>
    </x:row>
    <x:row r="3156" ht="21" customHeight="1">
      <x:c r="A3156" s="3" t="str">
        <x:v>2201017</x:v>
      </x:c>
      <x:c r="B3156" s="3" t="str">
        <x:v>SEC030</x:v>
      </x:c>
      <x:c r="C3156" s="3" t="n">
        <x:v>2</x:v>
      </x:c>
      <x:c r="D3156" s="3" t="str">
        <x:v>present</x:v>
      </x:c>
      <x:c r="E3156" s="5" t="str">
        <x:f>VLOOKUP(B3156,Sections!$A$5:$I$45,3,FALSE)</x:f>
        <x:v>2024-1</x:v>
      </x:c>
    </x:row>
    <x:row r="3157" ht="21" customHeight="1">
      <x:c r="A3157" s="3" t="str">
        <x:v>2201017</x:v>
      </x:c>
      <x:c r="B3157" s="3" t="str">
        <x:v>SEC030</x:v>
      </x:c>
      <x:c r="C3157" s="3" t="n">
        <x:v>3</x:v>
      </x:c>
      <x:c r="D3157" s="3" t="str">
        <x:v>present</x:v>
      </x:c>
      <x:c r="E3157" s="5" t="str">
        <x:f>VLOOKUP(B3157,Sections!$A$5:$I$45,3,FALSE)</x:f>
        <x:v>2024-1</x:v>
      </x:c>
    </x:row>
    <x:row r="3158" ht="21" customHeight="1">
      <x:c r="A3158" s="3" t="str">
        <x:v>2201017</x:v>
      </x:c>
      <x:c r="B3158" s="3" t="str">
        <x:v>SEC030</x:v>
      </x:c>
      <x:c r="C3158" s="3" t="n">
        <x:v>4</x:v>
      </x:c>
      <x:c r="D3158" s="3" t="str">
        <x:v>present</x:v>
      </x:c>
      <x:c r="E3158" s="5" t="str">
        <x:f>VLOOKUP(B3158,Sections!$A$5:$I$45,3,FALSE)</x:f>
        <x:v>2024-1</x:v>
      </x:c>
    </x:row>
    <x:row r="3159" ht="21" customHeight="1">
      <x:c r="A3159" s="3" t="str">
        <x:v>2201017</x:v>
      </x:c>
      <x:c r="B3159" s="3" t="str">
        <x:v>SEC030</x:v>
      </x:c>
      <x:c r="C3159" s="3" t="n">
        <x:v>5</x:v>
      </x:c>
      <x:c r="D3159" s="3" t="str">
        <x:v>present</x:v>
      </x:c>
      <x:c r="E3159" s="5" t="str">
        <x:f>VLOOKUP(B3159,Sections!$A$5:$I$45,3,FALSE)</x:f>
        <x:v>2024-1</x:v>
      </x:c>
    </x:row>
    <x:row r="3160" ht="21" customHeight="1">
      <x:c r="A3160" s="3" t="str">
        <x:v>2201017</x:v>
      </x:c>
      <x:c r="B3160" s="3" t="str">
        <x:v>SEC030</x:v>
      </x:c>
      <x:c r="C3160" s="3" t="n">
        <x:v>6</x:v>
      </x:c>
      <x:c r="D3160" s="3" t="str">
        <x:v>present</x:v>
      </x:c>
      <x:c r="E3160" s="5" t="str">
        <x:f>VLOOKUP(B3160,Sections!$A$5:$I$45,3,FALSE)</x:f>
        <x:v>2024-1</x:v>
      </x:c>
    </x:row>
    <x:row r="3161" ht="21" customHeight="1">
      <x:c r="A3161" s="3" t="str">
        <x:v>2201017</x:v>
      </x:c>
      <x:c r="B3161" s="3" t="str">
        <x:v>SEC030</x:v>
      </x:c>
      <x:c r="C3161" s="3" t="n">
        <x:v>7</x:v>
      </x:c>
      <x:c r="D3161" s="3" t="str">
        <x:v>present</x:v>
      </x:c>
      <x:c r="E3161" s="5" t="str">
        <x:f>VLOOKUP(B3161,Sections!$A$5:$I$45,3,FALSE)</x:f>
        <x:v>2024-1</x:v>
      </x:c>
    </x:row>
    <x:row r="3162" ht="21" customHeight="1">
      <x:c r="A3162" s="3" t="str">
        <x:v>2201017</x:v>
      </x:c>
      <x:c r="B3162" s="3" t="str">
        <x:v>SEC030</x:v>
      </x:c>
      <x:c r="C3162" s="3" t="n">
        <x:v>8</x:v>
      </x:c>
      <x:c r="D3162" s="3" t="str">
        <x:v>present</x:v>
      </x:c>
      <x:c r="E3162" s="5" t="str">
        <x:f>VLOOKUP(B3162,Sections!$A$5:$I$45,3,FALSE)</x:f>
        <x:v>2024-1</x:v>
      </x:c>
    </x:row>
    <x:row r="3163" ht="21" customHeight="1">
      <x:c r="A3163" s="3" t="str">
        <x:v>2201017</x:v>
      </x:c>
      <x:c r="B3163" s="3" t="str">
        <x:v>SEC030</x:v>
      </x:c>
      <x:c r="C3163" s="3" t="n">
        <x:v>9</x:v>
      </x:c>
      <x:c r="D3163" s="3" t="str">
        <x:v>present</x:v>
      </x:c>
      <x:c r="E3163" s="5" t="str">
        <x:f>VLOOKUP(B3163,Sections!$A$5:$I$45,3,FALSE)</x:f>
        <x:v>2024-1</x:v>
      </x:c>
    </x:row>
    <x:row r="3164" ht="21" customHeight="1">
      <x:c r="A3164" s="3" t="str">
        <x:v>2201017</x:v>
      </x:c>
      <x:c r="B3164" s="3" t="str">
        <x:v>SEC030</x:v>
      </x:c>
      <x:c r="C3164" s="3" t="n">
        <x:v>10</x:v>
      </x:c>
      <x:c r="D3164" s="3" t="str">
        <x:v>present</x:v>
      </x:c>
      <x:c r="E3164" s="5" t="str">
        <x:f>VLOOKUP(B3164,Sections!$A$5:$I$45,3,FALSE)</x:f>
        <x:v>2024-1</x:v>
      </x:c>
    </x:row>
    <x:row r="3165" ht="21" customHeight="1">
      <x:c r="A3165" s="3" t="str">
        <x:v>2201017</x:v>
      </x:c>
      <x:c r="B3165" s="3" t="str">
        <x:v>SEC030</x:v>
      </x:c>
      <x:c r="C3165" s="3" t="n">
        <x:v>11</x:v>
      </x:c>
      <x:c r="D3165" s="3" t="str">
        <x:v>present</x:v>
      </x:c>
      <x:c r="E3165" s="5" t="str">
        <x:f>VLOOKUP(B3165,Sections!$A$5:$I$45,3,FALSE)</x:f>
        <x:v>2024-1</x:v>
      </x:c>
    </x:row>
    <x:row r="3166" ht="21" customHeight="1">
      <x:c r="A3166" s="3" t="str">
        <x:v>2201017</x:v>
      </x:c>
      <x:c r="B3166" s="3" t="str">
        <x:v>SEC030</x:v>
      </x:c>
      <x:c r="C3166" s="3" t="n">
        <x:v>12</x:v>
      </x:c>
      <x:c r="D3166" s="3" t="str">
        <x:v>present</x:v>
      </x:c>
      <x:c r="E3166" s="5" t="str">
        <x:f>VLOOKUP(B3166,Sections!$A$5:$I$45,3,FALSE)</x:f>
        <x:v>2024-1</x:v>
      </x:c>
    </x:row>
    <x:row r="3167" ht="21" customHeight="1">
      <x:c r="A3167" s="3" t="str">
        <x:v>2201017</x:v>
      </x:c>
      <x:c r="B3167" s="3" t="str">
        <x:v>SEC030</x:v>
      </x:c>
      <x:c r="C3167" s="3" t="n">
        <x:v>13</x:v>
      </x:c>
      <x:c r="D3167" s="3" t="str">
        <x:v>present</x:v>
      </x:c>
      <x:c r="E3167" s="5" t="str">
        <x:f>VLOOKUP(B3167,Sections!$A$5:$I$45,3,FALSE)</x:f>
        <x:v>2024-1</x:v>
      </x:c>
    </x:row>
    <x:row r="3168" ht="21" customHeight="1">
      <x:c r="A3168" s="3" t="str">
        <x:v>2201017</x:v>
      </x:c>
      <x:c r="B3168" s="3" t="str">
        <x:v>SEC030</x:v>
      </x:c>
      <x:c r="C3168" s="3" t="n">
        <x:v>14</x:v>
      </x:c>
      <x:c r="D3168" s="3" t="str">
        <x:v>present</x:v>
      </x:c>
      <x:c r="E3168" s="5" t="str">
        <x:f>VLOOKUP(B3168,Sections!$A$5:$I$45,3,FALSE)</x:f>
        <x:v>2024-1</x:v>
      </x:c>
    </x:row>
    <x:row r="3169" ht="21" customHeight="1">
      <x:c r="A3169" s="3" t="str">
        <x:v>2201017</x:v>
      </x:c>
      <x:c r="B3169" s="3" t="str">
        <x:v>SEC030</x:v>
      </x:c>
      <x:c r="C3169" s="3" t="n">
        <x:v>15</x:v>
      </x:c>
      <x:c r="D3169" s="3" t="str">
        <x:v>present</x:v>
      </x:c>
      <x:c r="E3169" s="5" t="str">
        <x:f>VLOOKUP(B3169,Sections!$A$5:$I$45,3,FALSE)</x:f>
        <x:v>2024-1</x:v>
      </x:c>
    </x:row>
    <x:row r="3170" ht="21" customHeight="1">
      <x:c r="A3170" s="3" t="str">
        <x:v>2201018</x:v>
      </x:c>
      <x:c r="B3170" s="3" t="str">
        <x:v>SEC030</x:v>
      </x:c>
      <x:c r="C3170" s="3" t="n">
        <x:v>1</x:v>
      </x:c>
      <x:c r="D3170" s="3" t="str">
        <x:v>absent</x:v>
      </x:c>
      <x:c r="E3170" s="5" t="str">
        <x:f>VLOOKUP(B3170,Sections!$A$5:$I$45,3,FALSE)</x:f>
        <x:v>2024-1</x:v>
      </x:c>
    </x:row>
    <x:row r="3171" ht="21" customHeight="1">
      <x:c r="A3171" s="3" t="str">
        <x:v>2201018</x:v>
      </x:c>
      <x:c r="B3171" s="3" t="str">
        <x:v>SEC030</x:v>
      </x:c>
      <x:c r="C3171" s="3" t="n">
        <x:v>2</x:v>
      </x:c>
      <x:c r="D3171" s="3" t="str">
        <x:v>present</x:v>
      </x:c>
      <x:c r="E3171" s="5" t="str">
        <x:f>VLOOKUP(B3171,Sections!$A$5:$I$45,3,FALSE)</x:f>
        <x:v>2024-1</x:v>
      </x:c>
    </x:row>
    <x:row r="3172" ht="21" customHeight="1">
      <x:c r="A3172" s="3" t="str">
        <x:v>2201018</x:v>
      </x:c>
      <x:c r="B3172" s="3" t="str">
        <x:v>SEC030</x:v>
      </x:c>
      <x:c r="C3172" s="3" t="n">
        <x:v>3</x:v>
      </x:c>
      <x:c r="D3172" s="3" t="str">
        <x:v>present</x:v>
      </x:c>
      <x:c r="E3172" s="5" t="str">
        <x:f>VLOOKUP(B3172,Sections!$A$5:$I$45,3,FALSE)</x:f>
        <x:v>2024-1</x:v>
      </x:c>
    </x:row>
    <x:row r="3173" ht="21" customHeight="1">
      <x:c r="A3173" s="3" t="str">
        <x:v>2201018</x:v>
      </x:c>
      <x:c r="B3173" s="3" t="str">
        <x:v>SEC030</x:v>
      </x:c>
      <x:c r="C3173" s="3" t="n">
        <x:v>4</x:v>
      </x:c>
      <x:c r="D3173" s="3" t="str">
        <x:v>present</x:v>
      </x:c>
      <x:c r="E3173" s="5" t="str">
        <x:f>VLOOKUP(B3173,Sections!$A$5:$I$45,3,FALSE)</x:f>
        <x:v>2024-1</x:v>
      </x:c>
    </x:row>
    <x:row r="3174" ht="21" customHeight="1">
      <x:c r="A3174" s="3" t="str">
        <x:v>2201018</x:v>
      </x:c>
      <x:c r="B3174" s="3" t="str">
        <x:v>SEC030</x:v>
      </x:c>
      <x:c r="C3174" s="3" t="n">
        <x:v>5</x:v>
      </x:c>
      <x:c r="D3174" s="3" t="str">
        <x:v>present</x:v>
      </x:c>
      <x:c r="E3174" s="5" t="str">
        <x:f>VLOOKUP(B3174,Sections!$A$5:$I$45,3,FALSE)</x:f>
        <x:v>2024-1</x:v>
      </x:c>
    </x:row>
    <x:row r="3175" ht="21" customHeight="1">
      <x:c r="A3175" s="3" t="str">
        <x:v>2201018</x:v>
      </x:c>
      <x:c r="B3175" s="3" t="str">
        <x:v>SEC030</x:v>
      </x:c>
      <x:c r="C3175" s="3" t="n">
        <x:v>6</x:v>
      </x:c>
      <x:c r="D3175" s="3" t="str">
        <x:v>present</x:v>
      </x:c>
      <x:c r="E3175" s="5" t="str">
        <x:f>VLOOKUP(B3175,Sections!$A$5:$I$45,3,FALSE)</x:f>
        <x:v>2024-1</x:v>
      </x:c>
    </x:row>
    <x:row r="3176" ht="21" customHeight="1">
      <x:c r="A3176" s="3" t="str">
        <x:v>2201018</x:v>
      </x:c>
      <x:c r="B3176" s="3" t="str">
        <x:v>SEC030</x:v>
      </x:c>
      <x:c r="C3176" s="3" t="n">
        <x:v>7</x:v>
      </x:c>
      <x:c r="D3176" s="3" t="str">
        <x:v>late</x:v>
      </x:c>
      <x:c r="E3176" s="5" t="str">
        <x:f>VLOOKUP(B3176,Sections!$A$5:$I$45,3,FALSE)</x:f>
        <x:v>2024-1</x:v>
      </x:c>
    </x:row>
    <x:row r="3177" ht="21" customHeight="1">
      <x:c r="A3177" s="3" t="str">
        <x:v>2201018</x:v>
      </x:c>
      <x:c r="B3177" s="3" t="str">
        <x:v>SEC030</x:v>
      </x:c>
      <x:c r="C3177" s="3" t="n">
        <x:v>8</x:v>
      </x:c>
      <x:c r="D3177" s="3" t="str">
        <x:v>absent</x:v>
      </x:c>
      <x:c r="E3177" s="5" t="str">
        <x:f>VLOOKUP(B3177,Sections!$A$5:$I$45,3,FALSE)</x:f>
        <x:v>2024-1</x:v>
      </x:c>
    </x:row>
    <x:row r="3178" ht="21" customHeight="1">
      <x:c r="A3178" s="3" t="str">
        <x:v>2201018</x:v>
      </x:c>
      <x:c r="B3178" s="3" t="str">
        <x:v>SEC030</x:v>
      </x:c>
      <x:c r="C3178" s="3" t="n">
        <x:v>9</x:v>
      </x:c>
      <x:c r="D3178" s="3" t="str">
        <x:v>present</x:v>
      </x:c>
      <x:c r="E3178" s="5" t="str">
        <x:f>VLOOKUP(B3178,Sections!$A$5:$I$45,3,FALSE)</x:f>
        <x:v>2024-1</x:v>
      </x:c>
    </x:row>
    <x:row r="3179" ht="21" customHeight="1">
      <x:c r="A3179" s="3" t="str">
        <x:v>2201018</x:v>
      </x:c>
      <x:c r="B3179" s="3" t="str">
        <x:v>SEC030</x:v>
      </x:c>
      <x:c r="C3179" s="3" t="n">
        <x:v>10</x:v>
      </x:c>
      <x:c r="D3179" s="3" t="str">
        <x:v>present</x:v>
      </x:c>
      <x:c r="E3179" s="5" t="str">
        <x:f>VLOOKUP(B3179,Sections!$A$5:$I$45,3,FALSE)</x:f>
        <x:v>2024-1</x:v>
      </x:c>
    </x:row>
    <x:row r="3180" ht="21" customHeight="1">
      <x:c r="A3180" s="3" t="str">
        <x:v>2201018</x:v>
      </x:c>
      <x:c r="B3180" s="3" t="str">
        <x:v>SEC030</x:v>
      </x:c>
      <x:c r="C3180" s="3" t="n">
        <x:v>11</x:v>
      </x:c>
      <x:c r="D3180" s="3" t="str">
        <x:v>present</x:v>
      </x:c>
      <x:c r="E3180" s="5" t="str">
        <x:f>VLOOKUP(B3180,Sections!$A$5:$I$45,3,FALSE)</x:f>
        <x:v>2024-1</x:v>
      </x:c>
    </x:row>
    <x:row r="3181" ht="21" customHeight="1">
      <x:c r="A3181" s="3" t="str">
        <x:v>2201018</x:v>
      </x:c>
      <x:c r="B3181" s="3" t="str">
        <x:v>SEC030</x:v>
      </x:c>
      <x:c r="C3181" s="3" t="n">
        <x:v>12</x:v>
      </x:c>
      <x:c r="D3181" s="3" t="str">
        <x:v>present</x:v>
      </x:c>
      <x:c r="E3181" s="5" t="str">
        <x:f>VLOOKUP(B3181,Sections!$A$5:$I$45,3,FALSE)</x:f>
        <x:v>2024-1</x:v>
      </x:c>
    </x:row>
    <x:row r="3182" ht="21" customHeight="1">
      <x:c r="A3182" s="3" t="str">
        <x:v>2201018</x:v>
      </x:c>
      <x:c r="B3182" s="3" t="str">
        <x:v>SEC030</x:v>
      </x:c>
      <x:c r="C3182" s="3" t="n">
        <x:v>13</x:v>
      </x:c>
      <x:c r="D3182" s="3" t="str">
        <x:v>present</x:v>
      </x:c>
      <x:c r="E3182" s="5" t="str">
        <x:f>VLOOKUP(B3182,Sections!$A$5:$I$45,3,FALSE)</x:f>
        <x:v>2024-1</x:v>
      </x:c>
    </x:row>
    <x:row r="3183" ht="21" customHeight="1">
      <x:c r="A3183" s="3" t="str">
        <x:v>2201018</x:v>
      </x:c>
      <x:c r="B3183" s="3" t="str">
        <x:v>SEC030</x:v>
      </x:c>
      <x:c r="C3183" s="3" t="n">
        <x:v>14</x:v>
      </x:c>
      <x:c r="D3183" s="3" t="str">
        <x:v>present</x:v>
      </x:c>
      <x:c r="E3183" s="5" t="str">
        <x:f>VLOOKUP(B3183,Sections!$A$5:$I$45,3,FALSE)</x:f>
        <x:v>2024-1</x:v>
      </x:c>
    </x:row>
    <x:row r="3184" ht="21" customHeight="1">
      <x:c r="A3184" s="3" t="str">
        <x:v>2201018</x:v>
      </x:c>
      <x:c r="B3184" s="3" t="str">
        <x:v>SEC030</x:v>
      </x:c>
      <x:c r="C3184" s="3" t="n">
        <x:v>15</x:v>
      </x:c>
      <x:c r="D3184" s="3" t="str">
        <x:v>present</x:v>
      </x:c>
      <x:c r="E3184" s="5" t="str">
        <x:f>VLOOKUP(B3184,Sections!$A$5:$I$45,3,FALSE)</x:f>
        <x:v>2024-1</x:v>
      </x:c>
    </x:row>
    <x:row r="3185" ht="21" customHeight="1">
      <x:c r="A3185" s="3" t="str">
        <x:v>2201019</x:v>
      </x:c>
      <x:c r="B3185" s="3" t="str">
        <x:v>SEC030</x:v>
      </x:c>
      <x:c r="C3185" s="3" t="n">
        <x:v>1</x:v>
      </x:c>
      <x:c r="D3185" s="3" t="str">
        <x:v>present</x:v>
      </x:c>
      <x:c r="E3185" s="5" t="str">
        <x:f>VLOOKUP(B3185,Sections!$A$5:$I$45,3,FALSE)</x:f>
        <x:v>2024-1</x:v>
      </x:c>
    </x:row>
    <x:row r="3186" ht="21" customHeight="1">
      <x:c r="A3186" s="3" t="str">
        <x:v>2201019</x:v>
      </x:c>
      <x:c r="B3186" s="3" t="str">
        <x:v>SEC030</x:v>
      </x:c>
      <x:c r="C3186" s="3" t="n">
        <x:v>2</x:v>
      </x:c>
      <x:c r="D3186" s="3" t="str">
        <x:v>present</x:v>
      </x:c>
      <x:c r="E3186" s="5" t="str">
        <x:f>VLOOKUP(B3186,Sections!$A$5:$I$45,3,FALSE)</x:f>
        <x:v>2024-1</x:v>
      </x:c>
    </x:row>
    <x:row r="3187" ht="21" customHeight="1">
      <x:c r="A3187" s="3" t="str">
        <x:v>2201019</x:v>
      </x:c>
      <x:c r="B3187" s="3" t="str">
        <x:v>SEC030</x:v>
      </x:c>
      <x:c r="C3187" s="3" t="n">
        <x:v>3</x:v>
      </x:c>
      <x:c r="D3187" s="3" t="str">
        <x:v>present</x:v>
      </x:c>
      <x:c r="E3187" s="5" t="str">
        <x:f>VLOOKUP(B3187,Sections!$A$5:$I$45,3,FALSE)</x:f>
        <x:v>2024-1</x:v>
      </x:c>
    </x:row>
    <x:row r="3188" ht="21" customHeight="1">
      <x:c r="A3188" s="3" t="str">
        <x:v>2201019</x:v>
      </x:c>
      <x:c r="B3188" s="3" t="str">
        <x:v>SEC030</x:v>
      </x:c>
      <x:c r="C3188" s="3" t="n">
        <x:v>4</x:v>
      </x:c>
      <x:c r="D3188" s="3" t="str">
        <x:v>absent</x:v>
      </x:c>
      <x:c r="E3188" s="5" t="str">
        <x:f>VLOOKUP(B3188,Sections!$A$5:$I$45,3,FALSE)</x:f>
        <x:v>2024-1</x:v>
      </x:c>
    </x:row>
    <x:row r="3189" ht="21" customHeight="1">
      <x:c r="A3189" s="3" t="str">
        <x:v>2201019</x:v>
      </x:c>
      <x:c r="B3189" s="3" t="str">
        <x:v>SEC030</x:v>
      </x:c>
      <x:c r="C3189" s="3" t="n">
        <x:v>5</x:v>
      </x:c>
      <x:c r="D3189" s="3" t="str">
        <x:v>present</x:v>
      </x:c>
      <x:c r="E3189" s="5" t="str">
        <x:f>VLOOKUP(B3189,Sections!$A$5:$I$45,3,FALSE)</x:f>
        <x:v>2024-1</x:v>
      </x:c>
    </x:row>
    <x:row r="3190" ht="21" customHeight="1">
      <x:c r="A3190" s="3" t="str">
        <x:v>2201019</x:v>
      </x:c>
      <x:c r="B3190" s="3" t="str">
        <x:v>SEC030</x:v>
      </x:c>
      <x:c r="C3190" s="3" t="n">
        <x:v>6</x:v>
      </x:c>
      <x:c r="D3190" s="3" t="str">
        <x:v>present</x:v>
      </x:c>
      <x:c r="E3190" s="5" t="str">
        <x:f>VLOOKUP(B3190,Sections!$A$5:$I$45,3,FALSE)</x:f>
        <x:v>2024-1</x:v>
      </x:c>
    </x:row>
    <x:row r="3191" ht="21" customHeight="1">
      <x:c r="A3191" s="3" t="str">
        <x:v>2201019</x:v>
      </x:c>
      <x:c r="B3191" s="3" t="str">
        <x:v>SEC030</x:v>
      </x:c>
      <x:c r="C3191" s="3" t="n">
        <x:v>7</x:v>
      </x:c>
      <x:c r="D3191" s="3" t="str">
        <x:v>present</x:v>
      </x:c>
      <x:c r="E3191" s="5" t="str">
        <x:f>VLOOKUP(B3191,Sections!$A$5:$I$45,3,FALSE)</x:f>
        <x:v>2024-1</x:v>
      </x:c>
    </x:row>
    <x:row r="3192" ht="21" customHeight="1">
      <x:c r="A3192" s="3" t="str">
        <x:v>2201019</x:v>
      </x:c>
      <x:c r="B3192" s="3" t="str">
        <x:v>SEC030</x:v>
      </x:c>
      <x:c r="C3192" s="3" t="n">
        <x:v>8</x:v>
      </x:c>
      <x:c r="D3192" s="3" t="str">
        <x:v>absent</x:v>
      </x:c>
      <x:c r="E3192" s="5" t="str">
        <x:f>VLOOKUP(B3192,Sections!$A$5:$I$45,3,FALSE)</x:f>
        <x:v>2024-1</x:v>
      </x:c>
    </x:row>
    <x:row r="3193" ht="21" customHeight="1">
      <x:c r="A3193" s="3" t="str">
        <x:v>2201019</x:v>
      </x:c>
      <x:c r="B3193" s="3" t="str">
        <x:v>SEC030</x:v>
      </x:c>
      <x:c r="C3193" s="3" t="n">
        <x:v>9</x:v>
      </x:c>
      <x:c r="D3193" s="3" t="str">
        <x:v>present</x:v>
      </x:c>
      <x:c r="E3193" s="5" t="str">
        <x:f>VLOOKUP(B3193,Sections!$A$5:$I$45,3,FALSE)</x:f>
        <x:v>2024-1</x:v>
      </x:c>
    </x:row>
    <x:row r="3194" ht="21" customHeight="1">
      <x:c r="A3194" s="3" t="str">
        <x:v>2201019</x:v>
      </x:c>
      <x:c r="B3194" s="3" t="str">
        <x:v>SEC030</x:v>
      </x:c>
      <x:c r="C3194" s="3" t="n">
        <x:v>10</x:v>
      </x:c>
      <x:c r="D3194" s="3" t="str">
        <x:v>present</x:v>
      </x:c>
      <x:c r="E3194" s="5" t="str">
        <x:f>VLOOKUP(B3194,Sections!$A$5:$I$45,3,FALSE)</x:f>
        <x:v>2024-1</x:v>
      </x:c>
    </x:row>
    <x:row r="3195" ht="21" customHeight="1">
      <x:c r="A3195" s="3" t="str">
        <x:v>2201019</x:v>
      </x:c>
      <x:c r="B3195" s="3" t="str">
        <x:v>SEC030</x:v>
      </x:c>
      <x:c r="C3195" s="3" t="n">
        <x:v>11</x:v>
      </x:c>
      <x:c r="D3195" s="3" t="str">
        <x:v>present</x:v>
      </x:c>
      <x:c r="E3195" s="5" t="str">
        <x:f>VLOOKUP(B3195,Sections!$A$5:$I$45,3,FALSE)</x:f>
        <x:v>2024-1</x:v>
      </x:c>
    </x:row>
    <x:row r="3196" ht="21" customHeight="1">
      <x:c r="A3196" s="3" t="str">
        <x:v>2201019</x:v>
      </x:c>
      <x:c r="B3196" s="3" t="str">
        <x:v>SEC030</x:v>
      </x:c>
      <x:c r="C3196" s="3" t="n">
        <x:v>12</x:v>
      </x:c>
      <x:c r="D3196" s="3" t="str">
        <x:v>present</x:v>
      </x:c>
      <x:c r="E3196" s="5" t="str">
        <x:f>VLOOKUP(B3196,Sections!$A$5:$I$45,3,FALSE)</x:f>
        <x:v>2024-1</x:v>
      </x:c>
    </x:row>
    <x:row r="3197" ht="21" customHeight="1">
      <x:c r="A3197" s="3" t="str">
        <x:v>2201019</x:v>
      </x:c>
      <x:c r="B3197" s="3" t="str">
        <x:v>SEC030</x:v>
      </x:c>
      <x:c r="C3197" s="3" t="n">
        <x:v>13</x:v>
      </x:c>
      <x:c r="D3197" s="3" t="str">
        <x:v>present</x:v>
      </x:c>
      <x:c r="E3197" s="5" t="str">
        <x:f>VLOOKUP(B3197,Sections!$A$5:$I$45,3,FALSE)</x:f>
        <x:v>2024-1</x:v>
      </x:c>
    </x:row>
    <x:row r="3198" ht="21" customHeight="1">
      <x:c r="A3198" s="3" t="str">
        <x:v>2201019</x:v>
      </x:c>
      <x:c r="B3198" s="3" t="str">
        <x:v>SEC030</x:v>
      </x:c>
      <x:c r="C3198" s="3" t="n">
        <x:v>14</x:v>
      </x:c>
      <x:c r="D3198" s="3" t="str">
        <x:v>present</x:v>
      </x:c>
      <x:c r="E3198" s="5" t="str">
        <x:f>VLOOKUP(B3198,Sections!$A$5:$I$45,3,FALSE)</x:f>
        <x:v>2024-1</x:v>
      </x:c>
    </x:row>
    <x:row r="3199" ht="21" customHeight="1">
      <x:c r="A3199" s="3" t="str">
        <x:v>2201019</x:v>
      </x:c>
      <x:c r="B3199" s="3" t="str">
        <x:v>SEC030</x:v>
      </x:c>
      <x:c r="C3199" s="3" t="n">
        <x:v>15</x:v>
      </x:c>
      <x:c r="D3199" s="3" t="str">
        <x:v>present</x:v>
      </x:c>
      <x:c r="E3199" s="5" t="str">
        <x:f>VLOOKUP(B3199,Sections!$A$5:$I$45,3,FALSE)</x:f>
        <x:v>2024-1</x:v>
      </x:c>
    </x:row>
    <x:row r="3200" ht="21" customHeight="1">
      <x:c r="A3200" s="3" t="str">
        <x:v>2201020</x:v>
      </x:c>
      <x:c r="B3200" s="3" t="str">
        <x:v>SEC030</x:v>
      </x:c>
      <x:c r="C3200" s="3" t="n">
        <x:v>1</x:v>
      </x:c>
      <x:c r="D3200" s="3" t="str">
        <x:v>present</x:v>
      </x:c>
      <x:c r="E3200" s="5" t="str">
        <x:f>VLOOKUP(B3200,Sections!$A$5:$I$45,3,FALSE)</x:f>
        <x:v>2024-1</x:v>
      </x:c>
    </x:row>
    <x:row r="3201" ht="21" customHeight="1">
      <x:c r="A3201" s="3" t="str">
        <x:v>2201020</x:v>
      </x:c>
      <x:c r="B3201" s="3" t="str">
        <x:v>SEC030</x:v>
      </x:c>
      <x:c r="C3201" s="3" t="n">
        <x:v>2</x:v>
      </x:c>
      <x:c r="D3201" s="3" t="str">
        <x:v>present</x:v>
      </x:c>
      <x:c r="E3201" s="5" t="str">
        <x:f>VLOOKUP(B3201,Sections!$A$5:$I$45,3,FALSE)</x:f>
        <x:v>2024-1</x:v>
      </x:c>
    </x:row>
    <x:row r="3202" ht="21" customHeight="1">
      <x:c r="A3202" s="3" t="str">
        <x:v>2201020</x:v>
      </x:c>
      <x:c r="B3202" s="3" t="str">
        <x:v>SEC030</x:v>
      </x:c>
      <x:c r="C3202" s="3" t="n">
        <x:v>3</x:v>
      </x:c>
      <x:c r="D3202" s="3" t="str">
        <x:v>absent</x:v>
      </x:c>
      <x:c r="E3202" s="5" t="str">
        <x:f>VLOOKUP(B3202,Sections!$A$5:$I$45,3,FALSE)</x:f>
        <x:v>2024-1</x:v>
      </x:c>
    </x:row>
    <x:row r="3203" ht="21" customHeight="1">
      <x:c r="A3203" s="3" t="str">
        <x:v>2201020</x:v>
      </x:c>
      <x:c r="B3203" s="3" t="str">
        <x:v>SEC030</x:v>
      </x:c>
      <x:c r="C3203" s="3" t="n">
        <x:v>4</x:v>
      </x:c>
      <x:c r="D3203" s="3" t="str">
        <x:v>present</x:v>
      </x:c>
      <x:c r="E3203" s="5" t="str">
        <x:f>VLOOKUP(B3203,Sections!$A$5:$I$45,3,FALSE)</x:f>
        <x:v>2024-1</x:v>
      </x:c>
    </x:row>
    <x:row r="3204" ht="21" customHeight="1">
      <x:c r="A3204" s="3" t="str">
        <x:v>2201020</x:v>
      </x:c>
      <x:c r="B3204" s="3" t="str">
        <x:v>SEC030</x:v>
      </x:c>
      <x:c r="C3204" s="3" t="n">
        <x:v>5</x:v>
      </x:c>
      <x:c r="D3204" s="3" t="str">
        <x:v>absent</x:v>
      </x:c>
      <x:c r="E3204" s="5" t="str">
        <x:f>VLOOKUP(B3204,Sections!$A$5:$I$45,3,FALSE)</x:f>
        <x:v>2024-1</x:v>
      </x:c>
    </x:row>
    <x:row r="3205" ht="21" customHeight="1">
      <x:c r="A3205" s="3" t="str">
        <x:v>2201020</x:v>
      </x:c>
      <x:c r="B3205" s="3" t="str">
        <x:v>SEC030</x:v>
      </x:c>
      <x:c r="C3205" s="3" t="n">
        <x:v>6</x:v>
      </x:c>
      <x:c r="D3205" s="3" t="str">
        <x:v>present</x:v>
      </x:c>
      <x:c r="E3205" s="5" t="str">
        <x:f>VLOOKUP(B3205,Sections!$A$5:$I$45,3,FALSE)</x:f>
        <x:v>2024-1</x:v>
      </x:c>
    </x:row>
    <x:row r="3206" ht="21" customHeight="1">
      <x:c r="A3206" s="3" t="str">
        <x:v>2201020</x:v>
      </x:c>
      <x:c r="B3206" s="3" t="str">
        <x:v>SEC030</x:v>
      </x:c>
      <x:c r="C3206" s="3" t="n">
        <x:v>7</x:v>
      </x:c>
      <x:c r="D3206" s="3" t="str">
        <x:v>absent</x:v>
      </x:c>
      <x:c r="E3206" s="5" t="str">
        <x:f>VLOOKUP(B3206,Sections!$A$5:$I$45,3,FALSE)</x:f>
        <x:v>2024-1</x:v>
      </x:c>
    </x:row>
    <x:row r="3207" ht="21" customHeight="1">
      <x:c r="A3207" s="3" t="str">
        <x:v>2201020</x:v>
      </x:c>
      <x:c r="B3207" s="3" t="str">
        <x:v>SEC030</x:v>
      </x:c>
      <x:c r="C3207" s="3" t="n">
        <x:v>8</x:v>
      </x:c>
      <x:c r="D3207" s="3" t="str">
        <x:v>absent</x:v>
      </x:c>
      <x:c r="E3207" s="5" t="str">
        <x:f>VLOOKUP(B3207,Sections!$A$5:$I$45,3,FALSE)</x:f>
        <x:v>2024-1</x:v>
      </x:c>
    </x:row>
    <x:row r="3208" ht="21" customHeight="1">
      <x:c r="A3208" s="3" t="str">
        <x:v>2201020</x:v>
      </x:c>
      <x:c r="B3208" s="3" t="str">
        <x:v>SEC030</x:v>
      </x:c>
      <x:c r="C3208" s="3" t="n">
        <x:v>9</x:v>
      </x:c>
      <x:c r="D3208" s="3" t="str">
        <x:v>excused</x:v>
      </x:c>
      <x:c r="E3208" s="5" t="str">
        <x:f>VLOOKUP(B3208,Sections!$A$5:$I$45,3,FALSE)</x:f>
        <x:v>2024-1</x:v>
      </x:c>
    </x:row>
    <x:row r="3209" ht="21" customHeight="1">
      <x:c r="A3209" s="3" t="str">
        <x:v>2201020</x:v>
      </x:c>
      <x:c r="B3209" s="3" t="str">
        <x:v>SEC030</x:v>
      </x:c>
      <x:c r="C3209" s="3" t="n">
        <x:v>10</x:v>
      </x:c>
      <x:c r="D3209" s="3" t="str">
        <x:v>absent</x:v>
      </x:c>
      <x:c r="E3209" s="5" t="str">
        <x:f>VLOOKUP(B3209,Sections!$A$5:$I$45,3,FALSE)</x:f>
        <x:v>2024-1</x:v>
      </x:c>
    </x:row>
    <x:row r="3210" ht="21" customHeight="1">
      <x:c r="A3210" s="3" t="str">
        <x:v>2201020</x:v>
      </x:c>
      <x:c r="B3210" s="3" t="str">
        <x:v>SEC030</x:v>
      </x:c>
      <x:c r="C3210" s="3" t="n">
        <x:v>11</x:v>
      </x:c>
      <x:c r="D3210" s="3" t="str">
        <x:v>absent</x:v>
      </x:c>
      <x:c r="E3210" s="5" t="str">
        <x:f>VLOOKUP(B3210,Sections!$A$5:$I$45,3,FALSE)</x:f>
        <x:v>2024-1</x:v>
      </x:c>
    </x:row>
    <x:row r="3211" ht="21" customHeight="1">
      <x:c r="A3211" s="3" t="str">
        <x:v>2201020</x:v>
      </x:c>
      <x:c r="B3211" s="3" t="str">
        <x:v>SEC030</x:v>
      </x:c>
      <x:c r="C3211" s="3" t="n">
        <x:v>12</x:v>
      </x:c>
      <x:c r="D3211" s="3" t="str">
        <x:v>present</x:v>
      </x:c>
      <x:c r="E3211" s="5" t="str">
        <x:f>VLOOKUP(B3211,Sections!$A$5:$I$45,3,FALSE)</x:f>
        <x:v>2024-1</x:v>
      </x:c>
    </x:row>
    <x:row r="3212" ht="21" customHeight="1">
      <x:c r="A3212" s="3" t="str">
        <x:v>2201020</x:v>
      </x:c>
      <x:c r="B3212" s="3" t="str">
        <x:v>SEC030</x:v>
      </x:c>
      <x:c r="C3212" s="3" t="n">
        <x:v>13</x:v>
      </x:c>
      <x:c r="D3212" s="3" t="str">
        <x:v>present</x:v>
      </x:c>
      <x:c r="E3212" s="5" t="str">
        <x:f>VLOOKUP(B3212,Sections!$A$5:$I$45,3,FALSE)</x:f>
        <x:v>2024-1</x:v>
      </x:c>
    </x:row>
    <x:row r="3213" ht="21" customHeight="1">
      <x:c r="A3213" s="3" t="str">
        <x:v>2201020</x:v>
      </x:c>
      <x:c r="B3213" s="3" t="str">
        <x:v>SEC030</x:v>
      </x:c>
      <x:c r="C3213" s="3" t="n">
        <x:v>14</x:v>
      </x:c>
      <x:c r="D3213" s="3" t="str">
        <x:v>absent</x:v>
      </x:c>
      <x:c r="E3213" s="5" t="str">
        <x:f>VLOOKUP(B3213,Sections!$A$5:$I$45,3,FALSE)</x:f>
        <x:v>2024-1</x:v>
      </x:c>
    </x:row>
    <x:row r="3214" ht="21" customHeight="1">
      <x:c r="A3214" s="3" t="str">
        <x:v>2201020</x:v>
      </x:c>
      <x:c r="B3214" s="3" t="str">
        <x:v>SEC030</x:v>
      </x:c>
      <x:c r="C3214" s="3" t="n">
        <x:v>15</x:v>
      </x:c>
      <x:c r="D3214" s="3" t="str">
        <x:v>present</x:v>
      </x:c>
      <x:c r="E3214" s="5" t="str">
        <x:f>VLOOKUP(B3214,Sections!$A$5:$I$45,3,FALSE)</x:f>
        <x:v>2024-1</x:v>
      </x:c>
    </x:row>
    <x:row r="3215" ht="21" customHeight="1">
      <x:c r="A3215" s="3" t="str">
        <x:v>2202010</x:v>
      </x:c>
      <x:c r="B3215" s="3" t="str">
        <x:v>SEC031</x:v>
      </x:c>
      <x:c r="C3215" s="3" t="n">
        <x:v>1</x:v>
      </x:c>
      <x:c r="D3215" s="3" t="str">
        <x:v>present</x:v>
      </x:c>
      <x:c r="E3215" s="5" t="str">
        <x:f>VLOOKUP(B3215,Sections!$A$5:$I$45,3,FALSE)</x:f>
        <x:v>2025-1</x:v>
      </x:c>
    </x:row>
    <x:row r="3216" ht="21" customHeight="1">
      <x:c r="A3216" s="3" t="str">
        <x:v>2202010</x:v>
      </x:c>
      <x:c r="B3216" s="3" t="str">
        <x:v>SEC031</x:v>
      </x:c>
      <x:c r="C3216" s="3" t="n">
        <x:v>2</x:v>
      </x:c>
      <x:c r="D3216" s="3" t="str">
        <x:v>present</x:v>
      </x:c>
      <x:c r="E3216" s="5" t="str">
        <x:f>VLOOKUP(B3216,Sections!$A$5:$I$45,3,FALSE)</x:f>
        <x:v>2025-1</x:v>
      </x:c>
    </x:row>
    <x:row r="3217" ht="21" customHeight="1">
      <x:c r="A3217" s="3" t="str">
        <x:v>2202010</x:v>
      </x:c>
      <x:c r="B3217" s="3" t="str">
        <x:v>SEC031</x:v>
      </x:c>
      <x:c r="C3217" s="3" t="n">
        <x:v>3</x:v>
      </x:c>
      <x:c r="D3217" s="3" t="str">
        <x:v>absent</x:v>
      </x:c>
      <x:c r="E3217" s="5" t="str">
        <x:f>VLOOKUP(B3217,Sections!$A$5:$I$45,3,FALSE)</x:f>
        <x:v>2025-1</x:v>
      </x:c>
    </x:row>
    <x:row r="3218" ht="21" customHeight="1">
      <x:c r="A3218" s="3" t="str">
        <x:v>2202010</x:v>
      </x:c>
      <x:c r="B3218" s="3" t="str">
        <x:v>SEC031</x:v>
      </x:c>
      <x:c r="C3218" s="3" t="n">
        <x:v>4</x:v>
      </x:c>
      <x:c r="D3218" s="3" t="str">
        <x:v>present</x:v>
      </x:c>
      <x:c r="E3218" s="5" t="str">
        <x:f>VLOOKUP(B3218,Sections!$A$5:$I$45,3,FALSE)</x:f>
        <x:v>2025-1</x:v>
      </x:c>
    </x:row>
    <x:row r="3219" ht="21" customHeight="1">
      <x:c r="A3219" s="3" t="str">
        <x:v>2202010</x:v>
      </x:c>
      <x:c r="B3219" s="3" t="str">
        <x:v>SEC031</x:v>
      </x:c>
      <x:c r="C3219" s="3" t="n">
        <x:v>5</x:v>
      </x:c>
      <x:c r="D3219" s="3" t="str">
        <x:v>late</x:v>
      </x:c>
      <x:c r="E3219" s="5" t="str">
        <x:f>VLOOKUP(B3219,Sections!$A$5:$I$45,3,FALSE)</x:f>
        <x:v>2025-1</x:v>
      </x:c>
    </x:row>
    <x:row r="3220" ht="21" customHeight="1">
      <x:c r="A3220" s="3" t="str">
        <x:v>2202010</x:v>
      </x:c>
      <x:c r="B3220" s="3" t="str">
        <x:v>SEC031</x:v>
      </x:c>
      <x:c r="C3220" s="3" t="n">
        <x:v>6</x:v>
      </x:c>
      <x:c r="D3220" s="3" t="str">
        <x:v>present</x:v>
      </x:c>
      <x:c r="E3220" s="5" t="str">
        <x:f>VLOOKUP(B3220,Sections!$A$5:$I$45,3,FALSE)</x:f>
        <x:v>2025-1</x:v>
      </x:c>
    </x:row>
    <x:row r="3221" ht="21" customHeight="1">
      <x:c r="A3221" s="3" t="str">
        <x:v>2202010</x:v>
      </x:c>
      <x:c r="B3221" s="3" t="str">
        <x:v>SEC031</x:v>
      </x:c>
      <x:c r="C3221" s="3" t="n">
        <x:v>7</x:v>
      </x:c>
      <x:c r="D3221" s="3" t="str">
        <x:v>absent</x:v>
      </x:c>
      <x:c r="E3221" s="5" t="str">
        <x:f>VLOOKUP(B3221,Sections!$A$5:$I$45,3,FALSE)</x:f>
        <x:v>2025-1</x:v>
      </x:c>
    </x:row>
    <x:row r="3222" ht="21" customHeight="1">
      <x:c r="A3222" s="3" t="str">
        <x:v>2202010</x:v>
      </x:c>
      <x:c r="B3222" s="3" t="str">
        <x:v>SEC031</x:v>
      </x:c>
      <x:c r="C3222" s="3" t="n">
        <x:v>8</x:v>
      </x:c>
      <x:c r="D3222" s="3" t="str">
        <x:v>absent</x:v>
      </x:c>
      <x:c r="E3222" s="5" t="str">
        <x:f>VLOOKUP(B3222,Sections!$A$5:$I$45,3,FALSE)</x:f>
        <x:v>2025-1</x:v>
      </x:c>
    </x:row>
    <x:row r="3223" ht="21" customHeight="1">
      <x:c r="A3223" s="3" t="str">
        <x:v>2202010</x:v>
      </x:c>
      <x:c r="B3223" s="3" t="str">
        <x:v>SEC031</x:v>
      </x:c>
      <x:c r="C3223" s="3" t="n">
        <x:v>9</x:v>
      </x:c>
      <x:c r="D3223" s="3" t="str">
        <x:v>present</x:v>
      </x:c>
      <x:c r="E3223" s="5" t="str">
        <x:f>VLOOKUP(B3223,Sections!$A$5:$I$45,3,FALSE)</x:f>
        <x:v>2025-1</x:v>
      </x:c>
    </x:row>
    <x:row r="3224" ht="21" customHeight="1">
      <x:c r="A3224" s="3" t="str">
        <x:v>2202010</x:v>
      </x:c>
      <x:c r="B3224" s="3" t="str">
        <x:v>SEC031</x:v>
      </x:c>
      <x:c r="C3224" s="3" t="n">
        <x:v>10</x:v>
      </x:c>
      <x:c r="D3224" s="3" t="str">
        <x:v>present</x:v>
      </x:c>
      <x:c r="E3224" s="5" t="str">
        <x:f>VLOOKUP(B3224,Sections!$A$5:$I$45,3,FALSE)</x:f>
        <x:v>2025-1</x:v>
      </x:c>
    </x:row>
    <x:row r="3225" ht="21" customHeight="1">
      <x:c r="A3225" s="3" t="str">
        <x:v>2202010</x:v>
      </x:c>
      <x:c r="B3225" s="3" t="str">
        <x:v>SEC031</x:v>
      </x:c>
      <x:c r="C3225" s="3" t="n">
        <x:v>11</x:v>
      </x:c>
      <x:c r="D3225" s="3" t="str">
        <x:v>present</x:v>
      </x:c>
      <x:c r="E3225" s="5" t="str">
        <x:f>VLOOKUP(B3225,Sections!$A$5:$I$45,3,FALSE)</x:f>
        <x:v>2025-1</x:v>
      </x:c>
    </x:row>
    <x:row r="3226" ht="21" customHeight="1">
      <x:c r="A3226" s="3" t="str">
        <x:v>2202010</x:v>
      </x:c>
      <x:c r="B3226" s="3" t="str">
        <x:v>SEC031</x:v>
      </x:c>
      <x:c r="C3226" s="3" t="n">
        <x:v>12</x:v>
      </x:c>
      <x:c r="D3226" s="3" t="str">
        <x:v>present</x:v>
      </x:c>
      <x:c r="E3226" s="5" t="str">
        <x:f>VLOOKUP(B3226,Sections!$A$5:$I$45,3,FALSE)</x:f>
        <x:v>2025-1</x:v>
      </x:c>
    </x:row>
    <x:row r="3227" ht="21" customHeight="1">
      <x:c r="A3227" s="3" t="str">
        <x:v>2202010</x:v>
      </x:c>
      <x:c r="B3227" s="3" t="str">
        <x:v>SEC031</x:v>
      </x:c>
      <x:c r="C3227" s="3" t="n">
        <x:v>13</x:v>
      </x:c>
      <x:c r="D3227" s="3" t="str">
        <x:v>present</x:v>
      </x:c>
      <x:c r="E3227" s="5" t="str">
        <x:f>VLOOKUP(B3227,Sections!$A$5:$I$45,3,FALSE)</x:f>
        <x:v>2025-1</x:v>
      </x:c>
    </x:row>
    <x:row r="3228" ht="21" customHeight="1">
      <x:c r="A3228" s="3" t="str">
        <x:v>2202010</x:v>
      </x:c>
      <x:c r="B3228" s="3" t="str">
        <x:v>SEC031</x:v>
      </x:c>
      <x:c r="C3228" s="3" t="n">
        <x:v>14</x:v>
      </x:c>
      <x:c r="D3228" s="3" t="str">
        <x:v>present</x:v>
      </x:c>
      <x:c r="E3228" s="5" t="str">
        <x:f>VLOOKUP(B3228,Sections!$A$5:$I$45,3,FALSE)</x:f>
        <x:v>2025-1</x:v>
      </x:c>
    </x:row>
    <x:row r="3229" ht="21" customHeight="1">
      <x:c r="A3229" s="3" t="str">
        <x:v>2202010</x:v>
      </x:c>
      <x:c r="B3229" s="3" t="str">
        <x:v>SEC031</x:v>
      </x:c>
      <x:c r="C3229" s="3" t="n">
        <x:v>15</x:v>
      </x:c>
      <x:c r="D3229" s="3" t="str">
        <x:v>present</x:v>
      </x:c>
      <x:c r="E3229" s="5" t="str">
        <x:f>VLOOKUP(B3229,Sections!$A$5:$I$45,3,FALSE)</x:f>
        <x:v>2025-1</x:v>
      </x:c>
    </x:row>
    <x:row r="3230" ht="21" customHeight="1">
      <x:c r="A3230" s="3" t="str">
        <x:v>2202015</x:v>
      </x:c>
      <x:c r="B3230" s="3" t="str">
        <x:v>SEC032</x:v>
      </x:c>
      <x:c r="C3230" s="3" t="n">
        <x:v>1</x:v>
      </x:c>
      <x:c r="D3230" s="3" t="str">
        <x:v>late</x:v>
      </x:c>
      <x:c r="E3230" s="5" t="str">
        <x:f>VLOOKUP(B3230,Sections!$A$5:$I$45,3,FALSE)</x:f>
        <x:v>2025-1</x:v>
      </x:c>
    </x:row>
    <x:row r="3231" ht="21" customHeight="1">
      <x:c r="A3231" s="3" t="str">
        <x:v>2202015</x:v>
      </x:c>
      <x:c r="B3231" s="3" t="str">
        <x:v>SEC032</x:v>
      </x:c>
      <x:c r="C3231" s="3" t="n">
        <x:v>2</x:v>
      </x:c>
      <x:c r="D3231" s="3" t="str">
        <x:v>absent</x:v>
      </x:c>
      <x:c r="E3231" s="5" t="str">
        <x:f>VLOOKUP(B3231,Sections!$A$5:$I$45,3,FALSE)</x:f>
        <x:v>2025-1</x:v>
      </x:c>
    </x:row>
    <x:row r="3232" ht="21" customHeight="1">
      <x:c r="A3232" s="3" t="str">
        <x:v>2202015</x:v>
      </x:c>
      <x:c r="B3232" s="3" t="str">
        <x:v>SEC032</x:v>
      </x:c>
      <x:c r="C3232" s="3" t="n">
        <x:v>3</x:v>
      </x:c>
      <x:c r="D3232" s="3" t="str">
        <x:v>absent</x:v>
      </x:c>
      <x:c r="E3232" s="5" t="str">
        <x:f>VLOOKUP(B3232,Sections!$A$5:$I$45,3,FALSE)</x:f>
        <x:v>2025-1</x:v>
      </x:c>
    </x:row>
    <x:row r="3233" ht="21" customHeight="1">
      <x:c r="A3233" s="3" t="str">
        <x:v>2202015</x:v>
      </x:c>
      <x:c r="B3233" s="3" t="str">
        <x:v>SEC032</x:v>
      </x:c>
      <x:c r="C3233" s="3" t="n">
        <x:v>4</x:v>
      </x:c>
      <x:c r="D3233" s="3" t="str">
        <x:v>present</x:v>
      </x:c>
      <x:c r="E3233" s="5" t="str">
        <x:f>VLOOKUP(B3233,Sections!$A$5:$I$45,3,FALSE)</x:f>
        <x:v>2025-1</x:v>
      </x:c>
    </x:row>
    <x:row r="3234" ht="21" customHeight="1">
      <x:c r="A3234" s="3" t="str">
        <x:v>2202015</x:v>
      </x:c>
      <x:c r="B3234" s="3" t="str">
        <x:v>SEC032</x:v>
      </x:c>
      <x:c r="C3234" s="3" t="n">
        <x:v>5</x:v>
      </x:c>
      <x:c r="D3234" s="3" t="str">
        <x:v>late</x:v>
      </x:c>
      <x:c r="E3234" s="5" t="str">
        <x:f>VLOOKUP(B3234,Sections!$A$5:$I$45,3,FALSE)</x:f>
        <x:v>2025-1</x:v>
      </x:c>
    </x:row>
    <x:row r="3235" ht="21" customHeight="1">
      <x:c r="A3235" s="3" t="str">
        <x:v>2202015</x:v>
      </x:c>
      <x:c r="B3235" s="3" t="str">
        <x:v>SEC032</x:v>
      </x:c>
      <x:c r="C3235" s="3" t="n">
        <x:v>6</x:v>
      </x:c>
      <x:c r="D3235" s="3" t="str">
        <x:v>present</x:v>
      </x:c>
      <x:c r="E3235" s="5" t="str">
        <x:f>VLOOKUP(B3235,Sections!$A$5:$I$45,3,FALSE)</x:f>
        <x:v>2025-1</x:v>
      </x:c>
    </x:row>
    <x:row r="3236" ht="21" customHeight="1">
      <x:c r="A3236" s="3" t="str">
        <x:v>2202015</x:v>
      </x:c>
      <x:c r="B3236" s="3" t="str">
        <x:v>SEC032</x:v>
      </x:c>
      <x:c r="C3236" s="3" t="n">
        <x:v>7</x:v>
      </x:c>
      <x:c r="D3236" s="3" t="str">
        <x:v>excused</x:v>
      </x:c>
      <x:c r="E3236" s="5" t="str">
        <x:f>VLOOKUP(B3236,Sections!$A$5:$I$45,3,FALSE)</x:f>
        <x:v>2025-1</x:v>
      </x:c>
    </x:row>
    <x:row r="3237" ht="21" customHeight="1">
      <x:c r="A3237" s="3" t="str">
        <x:v>2202015</x:v>
      </x:c>
      <x:c r="B3237" s="3" t="str">
        <x:v>SEC032</x:v>
      </x:c>
      <x:c r="C3237" s="3" t="n">
        <x:v>8</x:v>
      </x:c>
      <x:c r="D3237" s="3" t="str">
        <x:v>present</x:v>
      </x:c>
      <x:c r="E3237" s="5" t="str">
        <x:f>VLOOKUP(B3237,Sections!$A$5:$I$45,3,FALSE)</x:f>
        <x:v>2025-1</x:v>
      </x:c>
    </x:row>
    <x:row r="3238" ht="21" customHeight="1">
      <x:c r="A3238" s="3" t="str">
        <x:v>2202015</x:v>
      </x:c>
      <x:c r="B3238" s="3" t="str">
        <x:v>SEC032</x:v>
      </x:c>
      <x:c r="C3238" s="3" t="n">
        <x:v>9</x:v>
      </x:c>
      <x:c r="D3238" s="3" t="str">
        <x:v>absent</x:v>
      </x:c>
      <x:c r="E3238" s="5" t="str">
        <x:f>VLOOKUP(B3238,Sections!$A$5:$I$45,3,FALSE)</x:f>
        <x:v>2025-1</x:v>
      </x:c>
    </x:row>
    <x:row r="3239" ht="21" customHeight="1">
      <x:c r="A3239" s="3" t="str">
        <x:v>2202015</x:v>
      </x:c>
      <x:c r="B3239" s="3" t="str">
        <x:v>SEC032</x:v>
      </x:c>
      <x:c r="C3239" s="3" t="n">
        <x:v>10</x:v>
      </x:c>
      <x:c r="D3239" s="3" t="str">
        <x:v>absent</x:v>
      </x:c>
      <x:c r="E3239" s="5" t="str">
        <x:f>VLOOKUP(B3239,Sections!$A$5:$I$45,3,FALSE)</x:f>
        <x:v>2025-1</x:v>
      </x:c>
    </x:row>
    <x:row r="3240" ht="21" customHeight="1">
      <x:c r="A3240" s="3" t="str">
        <x:v>2202015</x:v>
      </x:c>
      <x:c r="B3240" s="3" t="str">
        <x:v>SEC032</x:v>
      </x:c>
      <x:c r="C3240" s="3" t="n">
        <x:v>11</x:v>
      </x:c>
      <x:c r="D3240" s="3" t="str">
        <x:v>absent</x:v>
      </x:c>
      <x:c r="E3240" s="5" t="str">
        <x:f>VLOOKUP(B3240,Sections!$A$5:$I$45,3,FALSE)</x:f>
        <x:v>2025-1</x:v>
      </x:c>
    </x:row>
    <x:row r="3241" ht="21" customHeight="1">
      <x:c r="A3241" s="3" t="str">
        <x:v>2202015</x:v>
      </x:c>
      <x:c r="B3241" s="3" t="str">
        <x:v>SEC032</x:v>
      </x:c>
      <x:c r="C3241" s="3" t="n">
        <x:v>12</x:v>
      </x:c>
      <x:c r="D3241" s="3" t="str">
        <x:v>present</x:v>
      </x:c>
      <x:c r="E3241" s="5" t="str">
        <x:f>VLOOKUP(B3241,Sections!$A$5:$I$45,3,FALSE)</x:f>
        <x:v>2025-1</x:v>
      </x:c>
    </x:row>
    <x:row r="3242" ht="21" customHeight="1">
      <x:c r="A3242" s="3" t="str">
        <x:v>2202015</x:v>
      </x:c>
      <x:c r="B3242" s="3" t="str">
        <x:v>SEC032</x:v>
      </x:c>
      <x:c r="C3242" s="3" t="n">
        <x:v>13</x:v>
      </x:c>
      <x:c r="D3242" s="3" t="str">
        <x:v>excused</x:v>
      </x:c>
      <x:c r="E3242" s="5" t="str">
        <x:f>VLOOKUP(B3242,Sections!$A$5:$I$45,3,FALSE)</x:f>
        <x:v>2025-1</x:v>
      </x:c>
    </x:row>
    <x:row r="3243" ht="21" customHeight="1">
      <x:c r="A3243" s="3" t="str">
        <x:v>2202015</x:v>
      </x:c>
      <x:c r="B3243" s="3" t="str">
        <x:v>SEC032</x:v>
      </x:c>
      <x:c r="C3243" s="3" t="n">
        <x:v>14</x:v>
      </x:c>
      <x:c r="D3243" s="3" t="str">
        <x:v>present</x:v>
      </x:c>
      <x:c r="E3243" s="5" t="str">
        <x:f>VLOOKUP(B3243,Sections!$A$5:$I$45,3,FALSE)</x:f>
        <x:v>2025-1</x:v>
      </x:c>
    </x:row>
    <x:row r="3244" ht="21" customHeight="1">
      <x:c r="A3244" s="3" t="str">
        <x:v>2202015</x:v>
      </x:c>
      <x:c r="B3244" s="3" t="str">
        <x:v>SEC032</x:v>
      </x:c>
      <x:c r="C3244" s="3" t="n">
        <x:v>15</x:v>
      </x:c>
      <x:c r="D3244" s="3" t="str">
        <x:v>absent</x:v>
      </x:c>
      <x:c r="E3244" s="5" t="str">
        <x:f>VLOOKUP(B3244,Sections!$A$5:$I$45,3,FALSE)</x:f>
        <x:v>2025-1</x:v>
      </x:c>
    </x:row>
    <x:row r="3245" ht="21" customHeight="1">
      <x:c r="A3245" s="3" t="str">
        <x:v>2201010</x:v>
      </x:c>
      <x:c r="B3245" s="3" t="str">
        <x:v>SEC033</x:v>
      </x:c>
      <x:c r="C3245" s="3" t="n">
        <x:v>1</x:v>
      </x:c>
      <x:c r="D3245" s="3" t="str">
        <x:v>absent</x:v>
      </x:c>
      <x:c r="E3245" s="5" t="str">
        <x:f>VLOOKUP(B3245,Sections!$A$5:$I$45,3,FALSE)</x:f>
        <x:v>2025-1</x:v>
      </x:c>
    </x:row>
    <x:row r="3246" ht="21" customHeight="1">
      <x:c r="A3246" s="3" t="str">
        <x:v>2201010</x:v>
      </x:c>
      <x:c r="B3246" s="3" t="str">
        <x:v>SEC033</x:v>
      </x:c>
      <x:c r="C3246" s="3" t="n">
        <x:v>2</x:v>
      </x:c>
      <x:c r="D3246" s="3" t="str">
        <x:v>present</x:v>
      </x:c>
      <x:c r="E3246" s="5" t="str">
        <x:f>VLOOKUP(B3246,Sections!$A$5:$I$45,3,FALSE)</x:f>
        <x:v>2025-1</x:v>
      </x:c>
    </x:row>
    <x:row r="3247" ht="21" customHeight="1">
      <x:c r="A3247" s="3" t="str">
        <x:v>2201010</x:v>
      </x:c>
      <x:c r="B3247" s="3" t="str">
        <x:v>SEC033</x:v>
      </x:c>
      <x:c r="C3247" s="3" t="n">
        <x:v>3</x:v>
      </x:c>
      <x:c r="D3247" s="3" t="str">
        <x:v>present</x:v>
      </x:c>
      <x:c r="E3247" s="5" t="str">
        <x:f>VLOOKUP(B3247,Sections!$A$5:$I$45,3,FALSE)</x:f>
        <x:v>2025-1</x:v>
      </x:c>
    </x:row>
    <x:row r="3248" ht="21" customHeight="1">
      <x:c r="A3248" s="3" t="str">
        <x:v>2201010</x:v>
      </x:c>
      <x:c r="B3248" s="3" t="str">
        <x:v>SEC033</x:v>
      </x:c>
      <x:c r="C3248" s="3" t="n">
        <x:v>4</x:v>
      </x:c>
      <x:c r="D3248" s="3" t="str">
        <x:v>present</x:v>
      </x:c>
      <x:c r="E3248" s="5" t="str">
        <x:f>VLOOKUP(B3248,Sections!$A$5:$I$45,3,FALSE)</x:f>
        <x:v>2025-1</x:v>
      </x:c>
    </x:row>
    <x:row r="3249" ht="21" customHeight="1">
      <x:c r="A3249" s="3" t="str">
        <x:v>2201010</x:v>
      </x:c>
      <x:c r="B3249" s="3" t="str">
        <x:v>SEC033</x:v>
      </x:c>
      <x:c r="C3249" s="3" t="n">
        <x:v>5</x:v>
      </x:c>
      <x:c r="D3249" s="3" t="str">
        <x:v>present</x:v>
      </x:c>
      <x:c r="E3249" s="5" t="str">
        <x:f>VLOOKUP(B3249,Sections!$A$5:$I$45,3,FALSE)</x:f>
        <x:v>2025-1</x:v>
      </x:c>
    </x:row>
    <x:row r="3250" ht="21" customHeight="1">
      <x:c r="A3250" s="3" t="str">
        <x:v>2201010</x:v>
      </x:c>
      <x:c r="B3250" s="3" t="str">
        <x:v>SEC033</x:v>
      </x:c>
      <x:c r="C3250" s="3" t="n">
        <x:v>6</x:v>
      </x:c>
      <x:c r="D3250" s="3" t="str">
        <x:v>absent</x:v>
      </x:c>
      <x:c r="E3250" s="5" t="str">
        <x:f>VLOOKUP(B3250,Sections!$A$5:$I$45,3,FALSE)</x:f>
        <x:v>2025-1</x:v>
      </x:c>
    </x:row>
    <x:row r="3251" ht="21" customHeight="1">
      <x:c r="A3251" s="3" t="str">
        <x:v>2201010</x:v>
      </x:c>
      <x:c r="B3251" s="3" t="str">
        <x:v>SEC033</x:v>
      </x:c>
      <x:c r="C3251" s="3" t="n">
        <x:v>7</x:v>
      </x:c>
      <x:c r="D3251" s="3" t="str">
        <x:v>present</x:v>
      </x:c>
      <x:c r="E3251" s="5" t="str">
        <x:f>VLOOKUP(B3251,Sections!$A$5:$I$45,3,FALSE)</x:f>
        <x:v>2025-1</x:v>
      </x:c>
    </x:row>
    <x:row r="3252" ht="21" customHeight="1">
      <x:c r="A3252" s="3" t="str">
        <x:v>2201010</x:v>
      </x:c>
      <x:c r="B3252" s="3" t="str">
        <x:v>SEC033</x:v>
      </x:c>
      <x:c r="C3252" s="3" t="n">
        <x:v>8</x:v>
      </x:c>
      <x:c r="D3252" s="3" t="str">
        <x:v>present</x:v>
      </x:c>
      <x:c r="E3252" s="5" t="str">
        <x:f>VLOOKUP(B3252,Sections!$A$5:$I$45,3,FALSE)</x:f>
        <x:v>2025-1</x:v>
      </x:c>
    </x:row>
    <x:row r="3253" ht="21" customHeight="1">
      <x:c r="A3253" s="3" t="str">
        <x:v>2201010</x:v>
      </x:c>
      <x:c r="B3253" s="3" t="str">
        <x:v>SEC033</x:v>
      </x:c>
      <x:c r="C3253" s="3" t="n">
        <x:v>9</x:v>
      </x:c>
      <x:c r="D3253" s="3" t="str">
        <x:v>excused</x:v>
      </x:c>
      <x:c r="E3253" s="5" t="str">
        <x:f>VLOOKUP(B3253,Sections!$A$5:$I$45,3,FALSE)</x:f>
        <x:v>2025-1</x:v>
      </x:c>
    </x:row>
    <x:row r="3254" ht="21" customHeight="1">
      <x:c r="A3254" s="3" t="str">
        <x:v>2201010</x:v>
      </x:c>
      <x:c r="B3254" s="3" t="str">
        <x:v>SEC033</x:v>
      </x:c>
      <x:c r="C3254" s="3" t="n">
        <x:v>10</x:v>
      </x:c>
      <x:c r="D3254" s="3" t="str">
        <x:v>present</x:v>
      </x:c>
      <x:c r="E3254" s="5" t="str">
        <x:f>VLOOKUP(B3254,Sections!$A$5:$I$45,3,FALSE)</x:f>
        <x:v>2025-1</x:v>
      </x:c>
    </x:row>
    <x:row r="3255" ht="21" customHeight="1">
      <x:c r="A3255" s="3" t="str">
        <x:v>2201010</x:v>
      </x:c>
      <x:c r="B3255" s="3" t="str">
        <x:v>SEC033</x:v>
      </x:c>
      <x:c r="C3255" s="3" t="n">
        <x:v>11</x:v>
      </x:c>
      <x:c r="D3255" s="3" t="str">
        <x:v>present</x:v>
      </x:c>
      <x:c r="E3255" s="5" t="str">
        <x:f>VLOOKUP(B3255,Sections!$A$5:$I$45,3,FALSE)</x:f>
        <x:v>2025-1</x:v>
      </x:c>
    </x:row>
    <x:row r="3256" ht="21" customHeight="1">
      <x:c r="A3256" s="3" t="str">
        <x:v>2201010</x:v>
      </x:c>
      <x:c r="B3256" s="3" t="str">
        <x:v>SEC033</x:v>
      </x:c>
      <x:c r="C3256" s="3" t="n">
        <x:v>12</x:v>
      </x:c>
      <x:c r="D3256" s="3" t="str">
        <x:v>present</x:v>
      </x:c>
      <x:c r="E3256" s="5" t="str">
        <x:f>VLOOKUP(B3256,Sections!$A$5:$I$45,3,FALSE)</x:f>
        <x:v>2025-1</x:v>
      </x:c>
    </x:row>
    <x:row r="3257" ht="21" customHeight="1">
      <x:c r="A3257" s="3" t="str">
        <x:v>2201010</x:v>
      </x:c>
      <x:c r="B3257" s="3" t="str">
        <x:v>SEC033</x:v>
      </x:c>
      <x:c r="C3257" s="3" t="n">
        <x:v>13</x:v>
      </x:c>
      <x:c r="D3257" s="3" t="str">
        <x:v>absent</x:v>
      </x:c>
      <x:c r="E3257" s="5" t="str">
        <x:f>VLOOKUP(B3257,Sections!$A$5:$I$45,3,FALSE)</x:f>
        <x:v>2025-1</x:v>
      </x:c>
    </x:row>
    <x:row r="3258" ht="21" customHeight="1">
      <x:c r="A3258" s="3" t="str">
        <x:v>2201010</x:v>
      </x:c>
      <x:c r="B3258" s="3" t="str">
        <x:v>SEC033</x:v>
      </x:c>
      <x:c r="C3258" s="3" t="n">
        <x:v>14</x:v>
      </x:c>
      <x:c r="D3258" s="3" t="str">
        <x:v>absent</x:v>
      </x:c>
      <x:c r="E3258" s="5" t="str">
        <x:f>VLOOKUP(B3258,Sections!$A$5:$I$45,3,FALSE)</x:f>
        <x:v>2025-1</x:v>
      </x:c>
    </x:row>
    <x:row r="3259" ht="21" customHeight="1">
      <x:c r="A3259" s="3" t="str">
        <x:v>2201010</x:v>
      </x:c>
      <x:c r="B3259" s="3" t="str">
        <x:v>SEC033</x:v>
      </x:c>
      <x:c r="C3259" s="3" t="n">
        <x:v>15</x:v>
      </x:c>
      <x:c r="D3259" s="3" t="str">
        <x:v>present</x:v>
      </x:c>
      <x:c r="E3259" s="5" t="str">
        <x:f>VLOOKUP(B3259,Sections!$A$5:$I$45,3,FALSE)</x:f>
        <x:v>2025-1</x:v>
      </x:c>
    </x:row>
    <x:row r="3260" ht="21" customHeight="1">
      <x:c r="A3260" s="3" t="str">
        <x:v>2201020</x:v>
      </x:c>
      <x:c r="B3260" s="3" t="str">
        <x:v>SEC034</x:v>
      </x:c>
      <x:c r="C3260" s="3" t="n">
        <x:v>1</x:v>
      </x:c>
      <x:c r="D3260" s="3" t="str">
        <x:v>absent</x:v>
      </x:c>
      <x:c r="E3260" s="5" t="str">
        <x:f>VLOOKUP(B3260,Sections!$A$5:$I$45,3,FALSE)</x:f>
        <x:v>2025-1</x:v>
      </x:c>
    </x:row>
    <x:row r="3261" ht="21" customHeight="1">
      <x:c r="A3261" s="3" t="str">
        <x:v>2201020</x:v>
      </x:c>
      <x:c r="B3261" s="3" t="str">
        <x:v>SEC034</x:v>
      </x:c>
      <x:c r="C3261" s="3" t="n">
        <x:v>2</x:v>
      </x:c>
      <x:c r="D3261" s="3" t="str">
        <x:v>absent</x:v>
      </x:c>
      <x:c r="E3261" s="5" t="str">
        <x:f>VLOOKUP(B3261,Sections!$A$5:$I$45,3,FALSE)</x:f>
        <x:v>2025-1</x:v>
      </x:c>
    </x:row>
    <x:row r="3262" ht="21" customHeight="1">
      <x:c r="A3262" s="3" t="str">
        <x:v>2201020</x:v>
      </x:c>
      <x:c r="B3262" s="3" t="str">
        <x:v>SEC034</x:v>
      </x:c>
      <x:c r="C3262" s="3" t="n">
        <x:v>3</x:v>
      </x:c>
      <x:c r="D3262" s="3" t="str">
        <x:v>present</x:v>
      </x:c>
      <x:c r="E3262" s="5" t="str">
        <x:f>VLOOKUP(B3262,Sections!$A$5:$I$45,3,FALSE)</x:f>
        <x:v>2025-1</x:v>
      </x:c>
    </x:row>
    <x:row r="3263" ht="21" customHeight="1">
      <x:c r="A3263" s="3" t="str">
        <x:v>2201020</x:v>
      </x:c>
      <x:c r="B3263" s="3" t="str">
        <x:v>SEC034</x:v>
      </x:c>
      <x:c r="C3263" s="3" t="n">
        <x:v>4</x:v>
      </x:c>
      <x:c r="D3263" s="3" t="str">
        <x:v>present</x:v>
      </x:c>
      <x:c r="E3263" s="5" t="str">
        <x:f>VLOOKUP(B3263,Sections!$A$5:$I$45,3,FALSE)</x:f>
        <x:v>2025-1</x:v>
      </x:c>
    </x:row>
    <x:row r="3264" ht="21" customHeight="1">
      <x:c r="A3264" s="3" t="str">
        <x:v>2201020</x:v>
      </x:c>
      <x:c r="B3264" s="3" t="str">
        <x:v>SEC034</x:v>
      </x:c>
      <x:c r="C3264" s="3" t="n">
        <x:v>5</x:v>
      </x:c>
      <x:c r="D3264" s="3" t="str">
        <x:v>present</x:v>
      </x:c>
      <x:c r="E3264" s="5" t="str">
        <x:f>VLOOKUP(B3264,Sections!$A$5:$I$45,3,FALSE)</x:f>
        <x:v>2025-1</x:v>
      </x:c>
    </x:row>
    <x:row r="3265" ht="21" customHeight="1">
      <x:c r="A3265" s="3" t="str">
        <x:v>2201020</x:v>
      </x:c>
      <x:c r="B3265" s="3" t="str">
        <x:v>SEC034</x:v>
      </x:c>
      <x:c r="C3265" s="3" t="n">
        <x:v>6</x:v>
      </x:c>
      <x:c r="D3265" s="3" t="str">
        <x:v>absent</x:v>
      </x:c>
      <x:c r="E3265" s="5" t="str">
        <x:f>VLOOKUP(B3265,Sections!$A$5:$I$45,3,FALSE)</x:f>
        <x:v>2025-1</x:v>
      </x:c>
    </x:row>
    <x:row r="3266" ht="21" customHeight="1">
      <x:c r="A3266" s="3" t="str">
        <x:v>2201020</x:v>
      </x:c>
      <x:c r="B3266" s="3" t="str">
        <x:v>SEC034</x:v>
      </x:c>
      <x:c r="C3266" s="3" t="n">
        <x:v>7</x:v>
      </x:c>
      <x:c r="D3266" s="3" t="str">
        <x:v>present</x:v>
      </x:c>
      <x:c r="E3266" s="5" t="str">
        <x:f>VLOOKUP(B3266,Sections!$A$5:$I$45,3,FALSE)</x:f>
        <x:v>2025-1</x:v>
      </x:c>
    </x:row>
    <x:row r="3267" ht="21" customHeight="1">
      <x:c r="A3267" s="3" t="str">
        <x:v>2201020</x:v>
      </x:c>
      <x:c r="B3267" s="3" t="str">
        <x:v>SEC034</x:v>
      </x:c>
      <x:c r="C3267" s="3" t="n">
        <x:v>8</x:v>
      </x:c>
      <x:c r="D3267" s="3" t="str">
        <x:v>excused</x:v>
      </x:c>
      <x:c r="E3267" s="5" t="str">
        <x:f>VLOOKUP(B3267,Sections!$A$5:$I$45,3,FALSE)</x:f>
        <x:v>2025-1</x:v>
      </x:c>
    </x:row>
    <x:row r="3268" ht="21" customHeight="1">
      <x:c r="A3268" s="3" t="str">
        <x:v>2201020</x:v>
      </x:c>
      <x:c r="B3268" s="3" t="str">
        <x:v>SEC034</x:v>
      </x:c>
      <x:c r="C3268" s="3" t="n">
        <x:v>9</x:v>
      </x:c>
      <x:c r="D3268" s="3" t="str">
        <x:v>present</x:v>
      </x:c>
      <x:c r="E3268" s="5" t="str">
        <x:f>VLOOKUP(B3268,Sections!$A$5:$I$45,3,FALSE)</x:f>
        <x:v>2025-1</x:v>
      </x:c>
    </x:row>
    <x:row r="3269" ht="21" customHeight="1">
      <x:c r="A3269" s="3" t="str">
        <x:v>2201020</x:v>
      </x:c>
      <x:c r="B3269" s="3" t="str">
        <x:v>SEC034</x:v>
      </x:c>
      <x:c r="C3269" s="3" t="n">
        <x:v>10</x:v>
      </x:c>
      <x:c r="D3269" s="3" t="str">
        <x:v>absent</x:v>
      </x:c>
      <x:c r="E3269" s="5" t="str">
        <x:f>VLOOKUP(B3269,Sections!$A$5:$I$45,3,FALSE)</x:f>
        <x:v>2025-1</x:v>
      </x:c>
    </x:row>
    <x:row r="3270" ht="21" customHeight="1">
      <x:c r="A3270" s="3" t="str">
        <x:v>2201020</x:v>
      </x:c>
      <x:c r="B3270" s="3" t="str">
        <x:v>SEC034</x:v>
      </x:c>
      <x:c r="C3270" s="3" t="n">
        <x:v>11</x:v>
      </x:c>
      <x:c r="D3270" s="3" t="str">
        <x:v>present</x:v>
      </x:c>
      <x:c r="E3270" s="5" t="str">
        <x:f>VLOOKUP(B3270,Sections!$A$5:$I$45,3,FALSE)</x:f>
        <x:v>2025-1</x:v>
      </x:c>
    </x:row>
    <x:row r="3271" ht="21" customHeight="1">
      <x:c r="A3271" s="3" t="str">
        <x:v>2201020</x:v>
      </x:c>
      <x:c r="B3271" s="3" t="str">
        <x:v>SEC034</x:v>
      </x:c>
      <x:c r="C3271" s="3" t="n">
        <x:v>12</x:v>
      </x:c>
      <x:c r="D3271" s="3" t="str">
        <x:v>present</x:v>
      </x:c>
      <x:c r="E3271" s="5" t="str">
        <x:f>VLOOKUP(B3271,Sections!$A$5:$I$45,3,FALSE)</x:f>
        <x:v>2025-1</x:v>
      </x:c>
    </x:row>
    <x:row r="3272" ht="21" customHeight="1">
      <x:c r="A3272" s="3" t="str">
        <x:v>2201020</x:v>
      </x:c>
      <x:c r="B3272" s="3" t="str">
        <x:v>SEC034</x:v>
      </x:c>
      <x:c r="C3272" s="3" t="n">
        <x:v>13</x:v>
      </x:c>
      <x:c r="D3272" s="3" t="str">
        <x:v>present</x:v>
      </x:c>
      <x:c r="E3272" s="5" t="str">
        <x:f>VLOOKUP(B3272,Sections!$A$5:$I$45,3,FALSE)</x:f>
        <x:v>2025-1</x:v>
      </x:c>
    </x:row>
    <x:row r="3273" ht="21" customHeight="1">
      <x:c r="A3273" s="3" t="str">
        <x:v>2201020</x:v>
      </x:c>
      <x:c r="B3273" s="3" t="str">
        <x:v>SEC034</x:v>
      </x:c>
      <x:c r="C3273" s="3" t="n">
        <x:v>14</x:v>
      </x:c>
      <x:c r="D3273" s="3" t="str">
        <x:v>present</x:v>
      </x:c>
      <x:c r="E3273" s="5" t="str">
        <x:f>VLOOKUP(B3273,Sections!$A$5:$I$45,3,FALSE)</x:f>
        <x:v>2025-1</x:v>
      </x:c>
    </x:row>
    <x:row r="3274" ht="21" customHeight="1">
      <x:c r="A3274" s="3" t="str">
        <x:v>2201020</x:v>
      </x:c>
      <x:c r="B3274" s="3" t="str">
        <x:v>SEC034</x:v>
      </x:c>
      <x:c r="C3274" s="3" t="n">
        <x:v>15</x:v>
      </x:c>
      <x:c r="D3274" s="3" t="str">
        <x:v>late</x:v>
      </x:c>
      <x:c r="E3274" s="5" t="str">
        <x:f>VLOOKUP(B3274,Sections!$A$5:$I$45,3,FALSE)</x:f>
        <x:v>2025-1</x:v>
      </x:c>
    </x:row>
    <x:row r="3275" ht="21" customHeight="1">
      <x:c r="A3275" s="3" t="str">
        <x:v>2202001</x:v>
      </x:c>
      <x:c r="B3275" s="3" t="str">
        <x:v>SEC035</x:v>
      </x:c>
      <x:c r="C3275" s="3" t="n">
        <x:v>1</x:v>
      </x:c>
      <x:c r="D3275" s="3" t="str">
        <x:v>present</x:v>
      </x:c>
      <x:c r="E3275" s="5" t="str">
        <x:f>VLOOKUP(B3275,Sections!$A$5:$I$45,3,FALSE)</x:f>
        <x:v>2024-1</x:v>
      </x:c>
    </x:row>
    <x:row r="3276" ht="21" customHeight="1">
      <x:c r="A3276" s="3" t="str">
        <x:v>2202001</x:v>
      </x:c>
      <x:c r="B3276" s="3" t="str">
        <x:v>SEC035</x:v>
      </x:c>
      <x:c r="C3276" s="3" t="n">
        <x:v>2</x:v>
      </x:c>
      <x:c r="D3276" s="3" t="str">
        <x:v>present</x:v>
      </x:c>
      <x:c r="E3276" s="5" t="str">
        <x:f>VLOOKUP(B3276,Sections!$A$5:$I$45,3,FALSE)</x:f>
        <x:v>2024-1</x:v>
      </x:c>
    </x:row>
    <x:row r="3277" ht="21" customHeight="1">
      <x:c r="A3277" s="3" t="str">
        <x:v>2202001</x:v>
      </x:c>
      <x:c r="B3277" s="3" t="str">
        <x:v>SEC035</x:v>
      </x:c>
      <x:c r="C3277" s="3" t="n">
        <x:v>3</x:v>
      </x:c>
      <x:c r="D3277" s="3" t="str">
        <x:v>present</x:v>
      </x:c>
      <x:c r="E3277" s="5" t="str">
        <x:f>VLOOKUP(B3277,Sections!$A$5:$I$45,3,FALSE)</x:f>
        <x:v>2024-1</x:v>
      </x:c>
    </x:row>
    <x:row r="3278" ht="21" customHeight="1">
      <x:c r="A3278" s="3" t="str">
        <x:v>2202001</x:v>
      </x:c>
      <x:c r="B3278" s="3" t="str">
        <x:v>SEC035</x:v>
      </x:c>
      <x:c r="C3278" s="3" t="n">
        <x:v>4</x:v>
      </x:c>
      <x:c r="D3278" s="3" t="str">
        <x:v>absent</x:v>
      </x:c>
      <x:c r="E3278" s="5" t="str">
        <x:f>VLOOKUP(B3278,Sections!$A$5:$I$45,3,FALSE)</x:f>
        <x:v>2024-1</x:v>
      </x:c>
    </x:row>
    <x:row r="3279" ht="21" customHeight="1">
      <x:c r="A3279" s="3" t="str">
        <x:v>2202001</x:v>
      </x:c>
      <x:c r="B3279" s="3" t="str">
        <x:v>SEC035</x:v>
      </x:c>
      <x:c r="C3279" s="3" t="n">
        <x:v>5</x:v>
      </x:c>
      <x:c r="D3279" s="3" t="str">
        <x:v>present</x:v>
      </x:c>
      <x:c r="E3279" s="5" t="str">
        <x:f>VLOOKUP(B3279,Sections!$A$5:$I$45,3,FALSE)</x:f>
        <x:v>2024-1</x:v>
      </x:c>
    </x:row>
    <x:row r="3280" ht="21" customHeight="1">
      <x:c r="A3280" s="3" t="str">
        <x:v>2202001</x:v>
      </x:c>
      <x:c r="B3280" s="3" t="str">
        <x:v>SEC035</x:v>
      </x:c>
      <x:c r="C3280" s="3" t="n">
        <x:v>6</x:v>
      </x:c>
      <x:c r="D3280" s="3" t="str">
        <x:v>present</x:v>
      </x:c>
      <x:c r="E3280" s="5" t="str">
        <x:f>VLOOKUP(B3280,Sections!$A$5:$I$45,3,FALSE)</x:f>
        <x:v>2024-1</x:v>
      </x:c>
    </x:row>
    <x:row r="3281" ht="21" customHeight="1">
      <x:c r="A3281" s="3" t="str">
        <x:v>2202001</x:v>
      </x:c>
      <x:c r="B3281" s="3" t="str">
        <x:v>SEC035</x:v>
      </x:c>
      <x:c r="C3281" s="3" t="n">
        <x:v>7</x:v>
      </x:c>
      <x:c r="D3281" s="3" t="str">
        <x:v>present</x:v>
      </x:c>
      <x:c r="E3281" s="5" t="str">
        <x:f>VLOOKUP(B3281,Sections!$A$5:$I$45,3,FALSE)</x:f>
        <x:v>2024-1</x:v>
      </x:c>
    </x:row>
    <x:row r="3282" ht="21" customHeight="1">
      <x:c r="A3282" s="3" t="str">
        <x:v>2202001</x:v>
      </x:c>
      <x:c r="B3282" s="3" t="str">
        <x:v>SEC035</x:v>
      </x:c>
      <x:c r="C3282" s="3" t="n">
        <x:v>8</x:v>
      </x:c>
      <x:c r="D3282" s="3" t="str">
        <x:v>present</x:v>
      </x:c>
      <x:c r="E3282" s="5" t="str">
        <x:f>VLOOKUP(B3282,Sections!$A$5:$I$45,3,FALSE)</x:f>
        <x:v>2024-1</x:v>
      </x:c>
    </x:row>
    <x:row r="3283" ht="21" customHeight="1">
      <x:c r="A3283" s="3" t="str">
        <x:v>2202001</x:v>
      </x:c>
      <x:c r="B3283" s="3" t="str">
        <x:v>SEC035</x:v>
      </x:c>
      <x:c r="C3283" s="3" t="n">
        <x:v>9</x:v>
      </x:c>
      <x:c r="D3283" s="3" t="str">
        <x:v>present</x:v>
      </x:c>
      <x:c r="E3283" s="5" t="str">
        <x:f>VLOOKUP(B3283,Sections!$A$5:$I$45,3,FALSE)</x:f>
        <x:v>2024-1</x:v>
      </x:c>
    </x:row>
    <x:row r="3284" ht="21" customHeight="1">
      <x:c r="A3284" s="3" t="str">
        <x:v>2202001</x:v>
      </x:c>
      <x:c r="B3284" s="3" t="str">
        <x:v>SEC035</x:v>
      </x:c>
      <x:c r="C3284" s="3" t="n">
        <x:v>10</x:v>
      </x:c>
      <x:c r="D3284" s="3" t="str">
        <x:v>present</x:v>
      </x:c>
      <x:c r="E3284" s="5" t="str">
        <x:f>VLOOKUP(B3284,Sections!$A$5:$I$45,3,FALSE)</x:f>
        <x:v>2024-1</x:v>
      </x:c>
    </x:row>
    <x:row r="3285" ht="21" customHeight="1">
      <x:c r="A3285" s="3" t="str">
        <x:v>2202001</x:v>
      </x:c>
      <x:c r="B3285" s="3" t="str">
        <x:v>SEC035</x:v>
      </x:c>
      <x:c r="C3285" s="3" t="n">
        <x:v>11</x:v>
      </x:c>
      <x:c r="D3285" s="3" t="str">
        <x:v>present</x:v>
      </x:c>
      <x:c r="E3285" s="5" t="str">
        <x:f>VLOOKUP(B3285,Sections!$A$5:$I$45,3,FALSE)</x:f>
        <x:v>2024-1</x:v>
      </x:c>
    </x:row>
    <x:row r="3286" ht="21" customHeight="1">
      <x:c r="A3286" s="3" t="str">
        <x:v>2202001</x:v>
      </x:c>
      <x:c r="B3286" s="3" t="str">
        <x:v>SEC035</x:v>
      </x:c>
      <x:c r="C3286" s="3" t="n">
        <x:v>12</x:v>
      </x:c>
      <x:c r="D3286" s="3" t="str">
        <x:v>present</x:v>
      </x:c>
      <x:c r="E3286" s="5" t="str">
        <x:f>VLOOKUP(B3286,Sections!$A$5:$I$45,3,FALSE)</x:f>
        <x:v>2024-1</x:v>
      </x:c>
    </x:row>
    <x:row r="3287" ht="21" customHeight="1">
      <x:c r="A3287" s="3" t="str">
        <x:v>2202001</x:v>
      </x:c>
      <x:c r="B3287" s="3" t="str">
        <x:v>SEC035</x:v>
      </x:c>
      <x:c r="C3287" s="3" t="n">
        <x:v>13</x:v>
      </x:c>
      <x:c r="D3287" s="3" t="str">
        <x:v>present</x:v>
      </x:c>
      <x:c r="E3287" s="5" t="str">
        <x:f>VLOOKUP(B3287,Sections!$A$5:$I$45,3,FALSE)</x:f>
        <x:v>2024-1</x:v>
      </x:c>
    </x:row>
    <x:row r="3288" ht="21" customHeight="1">
      <x:c r="A3288" s="3" t="str">
        <x:v>2202001</x:v>
      </x:c>
      <x:c r="B3288" s="3" t="str">
        <x:v>SEC035</x:v>
      </x:c>
      <x:c r="C3288" s="3" t="n">
        <x:v>14</x:v>
      </x:c>
      <x:c r="D3288" s="3" t="str">
        <x:v>present</x:v>
      </x:c>
      <x:c r="E3288" s="5" t="str">
        <x:f>VLOOKUP(B3288,Sections!$A$5:$I$45,3,FALSE)</x:f>
        <x:v>2024-1</x:v>
      </x:c>
    </x:row>
    <x:row r="3289" ht="21" customHeight="1">
      <x:c r="A3289" s="3" t="str">
        <x:v>2202001</x:v>
      </x:c>
      <x:c r="B3289" s="3" t="str">
        <x:v>SEC035</x:v>
      </x:c>
      <x:c r="C3289" s="3" t="n">
        <x:v>15</x:v>
      </x:c>
      <x:c r="D3289" s="3" t="str">
        <x:v>present</x:v>
      </x:c>
      <x:c r="E3289" s="5" t="str">
        <x:f>VLOOKUP(B3289,Sections!$A$5:$I$45,3,FALSE)</x:f>
        <x:v>2024-1</x:v>
      </x:c>
    </x:row>
    <x:row r="3290" ht="21" customHeight="1">
      <x:c r="A3290" s="3" t="str">
        <x:v>2202002</x:v>
      </x:c>
      <x:c r="B3290" s="3" t="str">
        <x:v>SEC035</x:v>
      </x:c>
      <x:c r="C3290" s="3" t="n">
        <x:v>1</x:v>
      </x:c>
      <x:c r="D3290" s="3" t="str">
        <x:v>present</x:v>
      </x:c>
      <x:c r="E3290" s="5" t="str">
        <x:f>VLOOKUP(B3290,Sections!$A$5:$I$45,3,FALSE)</x:f>
        <x:v>2024-1</x:v>
      </x:c>
    </x:row>
    <x:row r="3291" ht="21" customHeight="1">
      <x:c r="A3291" s="3" t="str">
        <x:v>2202002</x:v>
      </x:c>
      <x:c r="B3291" s="3" t="str">
        <x:v>SEC035</x:v>
      </x:c>
      <x:c r="C3291" s="3" t="n">
        <x:v>2</x:v>
      </x:c>
      <x:c r="D3291" s="3" t="str">
        <x:v>present</x:v>
      </x:c>
      <x:c r="E3291" s="5" t="str">
        <x:f>VLOOKUP(B3291,Sections!$A$5:$I$45,3,FALSE)</x:f>
        <x:v>2024-1</x:v>
      </x:c>
    </x:row>
    <x:row r="3292" ht="21" customHeight="1">
      <x:c r="A3292" s="3" t="str">
        <x:v>2202002</x:v>
      </x:c>
      <x:c r="B3292" s="3" t="str">
        <x:v>SEC035</x:v>
      </x:c>
      <x:c r="C3292" s="3" t="n">
        <x:v>3</x:v>
      </x:c>
      <x:c r="D3292" s="3" t="str">
        <x:v>present</x:v>
      </x:c>
      <x:c r="E3292" s="5" t="str">
        <x:f>VLOOKUP(B3292,Sections!$A$5:$I$45,3,FALSE)</x:f>
        <x:v>2024-1</x:v>
      </x:c>
    </x:row>
    <x:row r="3293" ht="21" customHeight="1">
      <x:c r="A3293" s="3" t="str">
        <x:v>2202002</x:v>
      </x:c>
      <x:c r="B3293" s="3" t="str">
        <x:v>SEC035</x:v>
      </x:c>
      <x:c r="C3293" s="3" t="n">
        <x:v>4</x:v>
      </x:c>
      <x:c r="D3293" s="3" t="str">
        <x:v>present</x:v>
      </x:c>
      <x:c r="E3293" s="5" t="str">
        <x:f>VLOOKUP(B3293,Sections!$A$5:$I$45,3,FALSE)</x:f>
        <x:v>2024-1</x:v>
      </x:c>
    </x:row>
    <x:row r="3294" ht="21" customHeight="1">
      <x:c r="A3294" s="3" t="str">
        <x:v>2202002</x:v>
      </x:c>
      <x:c r="B3294" s="3" t="str">
        <x:v>SEC035</x:v>
      </x:c>
      <x:c r="C3294" s="3" t="n">
        <x:v>5</x:v>
      </x:c>
      <x:c r="D3294" s="3" t="str">
        <x:v>present</x:v>
      </x:c>
      <x:c r="E3294" s="5" t="str">
        <x:f>VLOOKUP(B3294,Sections!$A$5:$I$45,3,FALSE)</x:f>
        <x:v>2024-1</x:v>
      </x:c>
    </x:row>
    <x:row r="3295" ht="21" customHeight="1">
      <x:c r="A3295" s="3" t="str">
        <x:v>2202002</x:v>
      </x:c>
      <x:c r="B3295" s="3" t="str">
        <x:v>SEC035</x:v>
      </x:c>
      <x:c r="C3295" s="3" t="n">
        <x:v>6</x:v>
      </x:c>
      <x:c r="D3295" s="3" t="str">
        <x:v>absent</x:v>
      </x:c>
      <x:c r="E3295" s="5" t="str">
        <x:f>VLOOKUP(B3295,Sections!$A$5:$I$45,3,FALSE)</x:f>
        <x:v>2024-1</x:v>
      </x:c>
    </x:row>
    <x:row r="3296" ht="21" customHeight="1">
      <x:c r="A3296" s="3" t="str">
        <x:v>2202002</x:v>
      </x:c>
      <x:c r="B3296" s="3" t="str">
        <x:v>SEC035</x:v>
      </x:c>
      <x:c r="C3296" s="3" t="n">
        <x:v>7</x:v>
      </x:c>
      <x:c r="D3296" s="3" t="str">
        <x:v>present</x:v>
      </x:c>
      <x:c r="E3296" s="5" t="str">
        <x:f>VLOOKUP(B3296,Sections!$A$5:$I$45,3,FALSE)</x:f>
        <x:v>2024-1</x:v>
      </x:c>
    </x:row>
    <x:row r="3297" ht="21" customHeight="1">
      <x:c r="A3297" s="3" t="str">
        <x:v>2202002</x:v>
      </x:c>
      <x:c r="B3297" s="3" t="str">
        <x:v>SEC035</x:v>
      </x:c>
      <x:c r="C3297" s="3" t="n">
        <x:v>8</x:v>
      </x:c>
      <x:c r="D3297" s="3" t="str">
        <x:v>present</x:v>
      </x:c>
      <x:c r="E3297" s="5" t="str">
        <x:f>VLOOKUP(B3297,Sections!$A$5:$I$45,3,FALSE)</x:f>
        <x:v>2024-1</x:v>
      </x:c>
    </x:row>
    <x:row r="3298" ht="21" customHeight="1">
      <x:c r="A3298" s="3" t="str">
        <x:v>2202002</x:v>
      </x:c>
      <x:c r="B3298" s="3" t="str">
        <x:v>SEC035</x:v>
      </x:c>
      <x:c r="C3298" s="3" t="n">
        <x:v>9</x:v>
      </x:c>
      <x:c r="D3298" s="3" t="str">
        <x:v>present</x:v>
      </x:c>
      <x:c r="E3298" s="5" t="str">
        <x:f>VLOOKUP(B3298,Sections!$A$5:$I$45,3,FALSE)</x:f>
        <x:v>2024-1</x:v>
      </x:c>
    </x:row>
    <x:row r="3299" ht="21" customHeight="1">
      <x:c r="A3299" s="3" t="str">
        <x:v>2202002</x:v>
      </x:c>
      <x:c r="B3299" s="3" t="str">
        <x:v>SEC035</x:v>
      </x:c>
      <x:c r="C3299" s="3" t="n">
        <x:v>10</x:v>
      </x:c>
      <x:c r="D3299" s="3" t="str">
        <x:v>present</x:v>
      </x:c>
      <x:c r="E3299" s="5" t="str">
        <x:f>VLOOKUP(B3299,Sections!$A$5:$I$45,3,FALSE)</x:f>
        <x:v>2024-1</x:v>
      </x:c>
    </x:row>
    <x:row r="3300" ht="21" customHeight="1">
      <x:c r="A3300" s="3" t="str">
        <x:v>2202002</x:v>
      </x:c>
      <x:c r="B3300" s="3" t="str">
        <x:v>SEC035</x:v>
      </x:c>
      <x:c r="C3300" s="3" t="n">
        <x:v>11</x:v>
      </x:c>
      <x:c r="D3300" s="3" t="str">
        <x:v>present</x:v>
      </x:c>
      <x:c r="E3300" s="5" t="str">
        <x:f>VLOOKUP(B3300,Sections!$A$5:$I$45,3,FALSE)</x:f>
        <x:v>2024-1</x:v>
      </x:c>
    </x:row>
    <x:row r="3301" ht="21" customHeight="1">
      <x:c r="A3301" s="3" t="str">
        <x:v>2202002</x:v>
      </x:c>
      <x:c r="B3301" s="3" t="str">
        <x:v>SEC035</x:v>
      </x:c>
      <x:c r="C3301" s="3" t="n">
        <x:v>12</x:v>
      </x:c>
      <x:c r="D3301" s="3" t="str">
        <x:v>present</x:v>
      </x:c>
      <x:c r="E3301" s="5" t="str">
        <x:f>VLOOKUP(B3301,Sections!$A$5:$I$45,3,FALSE)</x:f>
        <x:v>2024-1</x:v>
      </x:c>
    </x:row>
    <x:row r="3302" ht="21" customHeight="1">
      <x:c r="A3302" s="3" t="str">
        <x:v>2202002</x:v>
      </x:c>
      <x:c r="B3302" s="3" t="str">
        <x:v>SEC035</x:v>
      </x:c>
      <x:c r="C3302" s="3" t="n">
        <x:v>13</x:v>
      </x:c>
      <x:c r="D3302" s="3" t="str">
        <x:v>present</x:v>
      </x:c>
      <x:c r="E3302" s="5" t="str">
        <x:f>VLOOKUP(B3302,Sections!$A$5:$I$45,3,FALSE)</x:f>
        <x:v>2024-1</x:v>
      </x:c>
    </x:row>
    <x:row r="3303" ht="21" customHeight="1">
      <x:c r="A3303" s="3" t="str">
        <x:v>2202002</x:v>
      </x:c>
      <x:c r="B3303" s="3" t="str">
        <x:v>SEC035</x:v>
      </x:c>
      <x:c r="C3303" s="3" t="n">
        <x:v>14</x:v>
      </x:c>
      <x:c r="D3303" s="3" t="str">
        <x:v>present</x:v>
      </x:c>
      <x:c r="E3303" s="5" t="str">
        <x:f>VLOOKUP(B3303,Sections!$A$5:$I$45,3,FALSE)</x:f>
        <x:v>2024-1</x:v>
      </x:c>
    </x:row>
    <x:row r="3304" ht="21" customHeight="1">
      <x:c r="A3304" s="3" t="str">
        <x:v>2202002</x:v>
      </x:c>
      <x:c r="B3304" s="3" t="str">
        <x:v>SEC035</x:v>
      </x:c>
      <x:c r="C3304" s="3" t="n">
        <x:v>15</x:v>
      </x:c>
      <x:c r="D3304" s="3" t="str">
        <x:v>excused</x:v>
      </x:c>
      <x:c r="E3304" s="5" t="str">
        <x:f>VLOOKUP(B3304,Sections!$A$5:$I$45,3,FALSE)</x:f>
        <x:v>2024-1</x:v>
      </x:c>
    </x:row>
    <x:row r="3305" ht="21" customHeight="1">
      <x:c r="A3305" s="3" t="str">
        <x:v>2202003</x:v>
      </x:c>
      <x:c r="B3305" s="3" t="str">
        <x:v>SEC035</x:v>
      </x:c>
      <x:c r="C3305" s="3" t="n">
        <x:v>1</x:v>
      </x:c>
      <x:c r="D3305" s="3" t="str">
        <x:v>present</x:v>
      </x:c>
      <x:c r="E3305" s="5" t="str">
        <x:f>VLOOKUP(B3305,Sections!$A$5:$I$45,3,FALSE)</x:f>
        <x:v>2024-1</x:v>
      </x:c>
    </x:row>
    <x:row r="3306" ht="21" customHeight="1">
      <x:c r="A3306" s="3" t="str">
        <x:v>2202003</x:v>
      </x:c>
      <x:c r="B3306" s="3" t="str">
        <x:v>SEC035</x:v>
      </x:c>
      <x:c r="C3306" s="3" t="n">
        <x:v>2</x:v>
      </x:c>
      <x:c r="D3306" s="3" t="str">
        <x:v>present</x:v>
      </x:c>
      <x:c r="E3306" s="5" t="str">
        <x:f>VLOOKUP(B3306,Sections!$A$5:$I$45,3,FALSE)</x:f>
        <x:v>2024-1</x:v>
      </x:c>
    </x:row>
    <x:row r="3307" ht="21" customHeight="1">
      <x:c r="A3307" s="3" t="str">
        <x:v>2202003</x:v>
      </x:c>
      <x:c r="B3307" s="3" t="str">
        <x:v>SEC035</x:v>
      </x:c>
      <x:c r="C3307" s="3" t="n">
        <x:v>3</x:v>
      </x:c>
      <x:c r="D3307" s="3" t="str">
        <x:v>present</x:v>
      </x:c>
      <x:c r="E3307" s="5" t="str">
        <x:f>VLOOKUP(B3307,Sections!$A$5:$I$45,3,FALSE)</x:f>
        <x:v>2024-1</x:v>
      </x:c>
    </x:row>
    <x:row r="3308" ht="21" customHeight="1">
      <x:c r="A3308" s="3" t="str">
        <x:v>2202003</x:v>
      </x:c>
      <x:c r="B3308" s="3" t="str">
        <x:v>SEC035</x:v>
      </x:c>
      <x:c r="C3308" s="3" t="n">
        <x:v>4</x:v>
      </x:c>
      <x:c r="D3308" s="3" t="str">
        <x:v>present</x:v>
      </x:c>
      <x:c r="E3308" s="5" t="str">
        <x:f>VLOOKUP(B3308,Sections!$A$5:$I$45,3,FALSE)</x:f>
        <x:v>2024-1</x:v>
      </x:c>
    </x:row>
    <x:row r="3309" ht="21" customHeight="1">
      <x:c r="A3309" s="3" t="str">
        <x:v>2202003</x:v>
      </x:c>
      <x:c r="B3309" s="3" t="str">
        <x:v>SEC035</x:v>
      </x:c>
      <x:c r="C3309" s="3" t="n">
        <x:v>5</x:v>
      </x:c>
      <x:c r="D3309" s="3" t="str">
        <x:v>present</x:v>
      </x:c>
      <x:c r="E3309" s="5" t="str">
        <x:f>VLOOKUP(B3309,Sections!$A$5:$I$45,3,FALSE)</x:f>
        <x:v>2024-1</x:v>
      </x:c>
    </x:row>
    <x:row r="3310" ht="21" customHeight="1">
      <x:c r="A3310" s="3" t="str">
        <x:v>2202003</x:v>
      </x:c>
      <x:c r="B3310" s="3" t="str">
        <x:v>SEC035</x:v>
      </x:c>
      <x:c r="C3310" s="3" t="n">
        <x:v>6</x:v>
      </x:c>
      <x:c r="D3310" s="3" t="str">
        <x:v>present</x:v>
      </x:c>
      <x:c r="E3310" s="5" t="str">
        <x:f>VLOOKUP(B3310,Sections!$A$5:$I$45,3,FALSE)</x:f>
        <x:v>2024-1</x:v>
      </x:c>
    </x:row>
    <x:row r="3311" ht="21" customHeight="1">
      <x:c r="A3311" s="3" t="str">
        <x:v>2202003</x:v>
      </x:c>
      <x:c r="B3311" s="3" t="str">
        <x:v>SEC035</x:v>
      </x:c>
      <x:c r="C3311" s="3" t="n">
        <x:v>7</x:v>
      </x:c>
      <x:c r="D3311" s="3" t="str">
        <x:v>present</x:v>
      </x:c>
      <x:c r="E3311" s="5" t="str">
        <x:f>VLOOKUP(B3311,Sections!$A$5:$I$45,3,FALSE)</x:f>
        <x:v>2024-1</x:v>
      </x:c>
    </x:row>
    <x:row r="3312" ht="21" customHeight="1">
      <x:c r="A3312" s="3" t="str">
        <x:v>2202003</x:v>
      </x:c>
      <x:c r="B3312" s="3" t="str">
        <x:v>SEC035</x:v>
      </x:c>
      <x:c r="C3312" s="3" t="n">
        <x:v>8</x:v>
      </x:c>
      <x:c r="D3312" s="3" t="str">
        <x:v>present</x:v>
      </x:c>
      <x:c r="E3312" s="5" t="str">
        <x:f>VLOOKUP(B3312,Sections!$A$5:$I$45,3,FALSE)</x:f>
        <x:v>2024-1</x:v>
      </x:c>
    </x:row>
    <x:row r="3313" ht="21" customHeight="1">
      <x:c r="A3313" s="3" t="str">
        <x:v>2202003</x:v>
      </x:c>
      <x:c r="B3313" s="3" t="str">
        <x:v>SEC035</x:v>
      </x:c>
      <x:c r="C3313" s="3" t="n">
        <x:v>9</x:v>
      </x:c>
      <x:c r="D3313" s="3" t="str">
        <x:v>present</x:v>
      </x:c>
      <x:c r="E3313" s="5" t="str">
        <x:f>VLOOKUP(B3313,Sections!$A$5:$I$45,3,FALSE)</x:f>
        <x:v>2024-1</x:v>
      </x:c>
    </x:row>
    <x:row r="3314" ht="21" customHeight="1">
      <x:c r="A3314" s="3" t="str">
        <x:v>2202003</x:v>
      </x:c>
      <x:c r="B3314" s="3" t="str">
        <x:v>SEC035</x:v>
      </x:c>
      <x:c r="C3314" s="3" t="n">
        <x:v>10</x:v>
      </x:c>
      <x:c r="D3314" s="3" t="str">
        <x:v>present</x:v>
      </x:c>
      <x:c r="E3314" s="5" t="str">
        <x:f>VLOOKUP(B3314,Sections!$A$5:$I$45,3,FALSE)</x:f>
        <x:v>2024-1</x:v>
      </x:c>
    </x:row>
    <x:row r="3315" ht="21" customHeight="1">
      <x:c r="A3315" s="3" t="str">
        <x:v>2202003</x:v>
      </x:c>
      <x:c r="B3315" s="3" t="str">
        <x:v>SEC035</x:v>
      </x:c>
      <x:c r="C3315" s="3" t="n">
        <x:v>11</x:v>
      </x:c>
      <x:c r="D3315" s="3" t="str">
        <x:v>present</x:v>
      </x:c>
      <x:c r="E3315" s="5" t="str">
        <x:f>VLOOKUP(B3315,Sections!$A$5:$I$45,3,FALSE)</x:f>
        <x:v>2024-1</x:v>
      </x:c>
    </x:row>
    <x:row r="3316" ht="21" customHeight="1">
      <x:c r="A3316" s="3" t="str">
        <x:v>2202003</x:v>
      </x:c>
      <x:c r="B3316" s="3" t="str">
        <x:v>SEC035</x:v>
      </x:c>
      <x:c r="C3316" s="3" t="n">
        <x:v>12</x:v>
      </x:c>
      <x:c r="D3316" s="3" t="str">
        <x:v>present</x:v>
      </x:c>
      <x:c r="E3316" s="5" t="str">
        <x:f>VLOOKUP(B3316,Sections!$A$5:$I$45,3,FALSE)</x:f>
        <x:v>2024-1</x:v>
      </x:c>
    </x:row>
    <x:row r="3317" ht="21" customHeight="1">
      <x:c r="A3317" s="3" t="str">
        <x:v>2202003</x:v>
      </x:c>
      <x:c r="B3317" s="3" t="str">
        <x:v>SEC035</x:v>
      </x:c>
      <x:c r="C3317" s="3" t="n">
        <x:v>13</x:v>
      </x:c>
      <x:c r="D3317" s="3" t="str">
        <x:v>present</x:v>
      </x:c>
      <x:c r="E3317" s="5" t="str">
        <x:f>VLOOKUP(B3317,Sections!$A$5:$I$45,3,FALSE)</x:f>
        <x:v>2024-1</x:v>
      </x:c>
    </x:row>
    <x:row r="3318" ht="21" customHeight="1">
      <x:c r="A3318" s="3" t="str">
        <x:v>2202003</x:v>
      </x:c>
      <x:c r="B3318" s="3" t="str">
        <x:v>SEC035</x:v>
      </x:c>
      <x:c r="C3318" s="3" t="n">
        <x:v>14</x:v>
      </x:c>
      <x:c r="D3318" s="3" t="str">
        <x:v>present</x:v>
      </x:c>
      <x:c r="E3318" s="5" t="str">
        <x:f>VLOOKUP(B3318,Sections!$A$5:$I$45,3,FALSE)</x:f>
        <x:v>2024-1</x:v>
      </x:c>
    </x:row>
    <x:row r="3319" ht="21" customHeight="1">
      <x:c r="A3319" s="3" t="str">
        <x:v>2202003</x:v>
      </x:c>
      <x:c r="B3319" s="3" t="str">
        <x:v>SEC035</x:v>
      </x:c>
      <x:c r="C3319" s="3" t="n">
        <x:v>15</x:v>
      </x:c>
      <x:c r="D3319" s="3" t="str">
        <x:v>present</x:v>
      </x:c>
      <x:c r="E3319" s="5" t="str">
        <x:f>VLOOKUP(B3319,Sections!$A$5:$I$45,3,FALSE)</x:f>
        <x:v>2024-1</x:v>
      </x:c>
    </x:row>
    <x:row r="3320" ht="21" customHeight="1">
      <x:c r="A3320" s="3" t="str">
        <x:v>2202004</x:v>
      </x:c>
      <x:c r="B3320" s="3" t="str">
        <x:v>SEC035</x:v>
      </x:c>
      <x:c r="C3320" s="3" t="n">
        <x:v>1</x:v>
      </x:c>
      <x:c r="D3320" s="3" t="str">
        <x:v>present</x:v>
      </x:c>
      <x:c r="E3320" s="5" t="str">
        <x:f>VLOOKUP(B3320,Sections!$A$5:$I$45,3,FALSE)</x:f>
        <x:v>2024-1</x:v>
      </x:c>
    </x:row>
    <x:row r="3321" ht="21" customHeight="1">
      <x:c r="A3321" s="3" t="str">
        <x:v>2202004</x:v>
      </x:c>
      <x:c r="B3321" s="3" t="str">
        <x:v>SEC035</x:v>
      </x:c>
      <x:c r="C3321" s="3" t="n">
        <x:v>2</x:v>
      </x:c>
      <x:c r="D3321" s="3" t="str">
        <x:v>present</x:v>
      </x:c>
      <x:c r="E3321" s="5" t="str">
        <x:f>VLOOKUP(B3321,Sections!$A$5:$I$45,3,FALSE)</x:f>
        <x:v>2024-1</x:v>
      </x:c>
    </x:row>
    <x:row r="3322" ht="21" customHeight="1">
      <x:c r="A3322" s="3" t="str">
        <x:v>2202004</x:v>
      </x:c>
      <x:c r="B3322" s="3" t="str">
        <x:v>SEC035</x:v>
      </x:c>
      <x:c r="C3322" s="3" t="n">
        <x:v>3</x:v>
      </x:c>
      <x:c r="D3322" s="3" t="str">
        <x:v>present</x:v>
      </x:c>
      <x:c r="E3322" s="5" t="str">
        <x:f>VLOOKUP(B3322,Sections!$A$5:$I$45,3,FALSE)</x:f>
        <x:v>2024-1</x:v>
      </x:c>
    </x:row>
    <x:row r="3323" ht="21" customHeight="1">
      <x:c r="A3323" s="3" t="str">
        <x:v>2202004</x:v>
      </x:c>
      <x:c r="B3323" s="3" t="str">
        <x:v>SEC035</x:v>
      </x:c>
      <x:c r="C3323" s="3" t="n">
        <x:v>4</x:v>
      </x:c>
      <x:c r="D3323" s="3" t="str">
        <x:v>present</x:v>
      </x:c>
      <x:c r="E3323" s="5" t="str">
        <x:f>VLOOKUP(B3323,Sections!$A$5:$I$45,3,FALSE)</x:f>
        <x:v>2024-1</x:v>
      </x:c>
    </x:row>
    <x:row r="3324" ht="21" customHeight="1">
      <x:c r="A3324" s="3" t="str">
        <x:v>2202004</x:v>
      </x:c>
      <x:c r="B3324" s="3" t="str">
        <x:v>SEC035</x:v>
      </x:c>
      <x:c r="C3324" s="3" t="n">
        <x:v>5</x:v>
      </x:c>
      <x:c r="D3324" s="3" t="str">
        <x:v>late</x:v>
      </x:c>
      <x:c r="E3324" s="5" t="str">
        <x:f>VLOOKUP(B3324,Sections!$A$5:$I$45,3,FALSE)</x:f>
        <x:v>2024-1</x:v>
      </x:c>
    </x:row>
    <x:row r="3325" ht="21" customHeight="1">
      <x:c r="A3325" s="3" t="str">
        <x:v>2202004</x:v>
      </x:c>
      <x:c r="B3325" s="3" t="str">
        <x:v>SEC035</x:v>
      </x:c>
      <x:c r="C3325" s="3" t="n">
        <x:v>6</x:v>
      </x:c>
      <x:c r="D3325" s="3" t="str">
        <x:v>present</x:v>
      </x:c>
      <x:c r="E3325" s="5" t="str">
        <x:f>VLOOKUP(B3325,Sections!$A$5:$I$45,3,FALSE)</x:f>
        <x:v>2024-1</x:v>
      </x:c>
    </x:row>
    <x:row r="3326" ht="21" customHeight="1">
      <x:c r="A3326" s="3" t="str">
        <x:v>2202004</x:v>
      </x:c>
      <x:c r="B3326" s="3" t="str">
        <x:v>SEC035</x:v>
      </x:c>
      <x:c r="C3326" s="3" t="n">
        <x:v>7</x:v>
      </x:c>
      <x:c r="D3326" s="3" t="str">
        <x:v>present</x:v>
      </x:c>
      <x:c r="E3326" s="5" t="str">
        <x:f>VLOOKUP(B3326,Sections!$A$5:$I$45,3,FALSE)</x:f>
        <x:v>2024-1</x:v>
      </x:c>
    </x:row>
    <x:row r="3327" ht="21" customHeight="1">
      <x:c r="A3327" s="3" t="str">
        <x:v>2202004</x:v>
      </x:c>
      <x:c r="B3327" s="3" t="str">
        <x:v>SEC035</x:v>
      </x:c>
      <x:c r="C3327" s="3" t="n">
        <x:v>8</x:v>
      </x:c>
      <x:c r="D3327" s="3" t="str">
        <x:v>present</x:v>
      </x:c>
      <x:c r="E3327" s="5" t="str">
        <x:f>VLOOKUP(B3327,Sections!$A$5:$I$45,3,FALSE)</x:f>
        <x:v>2024-1</x:v>
      </x:c>
    </x:row>
    <x:row r="3328" ht="21" customHeight="1">
      <x:c r="A3328" s="3" t="str">
        <x:v>2202004</x:v>
      </x:c>
      <x:c r="B3328" s="3" t="str">
        <x:v>SEC035</x:v>
      </x:c>
      <x:c r="C3328" s="3" t="n">
        <x:v>9</x:v>
      </x:c>
      <x:c r="D3328" s="3" t="str">
        <x:v>present</x:v>
      </x:c>
      <x:c r="E3328" s="5" t="str">
        <x:f>VLOOKUP(B3328,Sections!$A$5:$I$45,3,FALSE)</x:f>
        <x:v>2024-1</x:v>
      </x:c>
    </x:row>
    <x:row r="3329" ht="21" customHeight="1">
      <x:c r="A3329" s="3" t="str">
        <x:v>2202004</x:v>
      </x:c>
      <x:c r="B3329" s="3" t="str">
        <x:v>SEC035</x:v>
      </x:c>
      <x:c r="C3329" s="3" t="n">
        <x:v>10</x:v>
      </x:c>
      <x:c r="D3329" s="3" t="str">
        <x:v>present</x:v>
      </x:c>
      <x:c r="E3329" s="5" t="str">
        <x:f>VLOOKUP(B3329,Sections!$A$5:$I$45,3,FALSE)</x:f>
        <x:v>2024-1</x:v>
      </x:c>
    </x:row>
    <x:row r="3330" ht="21" customHeight="1">
      <x:c r="A3330" s="3" t="str">
        <x:v>2202004</x:v>
      </x:c>
      <x:c r="B3330" s="3" t="str">
        <x:v>SEC035</x:v>
      </x:c>
      <x:c r="C3330" s="3" t="n">
        <x:v>11</x:v>
      </x:c>
      <x:c r="D3330" s="3" t="str">
        <x:v>present</x:v>
      </x:c>
      <x:c r="E3330" s="5" t="str">
        <x:f>VLOOKUP(B3330,Sections!$A$5:$I$45,3,FALSE)</x:f>
        <x:v>2024-1</x:v>
      </x:c>
    </x:row>
    <x:row r="3331" ht="21" customHeight="1">
      <x:c r="A3331" s="3" t="str">
        <x:v>2202004</x:v>
      </x:c>
      <x:c r="B3331" s="3" t="str">
        <x:v>SEC035</x:v>
      </x:c>
      <x:c r="C3331" s="3" t="n">
        <x:v>12</x:v>
      </x:c>
      <x:c r="D3331" s="3" t="str">
        <x:v>present</x:v>
      </x:c>
      <x:c r="E3331" s="5" t="str">
        <x:f>VLOOKUP(B3331,Sections!$A$5:$I$45,3,FALSE)</x:f>
        <x:v>2024-1</x:v>
      </x:c>
    </x:row>
    <x:row r="3332" ht="21" customHeight="1">
      <x:c r="A3332" s="3" t="str">
        <x:v>2202004</x:v>
      </x:c>
      <x:c r="B3332" s="3" t="str">
        <x:v>SEC035</x:v>
      </x:c>
      <x:c r="C3332" s="3" t="n">
        <x:v>13</x:v>
      </x:c>
      <x:c r="D3332" s="3" t="str">
        <x:v>present</x:v>
      </x:c>
      <x:c r="E3332" s="5" t="str">
        <x:f>VLOOKUP(B3332,Sections!$A$5:$I$45,3,FALSE)</x:f>
        <x:v>2024-1</x:v>
      </x:c>
    </x:row>
    <x:row r="3333" ht="21" customHeight="1">
      <x:c r="A3333" s="3" t="str">
        <x:v>2202004</x:v>
      </x:c>
      <x:c r="B3333" s="3" t="str">
        <x:v>SEC035</x:v>
      </x:c>
      <x:c r="C3333" s="3" t="n">
        <x:v>14</x:v>
      </x:c>
      <x:c r="D3333" s="3" t="str">
        <x:v>present</x:v>
      </x:c>
      <x:c r="E3333" s="5" t="str">
        <x:f>VLOOKUP(B3333,Sections!$A$5:$I$45,3,FALSE)</x:f>
        <x:v>2024-1</x:v>
      </x:c>
    </x:row>
    <x:row r="3334" ht="21" customHeight="1">
      <x:c r="A3334" s="3" t="str">
        <x:v>2202004</x:v>
      </x:c>
      <x:c r="B3334" s="3" t="str">
        <x:v>SEC035</x:v>
      </x:c>
      <x:c r="C3334" s="3" t="n">
        <x:v>15</x:v>
      </x:c>
      <x:c r="D3334" s="3" t="str">
        <x:v>excused</x:v>
      </x:c>
      <x:c r="E3334" s="5" t="str">
        <x:f>VLOOKUP(B3334,Sections!$A$5:$I$45,3,FALSE)</x:f>
        <x:v>2024-1</x:v>
      </x:c>
    </x:row>
    <x:row r="3335" ht="21" customHeight="1">
      <x:c r="A3335" s="3" t="str">
        <x:v>2202005</x:v>
      </x:c>
      <x:c r="B3335" s="3" t="str">
        <x:v>SEC035</x:v>
      </x:c>
      <x:c r="C3335" s="3" t="n">
        <x:v>1</x:v>
      </x:c>
      <x:c r="D3335" s="3" t="str">
        <x:v>absent</x:v>
      </x:c>
      <x:c r="E3335" s="5" t="str">
        <x:f>VLOOKUP(B3335,Sections!$A$5:$I$45,3,FALSE)</x:f>
        <x:v>2024-1</x:v>
      </x:c>
    </x:row>
    <x:row r="3336" ht="21" customHeight="1">
      <x:c r="A3336" s="3" t="str">
        <x:v>2202005</x:v>
      </x:c>
      <x:c r="B3336" s="3" t="str">
        <x:v>SEC035</x:v>
      </x:c>
      <x:c r="C3336" s="3" t="n">
        <x:v>2</x:v>
      </x:c>
      <x:c r="D3336" s="3" t="str">
        <x:v>present</x:v>
      </x:c>
      <x:c r="E3336" s="5" t="str">
        <x:f>VLOOKUP(B3336,Sections!$A$5:$I$45,3,FALSE)</x:f>
        <x:v>2024-1</x:v>
      </x:c>
    </x:row>
    <x:row r="3337" ht="21" customHeight="1">
      <x:c r="A3337" s="3" t="str">
        <x:v>2202005</x:v>
      </x:c>
      <x:c r="B3337" s="3" t="str">
        <x:v>SEC035</x:v>
      </x:c>
      <x:c r="C3337" s="3" t="n">
        <x:v>3</x:v>
      </x:c>
      <x:c r="D3337" s="3" t="str">
        <x:v>present</x:v>
      </x:c>
      <x:c r="E3337" s="5" t="str">
        <x:f>VLOOKUP(B3337,Sections!$A$5:$I$45,3,FALSE)</x:f>
        <x:v>2024-1</x:v>
      </x:c>
    </x:row>
    <x:row r="3338" ht="21" customHeight="1">
      <x:c r="A3338" s="3" t="str">
        <x:v>2202005</x:v>
      </x:c>
      <x:c r="B3338" s="3" t="str">
        <x:v>SEC035</x:v>
      </x:c>
      <x:c r="C3338" s="3" t="n">
        <x:v>4</x:v>
      </x:c>
      <x:c r="D3338" s="3" t="str">
        <x:v>present</x:v>
      </x:c>
      <x:c r="E3338" s="5" t="str">
        <x:f>VLOOKUP(B3338,Sections!$A$5:$I$45,3,FALSE)</x:f>
        <x:v>2024-1</x:v>
      </x:c>
    </x:row>
    <x:row r="3339" ht="21" customHeight="1">
      <x:c r="A3339" s="3" t="str">
        <x:v>2202005</x:v>
      </x:c>
      <x:c r="B3339" s="3" t="str">
        <x:v>SEC035</x:v>
      </x:c>
      <x:c r="C3339" s="3" t="n">
        <x:v>5</x:v>
      </x:c>
      <x:c r="D3339" s="3" t="str">
        <x:v>absent</x:v>
      </x:c>
      <x:c r="E3339" s="5" t="str">
        <x:f>VLOOKUP(B3339,Sections!$A$5:$I$45,3,FALSE)</x:f>
        <x:v>2024-1</x:v>
      </x:c>
    </x:row>
    <x:row r="3340" ht="21" customHeight="1">
      <x:c r="A3340" s="3" t="str">
        <x:v>2202005</x:v>
      </x:c>
      <x:c r="B3340" s="3" t="str">
        <x:v>SEC035</x:v>
      </x:c>
      <x:c r="C3340" s="3" t="n">
        <x:v>6</x:v>
      </x:c>
      <x:c r="D3340" s="3" t="str">
        <x:v>present</x:v>
      </x:c>
      <x:c r="E3340" s="5" t="str">
        <x:f>VLOOKUP(B3340,Sections!$A$5:$I$45,3,FALSE)</x:f>
        <x:v>2024-1</x:v>
      </x:c>
    </x:row>
    <x:row r="3341" ht="21" customHeight="1">
      <x:c r="A3341" s="3" t="str">
        <x:v>2202005</x:v>
      </x:c>
      <x:c r="B3341" s="3" t="str">
        <x:v>SEC035</x:v>
      </x:c>
      <x:c r="C3341" s="3" t="n">
        <x:v>7</x:v>
      </x:c>
      <x:c r="D3341" s="3" t="str">
        <x:v>present</x:v>
      </x:c>
      <x:c r="E3341" s="5" t="str">
        <x:f>VLOOKUP(B3341,Sections!$A$5:$I$45,3,FALSE)</x:f>
        <x:v>2024-1</x:v>
      </x:c>
    </x:row>
    <x:row r="3342" ht="21" customHeight="1">
      <x:c r="A3342" s="3" t="str">
        <x:v>2202005</x:v>
      </x:c>
      <x:c r="B3342" s="3" t="str">
        <x:v>SEC035</x:v>
      </x:c>
      <x:c r="C3342" s="3" t="n">
        <x:v>8</x:v>
      </x:c>
      <x:c r="D3342" s="3" t="str">
        <x:v>absent</x:v>
      </x:c>
      <x:c r="E3342" s="5" t="str">
        <x:f>VLOOKUP(B3342,Sections!$A$5:$I$45,3,FALSE)</x:f>
        <x:v>2024-1</x:v>
      </x:c>
    </x:row>
    <x:row r="3343" ht="21" customHeight="1">
      <x:c r="A3343" s="3" t="str">
        <x:v>2202005</x:v>
      </x:c>
      <x:c r="B3343" s="3" t="str">
        <x:v>SEC035</x:v>
      </x:c>
      <x:c r="C3343" s="3" t="n">
        <x:v>9</x:v>
      </x:c>
      <x:c r="D3343" s="3" t="str">
        <x:v>absent</x:v>
      </x:c>
      <x:c r="E3343" s="5" t="str">
        <x:f>VLOOKUP(B3343,Sections!$A$5:$I$45,3,FALSE)</x:f>
        <x:v>2024-1</x:v>
      </x:c>
    </x:row>
    <x:row r="3344" ht="21" customHeight="1">
      <x:c r="A3344" s="3" t="str">
        <x:v>2202005</x:v>
      </x:c>
      <x:c r="B3344" s="3" t="str">
        <x:v>SEC035</x:v>
      </x:c>
      <x:c r="C3344" s="3" t="n">
        <x:v>10</x:v>
      </x:c>
      <x:c r="D3344" s="3" t="str">
        <x:v>late</x:v>
      </x:c>
      <x:c r="E3344" s="5" t="str">
        <x:f>VLOOKUP(B3344,Sections!$A$5:$I$45,3,FALSE)</x:f>
        <x:v>2024-1</x:v>
      </x:c>
    </x:row>
    <x:row r="3345" ht="21" customHeight="1">
      <x:c r="A3345" s="3" t="str">
        <x:v>2202005</x:v>
      </x:c>
      <x:c r="B3345" s="3" t="str">
        <x:v>SEC035</x:v>
      </x:c>
      <x:c r="C3345" s="3" t="n">
        <x:v>11</x:v>
      </x:c>
      <x:c r="D3345" s="3" t="str">
        <x:v>present</x:v>
      </x:c>
      <x:c r="E3345" s="5" t="str">
        <x:f>VLOOKUP(B3345,Sections!$A$5:$I$45,3,FALSE)</x:f>
        <x:v>2024-1</x:v>
      </x:c>
    </x:row>
    <x:row r="3346" ht="21" customHeight="1">
      <x:c r="A3346" s="3" t="str">
        <x:v>2202005</x:v>
      </x:c>
      <x:c r="B3346" s="3" t="str">
        <x:v>SEC035</x:v>
      </x:c>
      <x:c r="C3346" s="3" t="n">
        <x:v>12</x:v>
      </x:c>
      <x:c r="D3346" s="3" t="str">
        <x:v>absent</x:v>
      </x:c>
      <x:c r="E3346" s="5" t="str">
        <x:f>VLOOKUP(B3346,Sections!$A$5:$I$45,3,FALSE)</x:f>
        <x:v>2024-1</x:v>
      </x:c>
    </x:row>
    <x:row r="3347" ht="21" customHeight="1">
      <x:c r="A3347" s="3" t="str">
        <x:v>2202005</x:v>
      </x:c>
      <x:c r="B3347" s="3" t="str">
        <x:v>SEC035</x:v>
      </x:c>
      <x:c r="C3347" s="3" t="n">
        <x:v>13</x:v>
      </x:c>
      <x:c r="D3347" s="3" t="str">
        <x:v>absent</x:v>
      </x:c>
      <x:c r="E3347" s="5" t="str">
        <x:f>VLOOKUP(B3347,Sections!$A$5:$I$45,3,FALSE)</x:f>
        <x:v>2024-1</x:v>
      </x:c>
    </x:row>
    <x:row r="3348" ht="21" customHeight="1">
      <x:c r="A3348" s="3" t="str">
        <x:v>2202005</x:v>
      </x:c>
      <x:c r="B3348" s="3" t="str">
        <x:v>SEC035</x:v>
      </x:c>
      <x:c r="C3348" s="3" t="n">
        <x:v>14</x:v>
      </x:c>
      <x:c r="D3348" s="3" t="str">
        <x:v>late</x:v>
      </x:c>
      <x:c r="E3348" s="5" t="str">
        <x:f>VLOOKUP(B3348,Sections!$A$5:$I$45,3,FALSE)</x:f>
        <x:v>2024-1</x:v>
      </x:c>
    </x:row>
    <x:row r="3349" ht="21" customHeight="1">
      <x:c r="A3349" s="3" t="str">
        <x:v>2202005</x:v>
      </x:c>
      <x:c r="B3349" s="3" t="str">
        <x:v>SEC035</x:v>
      </x:c>
      <x:c r="C3349" s="3" t="n">
        <x:v>15</x:v>
      </x:c>
      <x:c r="D3349" s="3" t="str">
        <x:v>present</x:v>
      </x:c>
      <x:c r="E3349" s="5" t="str">
        <x:f>VLOOKUP(B3349,Sections!$A$5:$I$45,3,FALSE)</x:f>
        <x:v>2024-1</x:v>
      </x:c>
    </x:row>
    <x:row r="3350" ht="21" customHeight="1">
      <x:c r="A3350" s="3" t="str">
        <x:v>2202006</x:v>
      </x:c>
      <x:c r="B3350" s="3" t="str">
        <x:v>SEC035</x:v>
      </x:c>
      <x:c r="C3350" s="3" t="n">
        <x:v>1</x:v>
      </x:c>
      <x:c r="D3350" s="3" t="str">
        <x:v>present</x:v>
      </x:c>
      <x:c r="E3350" s="5" t="str">
        <x:f>VLOOKUP(B3350,Sections!$A$5:$I$45,3,FALSE)</x:f>
        <x:v>2024-1</x:v>
      </x:c>
    </x:row>
    <x:row r="3351" ht="21" customHeight="1">
      <x:c r="A3351" s="3" t="str">
        <x:v>2202006</x:v>
      </x:c>
      <x:c r="B3351" s="3" t="str">
        <x:v>SEC035</x:v>
      </x:c>
      <x:c r="C3351" s="3" t="n">
        <x:v>2</x:v>
      </x:c>
      <x:c r="D3351" s="3" t="str">
        <x:v>present</x:v>
      </x:c>
      <x:c r="E3351" s="5" t="str">
        <x:f>VLOOKUP(B3351,Sections!$A$5:$I$45,3,FALSE)</x:f>
        <x:v>2024-1</x:v>
      </x:c>
    </x:row>
    <x:row r="3352" ht="21" customHeight="1">
      <x:c r="A3352" s="3" t="str">
        <x:v>2202006</x:v>
      </x:c>
      <x:c r="B3352" s="3" t="str">
        <x:v>SEC035</x:v>
      </x:c>
      <x:c r="C3352" s="3" t="n">
        <x:v>3</x:v>
      </x:c>
      <x:c r="D3352" s="3" t="str">
        <x:v>present</x:v>
      </x:c>
      <x:c r="E3352" s="5" t="str">
        <x:f>VLOOKUP(B3352,Sections!$A$5:$I$45,3,FALSE)</x:f>
        <x:v>2024-1</x:v>
      </x:c>
    </x:row>
    <x:row r="3353" ht="21" customHeight="1">
      <x:c r="A3353" s="3" t="str">
        <x:v>2202006</x:v>
      </x:c>
      <x:c r="B3353" s="3" t="str">
        <x:v>SEC035</x:v>
      </x:c>
      <x:c r="C3353" s="3" t="n">
        <x:v>4</x:v>
      </x:c>
      <x:c r="D3353" s="3" t="str">
        <x:v>present</x:v>
      </x:c>
      <x:c r="E3353" s="5" t="str">
        <x:f>VLOOKUP(B3353,Sections!$A$5:$I$45,3,FALSE)</x:f>
        <x:v>2024-1</x:v>
      </x:c>
    </x:row>
    <x:row r="3354" ht="21" customHeight="1">
      <x:c r="A3354" s="3" t="str">
        <x:v>2202006</x:v>
      </x:c>
      <x:c r="B3354" s="3" t="str">
        <x:v>SEC035</x:v>
      </x:c>
      <x:c r="C3354" s="3" t="n">
        <x:v>5</x:v>
      </x:c>
      <x:c r="D3354" s="3" t="str">
        <x:v>present</x:v>
      </x:c>
      <x:c r="E3354" s="5" t="str">
        <x:f>VLOOKUP(B3354,Sections!$A$5:$I$45,3,FALSE)</x:f>
        <x:v>2024-1</x:v>
      </x:c>
    </x:row>
    <x:row r="3355" ht="21" customHeight="1">
      <x:c r="A3355" s="3" t="str">
        <x:v>2202006</x:v>
      </x:c>
      <x:c r="B3355" s="3" t="str">
        <x:v>SEC035</x:v>
      </x:c>
      <x:c r="C3355" s="3" t="n">
        <x:v>6</x:v>
      </x:c>
      <x:c r="D3355" s="3" t="str">
        <x:v>present</x:v>
      </x:c>
      <x:c r="E3355" s="5" t="str">
        <x:f>VLOOKUP(B3355,Sections!$A$5:$I$45,3,FALSE)</x:f>
        <x:v>2024-1</x:v>
      </x:c>
    </x:row>
    <x:row r="3356" ht="21" customHeight="1">
      <x:c r="A3356" s="3" t="str">
        <x:v>2202006</x:v>
      </x:c>
      <x:c r="B3356" s="3" t="str">
        <x:v>SEC035</x:v>
      </x:c>
      <x:c r="C3356" s="3" t="n">
        <x:v>7</x:v>
      </x:c>
      <x:c r="D3356" s="3" t="str">
        <x:v>present</x:v>
      </x:c>
      <x:c r="E3356" s="5" t="str">
        <x:f>VLOOKUP(B3356,Sections!$A$5:$I$45,3,FALSE)</x:f>
        <x:v>2024-1</x:v>
      </x:c>
    </x:row>
    <x:row r="3357" ht="21" customHeight="1">
      <x:c r="A3357" s="3" t="str">
        <x:v>2202006</x:v>
      </x:c>
      <x:c r="B3357" s="3" t="str">
        <x:v>SEC035</x:v>
      </x:c>
      <x:c r="C3357" s="3" t="n">
        <x:v>8</x:v>
      </x:c>
      <x:c r="D3357" s="3" t="str">
        <x:v>present</x:v>
      </x:c>
      <x:c r="E3357" s="5" t="str">
        <x:f>VLOOKUP(B3357,Sections!$A$5:$I$45,3,FALSE)</x:f>
        <x:v>2024-1</x:v>
      </x:c>
    </x:row>
    <x:row r="3358" ht="21" customHeight="1">
      <x:c r="A3358" s="3" t="str">
        <x:v>2202006</x:v>
      </x:c>
      <x:c r="B3358" s="3" t="str">
        <x:v>SEC035</x:v>
      </x:c>
      <x:c r="C3358" s="3" t="n">
        <x:v>9</x:v>
      </x:c>
      <x:c r="D3358" s="3" t="str">
        <x:v>present</x:v>
      </x:c>
      <x:c r="E3358" s="5" t="str">
        <x:f>VLOOKUP(B3358,Sections!$A$5:$I$45,3,FALSE)</x:f>
        <x:v>2024-1</x:v>
      </x:c>
    </x:row>
    <x:row r="3359" ht="21" customHeight="1">
      <x:c r="A3359" s="3" t="str">
        <x:v>2202006</x:v>
      </x:c>
      <x:c r="B3359" s="3" t="str">
        <x:v>SEC035</x:v>
      </x:c>
      <x:c r="C3359" s="3" t="n">
        <x:v>10</x:v>
      </x:c>
      <x:c r="D3359" s="3" t="str">
        <x:v>present</x:v>
      </x:c>
      <x:c r="E3359" s="5" t="str">
        <x:f>VLOOKUP(B3359,Sections!$A$5:$I$45,3,FALSE)</x:f>
        <x:v>2024-1</x:v>
      </x:c>
    </x:row>
    <x:row r="3360" ht="21" customHeight="1">
      <x:c r="A3360" s="3" t="str">
        <x:v>2202006</x:v>
      </x:c>
      <x:c r="B3360" s="3" t="str">
        <x:v>SEC035</x:v>
      </x:c>
      <x:c r="C3360" s="3" t="n">
        <x:v>11</x:v>
      </x:c>
      <x:c r="D3360" s="3" t="str">
        <x:v>present</x:v>
      </x:c>
      <x:c r="E3360" s="5" t="str">
        <x:f>VLOOKUP(B3360,Sections!$A$5:$I$45,3,FALSE)</x:f>
        <x:v>2024-1</x:v>
      </x:c>
    </x:row>
    <x:row r="3361" ht="21" customHeight="1">
      <x:c r="A3361" s="3" t="str">
        <x:v>2202006</x:v>
      </x:c>
      <x:c r="B3361" s="3" t="str">
        <x:v>SEC035</x:v>
      </x:c>
      <x:c r="C3361" s="3" t="n">
        <x:v>12</x:v>
      </x:c>
      <x:c r="D3361" s="3" t="str">
        <x:v>present</x:v>
      </x:c>
      <x:c r="E3361" s="5" t="str">
        <x:f>VLOOKUP(B3361,Sections!$A$5:$I$45,3,FALSE)</x:f>
        <x:v>2024-1</x:v>
      </x:c>
    </x:row>
    <x:row r="3362" ht="21" customHeight="1">
      <x:c r="A3362" s="3" t="str">
        <x:v>2202006</x:v>
      </x:c>
      <x:c r="B3362" s="3" t="str">
        <x:v>SEC035</x:v>
      </x:c>
      <x:c r="C3362" s="3" t="n">
        <x:v>13</x:v>
      </x:c>
      <x:c r="D3362" s="3" t="str">
        <x:v>present</x:v>
      </x:c>
      <x:c r="E3362" s="5" t="str">
        <x:f>VLOOKUP(B3362,Sections!$A$5:$I$45,3,FALSE)</x:f>
        <x:v>2024-1</x:v>
      </x:c>
    </x:row>
    <x:row r="3363" ht="21" customHeight="1">
      <x:c r="A3363" s="3" t="str">
        <x:v>2202006</x:v>
      </x:c>
      <x:c r="B3363" s="3" t="str">
        <x:v>SEC035</x:v>
      </x:c>
      <x:c r="C3363" s="3" t="n">
        <x:v>14</x:v>
      </x:c>
      <x:c r="D3363" s="3" t="str">
        <x:v>present</x:v>
      </x:c>
      <x:c r="E3363" s="5" t="str">
        <x:f>VLOOKUP(B3363,Sections!$A$5:$I$45,3,FALSE)</x:f>
        <x:v>2024-1</x:v>
      </x:c>
    </x:row>
    <x:row r="3364" ht="21" customHeight="1">
      <x:c r="A3364" s="3" t="str">
        <x:v>2202006</x:v>
      </x:c>
      <x:c r="B3364" s="3" t="str">
        <x:v>SEC035</x:v>
      </x:c>
      <x:c r="C3364" s="3" t="n">
        <x:v>15</x:v>
      </x:c>
      <x:c r="D3364" s="3" t="str">
        <x:v>present</x:v>
      </x:c>
      <x:c r="E3364" s="5" t="str">
        <x:f>VLOOKUP(B3364,Sections!$A$5:$I$45,3,FALSE)</x:f>
        <x:v>2024-1</x:v>
      </x:c>
    </x:row>
    <x:row r="3365" ht="21" customHeight="1">
      <x:c r="A3365" s="3" t="str">
        <x:v>2202007</x:v>
      </x:c>
      <x:c r="B3365" s="3" t="str">
        <x:v>SEC035</x:v>
      </x:c>
      <x:c r="C3365" s="3" t="n">
        <x:v>1</x:v>
      </x:c>
      <x:c r="D3365" s="3" t="str">
        <x:v>excused</x:v>
      </x:c>
      <x:c r="E3365" s="5" t="str">
        <x:f>VLOOKUP(B3365,Sections!$A$5:$I$45,3,FALSE)</x:f>
        <x:v>2024-1</x:v>
      </x:c>
    </x:row>
    <x:row r="3366" ht="21" customHeight="1">
      <x:c r="A3366" s="3" t="str">
        <x:v>2202007</x:v>
      </x:c>
      <x:c r="B3366" s="3" t="str">
        <x:v>SEC035</x:v>
      </x:c>
      <x:c r="C3366" s="3" t="n">
        <x:v>2</x:v>
      </x:c>
      <x:c r="D3366" s="3" t="str">
        <x:v>present</x:v>
      </x:c>
      <x:c r="E3366" s="5" t="str">
        <x:f>VLOOKUP(B3366,Sections!$A$5:$I$45,3,FALSE)</x:f>
        <x:v>2024-1</x:v>
      </x:c>
    </x:row>
    <x:row r="3367" ht="21" customHeight="1">
      <x:c r="A3367" s="3" t="str">
        <x:v>2202007</x:v>
      </x:c>
      <x:c r="B3367" s="3" t="str">
        <x:v>SEC035</x:v>
      </x:c>
      <x:c r="C3367" s="3" t="n">
        <x:v>3</x:v>
      </x:c>
      <x:c r="D3367" s="3" t="str">
        <x:v>present</x:v>
      </x:c>
      <x:c r="E3367" s="5" t="str">
        <x:f>VLOOKUP(B3367,Sections!$A$5:$I$45,3,FALSE)</x:f>
        <x:v>2024-1</x:v>
      </x:c>
    </x:row>
    <x:row r="3368" ht="21" customHeight="1">
      <x:c r="A3368" s="3" t="str">
        <x:v>2202007</x:v>
      </x:c>
      <x:c r="B3368" s="3" t="str">
        <x:v>SEC035</x:v>
      </x:c>
      <x:c r="C3368" s="3" t="n">
        <x:v>4</x:v>
      </x:c>
      <x:c r="D3368" s="3" t="str">
        <x:v>present</x:v>
      </x:c>
      <x:c r="E3368" s="5" t="str">
        <x:f>VLOOKUP(B3368,Sections!$A$5:$I$45,3,FALSE)</x:f>
        <x:v>2024-1</x:v>
      </x:c>
    </x:row>
    <x:row r="3369" ht="21" customHeight="1">
      <x:c r="A3369" s="3" t="str">
        <x:v>2202007</x:v>
      </x:c>
      <x:c r="B3369" s="3" t="str">
        <x:v>SEC035</x:v>
      </x:c>
      <x:c r="C3369" s="3" t="n">
        <x:v>5</x:v>
      </x:c>
      <x:c r="D3369" s="3" t="str">
        <x:v>present</x:v>
      </x:c>
      <x:c r="E3369" s="5" t="str">
        <x:f>VLOOKUP(B3369,Sections!$A$5:$I$45,3,FALSE)</x:f>
        <x:v>2024-1</x:v>
      </x:c>
    </x:row>
    <x:row r="3370" ht="21" customHeight="1">
      <x:c r="A3370" s="3" t="str">
        <x:v>2202007</x:v>
      </x:c>
      <x:c r="B3370" s="3" t="str">
        <x:v>SEC035</x:v>
      </x:c>
      <x:c r="C3370" s="3" t="n">
        <x:v>6</x:v>
      </x:c>
      <x:c r="D3370" s="3" t="str">
        <x:v>present</x:v>
      </x:c>
      <x:c r="E3370" s="5" t="str">
        <x:f>VLOOKUP(B3370,Sections!$A$5:$I$45,3,FALSE)</x:f>
        <x:v>2024-1</x:v>
      </x:c>
    </x:row>
    <x:row r="3371" ht="21" customHeight="1">
      <x:c r="A3371" s="3" t="str">
        <x:v>2202007</x:v>
      </x:c>
      <x:c r="B3371" s="3" t="str">
        <x:v>SEC035</x:v>
      </x:c>
      <x:c r="C3371" s="3" t="n">
        <x:v>7</x:v>
      </x:c>
      <x:c r="D3371" s="3" t="str">
        <x:v>present</x:v>
      </x:c>
      <x:c r="E3371" s="5" t="str">
        <x:f>VLOOKUP(B3371,Sections!$A$5:$I$45,3,FALSE)</x:f>
        <x:v>2024-1</x:v>
      </x:c>
    </x:row>
    <x:row r="3372" ht="21" customHeight="1">
      <x:c r="A3372" s="3" t="str">
        <x:v>2202007</x:v>
      </x:c>
      <x:c r="B3372" s="3" t="str">
        <x:v>SEC035</x:v>
      </x:c>
      <x:c r="C3372" s="3" t="n">
        <x:v>8</x:v>
      </x:c>
      <x:c r="D3372" s="3" t="str">
        <x:v>present</x:v>
      </x:c>
      <x:c r="E3372" s="5" t="str">
        <x:f>VLOOKUP(B3372,Sections!$A$5:$I$45,3,FALSE)</x:f>
        <x:v>2024-1</x:v>
      </x:c>
    </x:row>
    <x:row r="3373" ht="21" customHeight="1">
      <x:c r="A3373" s="3" t="str">
        <x:v>2202007</x:v>
      </x:c>
      <x:c r="B3373" s="3" t="str">
        <x:v>SEC035</x:v>
      </x:c>
      <x:c r="C3373" s="3" t="n">
        <x:v>9</x:v>
      </x:c>
      <x:c r="D3373" s="3" t="str">
        <x:v>present</x:v>
      </x:c>
      <x:c r="E3373" s="5" t="str">
        <x:f>VLOOKUP(B3373,Sections!$A$5:$I$45,3,FALSE)</x:f>
        <x:v>2024-1</x:v>
      </x:c>
    </x:row>
    <x:row r="3374" ht="21" customHeight="1">
      <x:c r="A3374" s="3" t="str">
        <x:v>2202007</x:v>
      </x:c>
      <x:c r="B3374" s="3" t="str">
        <x:v>SEC035</x:v>
      </x:c>
      <x:c r="C3374" s="3" t="n">
        <x:v>10</x:v>
      </x:c>
      <x:c r="D3374" s="3" t="str">
        <x:v>present</x:v>
      </x:c>
      <x:c r="E3374" s="5" t="str">
        <x:f>VLOOKUP(B3374,Sections!$A$5:$I$45,3,FALSE)</x:f>
        <x:v>2024-1</x:v>
      </x:c>
    </x:row>
    <x:row r="3375" ht="21" customHeight="1">
      <x:c r="A3375" s="3" t="str">
        <x:v>2202007</x:v>
      </x:c>
      <x:c r="B3375" s="3" t="str">
        <x:v>SEC035</x:v>
      </x:c>
      <x:c r="C3375" s="3" t="n">
        <x:v>11</x:v>
      </x:c>
      <x:c r="D3375" s="3" t="str">
        <x:v>present</x:v>
      </x:c>
      <x:c r="E3375" s="5" t="str">
        <x:f>VLOOKUP(B3375,Sections!$A$5:$I$45,3,FALSE)</x:f>
        <x:v>2024-1</x:v>
      </x:c>
    </x:row>
    <x:row r="3376" ht="21" customHeight="1">
      <x:c r="A3376" s="3" t="str">
        <x:v>2202007</x:v>
      </x:c>
      <x:c r="B3376" s="3" t="str">
        <x:v>SEC035</x:v>
      </x:c>
      <x:c r="C3376" s="3" t="n">
        <x:v>12</x:v>
      </x:c>
      <x:c r="D3376" s="3" t="str">
        <x:v>present</x:v>
      </x:c>
      <x:c r="E3376" s="5" t="str">
        <x:f>VLOOKUP(B3376,Sections!$A$5:$I$45,3,FALSE)</x:f>
        <x:v>2024-1</x:v>
      </x:c>
    </x:row>
    <x:row r="3377" ht="21" customHeight="1">
      <x:c r="A3377" s="3" t="str">
        <x:v>2202007</x:v>
      </x:c>
      <x:c r="B3377" s="3" t="str">
        <x:v>SEC035</x:v>
      </x:c>
      <x:c r="C3377" s="3" t="n">
        <x:v>13</x:v>
      </x:c>
      <x:c r="D3377" s="3" t="str">
        <x:v>present</x:v>
      </x:c>
      <x:c r="E3377" s="5" t="str">
        <x:f>VLOOKUP(B3377,Sections!$A$5:$I$45,3,FALSE)</x:f>
        <x:v>2024-1</x:v>
      </x:c>
    </x:row>
    <x:row r="3378" ht="21" customHeight="1">
      <x:c r="A3378" s="3" t="str">
        <x:v>2202007</x:v>
      </x:c>
      <x:c r="B3378" s="3" t="str">
        <x:v>SEC035</x:v>
      </x:c>
      <x:c r="C3378" s="3" t="n">
        <x:v>14</x:v>
      </x:c>
      <x:c r="D3378" s="3" t="str">
        <x:v>present</x:v>
      </x:c>
      <x:c r="E3378" s="5" t="str">
        <x:f>VLOOKUP(B3378,Sections!$A$5:$I$45,3,FALSE)</x:f>
        <x:v>2024-1</x:v>
      </x:c>
    </x:row>
    <x:row r="3379" ht="21" customHeight="1">
      <x:c r="A3379" s="3" t="str">
        <x:v>2202007</x:v>
      </x:c>
      <x:c r="B3379" s="3" t="str">
        <x:v>SEC035</x:v>
      </x:c>
      <x:c r="C3379" s="3" t="n">
        <x:v>15</x:v>
      </x:c>
      <x:c r="D3379" s="3" t="str">
        <x:v>late</x:v>
      </x:c>
      <x:c r="E3379" s="5" t="str">
        <x:f>VLOOKUP(B3379,Sections!$A$5:$I$45,3,FALSE)</x:f>
        <x:v>2024-1</x:v>
      </x:c>
    </x:row>
    <x:row r="3380" ht="21" customHeight="1">
      <x:c r="A3380" s="3" t="str">
        <x:v>2202008</x:v>
      </x:c>
      <x:c r="B3380" s="3" t="str">
        <x:v>SEC035</x:v>
      </x:c>
      <x:c r="C3380" s="3" t="n">
        <x:v>1</x:v>
      </x:c>
      <x:c r="D3380" s="3" t="str">
        <x:v>present</x:v>
      </x:c>
      <x:c r="E3380" s="5" t="str">
        <x:f>VLOOKUP(B3380,Sections!$A$5:$I$45,3,FALSE)</x:f>
        <x:v>2024-1</x:v>
      </x:c>
    </x:row>
    <x:row r="3381" ht="21" customHeight="1">
      <x:c r="A3381" s="3" t="str">
        <x:v>2202008</x:v>
      </x:c>
      <x:c r="B3381" s="3" t="str">
        <x:v>SEC035</x:v>
      </x:c>
      <x:c r="C3381" s="3" t="n">
        <x:v>2</x:v>
      </x:c>
      <x:c r="D3381" s="3" t="str">
        <x:v>absent</x:v>
      </x:c>
      <x:c r="E3381" s="5" t="str">
        <x:f>VLOOKUP(B3381,Sections!$A$5:$I$45,3,FALSE)</x:f>
        <x:v>2024-1</x:v>
      </x:c>
    </x:row>
    <x:row r="3382" ht="21" customHeight="1">
      <x:c r="A3382" s="3" t="str">
        <x:v>2202008</x:v>
      </x:c>
      <x:c r="B3382" s="3" t="str">
        <x:v>SEC035</x:v>
      </x:c>
      <x:c r="C3382" s="3" t="n">
        <x:v>3</x:v>
      </x:c>
      <x:c r="D3382" s="3" t="str">
        <x:v>present</x:v>
      </x:c>
      <x:c r="E3382" s="5" t="str">
        <x:f>VLOOKUP(B3382,Sections!$A$5:$I$45,3,FALSE)</x:f>
        <x:v>2024-1</x:v>
      </x:c>
    </x:row>
    <x:row r="3383" ht="21" customHeight="1">
      <x:c r="A3383" s="3" t="str">
        <x:v>2202008</x:v>
      </x:c>
      <x:c r="B3383" s="3" t="str">
        <x:v>SEC035</x:v>
      </x:c>
      <x:c r="C3383" s="3" t="n">
        <x:v>4</x:v>
      </x:c>
      <x:c r="D3383" s="3" t="str">
        <x:v>present</x:v>
      </x:c>
      <x:c r="E3383" s="5" t="str">
        <x:f>VLOOKUP(B3383,Sections!$A$5:$I$45,3,FALSE)</x:f>
        <x:v>2024-1</x:v>
      </x:c>
    </x:row>
    <x:row r="3384" ht="21" customHeight="1">
      <x:c r="A3384" s="3" t="str">
        <x:v>2202008</x:v>
      </x:c>
      <x:c r="B3384" s="3" t="str">
        <x:v>SEC035</x:v>
      </x:c>
      <x:c r="C3384" s="3" t="n">
        <x:v>5</x:v>
      </x:c>
      <x:c r="D3384" s="3" t="str">
        <x:v>present</x:v>
      </x:c>
      <x:c r="E3384" s="5" t="str">
        <x:f>VLOOKUP(B3384,Sections!$A$5:$I$45,3,FALSE)</x:f>
        <x:v>2024-1</x:v>
      </x:c>
    </x:row>
    <x:row r="3385" ht="21" customHeight="1">
      <x:c r="A3385" s="3" t="str">
        <x:v>2202008</x:v>
      </x:c>
      <x:c r="B3385" s="3" t="str">
        <x:v>SEC035</x:v>
      </x:c>
      <x:c r="C3385" s="3" t="n">
        <x:v>6</x:v>
      </x:c>
      <x:c r="D3385" s="3" t="str">
        <x:v>present</x:v>
      </x:c>
      <x:c r="E3385" s="5" t="str">
        <x:f>VLOOKUP(B3385,Sections!$A$5:$I$45,3,FALSE)</x:f>
        <x:v>2024-1</x:v>
      </x:c>
    </x:row>
    <x:row r="3386" ht="21" customHeight="1">
      <x:c r="A3386" s="3" t="str">
        <x:v>2202008</x:v>
      </x:c>
      <x:c r="B3386" s="3" t="str">
        <x:v>SEC035</x:v>
      </x:c>
      <x:c r="C3386" s="3" t="n">
        <x:v>7</x:v>
      </x:c>
      <x:c r="D3386" s="3" t="str">
        <x:v>present</x:v>
      </x:c>
      <x:c r="E3386" s="5" t="str">
        <x:f>VLOOKUP(B3386,Sections!$A$5:$I$45,3,FALSE)</x:f>
        <x:v>2024-1</x:v>
      </x:c>
    </x:row>
    <x:row r="3387" ht="21" customHeight="1">
      <x:c r="A3387" s="3" t="str">
        <x:v>2202008</x:v>
      </x:c>
      <x:c r="B3387" s="3" t="str">
        <x:v>SEC035</x:v>
      </x:c>
      <x:c r="C3387" s="3" t="n">
        <x:v>8</x:v>
      </x:c>
      <x:c r="D3387" s="3" t="str">
        <x:v>present</x:v>
      </x:c>
      <x:c r="E3387" s="5" t="str">
        <x:f>VLOOKUP(B3387,Sections!$A$5:$I$45,3,FALSE)</x:f>
        <x:v>2024-1</x:v>
      </x:c>
    </x:row>
    <x:row r="3388" ht="21" customHeight="1">
      <x:c r="A3388" s="3" t="str">
        <x:v>2202008</x:v>
      </x:c>
      <x:c r="B3388" s="3" t="str">
        <x:v>SEC035</x:v>
      </x:c>
      <x:c r="C3388" s="3" t="n">
        <x:v>9</x:v>
      </x:c>
      <x:c r="D3388" s="3" t="str">
        <x:v>present</x:v>
      </x:c>
      <x:c r="E3388" s="5" t="str">
        <x:f>VLOOKUP(B3388,Sections!$A$5:$I$45,3,FALSE)</x:f>
        <x:v>2024-1</x:v>
      </x:c>
    </x:row>
    <x:row r="3389" ht="21" customHeight="1">
      <x:c r="A3389" s="3" t="str">
        <x:v>2202008</x:v>
      </x:c>
      <x:c r="B3389" s="3" t="str">
        <x:v>SEC035</x:v>
      </x:c>
      <x:c r="C3389" s="3" t="n">
        <x:v>10</x:v>
      </x:c>
      <x:c r="D3389" s="3" t="str">
        <x:v>present</x:v>
      </x:c>
      <x:c r="E3389" s="5" t="str">
        <x:f>VLOOKUP(B3389,Sections!$A$5:$I$45,3,FALSE)</x:f>
        <x:v>2024-1</x:v>
      </x:c>
    </x:row>
    <x:row r="3390" ht="21" customHeight="1">
      <x:c r="A3390" s="3" t="str">
        <x:v>2202008</x:v>
      </x:c>
      <x:c r="B3390" s="3" t="str">
        <x:v>SEC035</x:v>
      </x:c>
      <x:c r="C3390" s="3" t="n">
        <x:v>11</x:v>
      </x:c>
      <x:c r="D3390" s="3" t="str">
        <x:v>present</x:v>
      </x:c>
      <x:c r="E3390" s="5" t="str">
        <x:f>VLOOKUP(B3390,Sections!$A$5:$I$45,3,FALSE)</x:f>
        <x:v>2024-1</x:v>
      </x:c>
    </x:row>
    <x:row r="3391" ht="21" customHeight="1">
      <x:c r="A3391" s="3" t="str">
        <x:v>2202008</x:v>
      </x:c>
      <x:c r="B3391" s="3" t="str">
        <x:v>SEC035</x:v>
      </x:c>
      <x:c r="C3391" s="3" t="n">
        <x:v>12</x:v>
      </x:c>
      <x:c r="D3391" s="3" t="str">
        <x:v>present</x:v>
      </x:c>
      <x:c r="E3391" s="5" t="str">
        <x:f>VLOOKUP(B3391,Sections!$A$5:$I$45,3,FALSE)</x:f>
        <x:v>2024-1</x:v>
      </x:c>
    </x:row>
    <x:row r="3392" ht="21" customHeight="1">
      <x:c r="A3392" s="3" t="str">
        <x:v>2202008</x:v>
      </x:c>
      <x:c r="B3392" s="3" t="str">
        <x:v>SEC035</x:v>
      </x:c>
      <x:c r="C3392" s="3" t="n">
        <x:v>13</x:v>
      </x:c>
      <x:c r="D3392" s="3" t="str">
        <x:v>late</x:v>
      </x:c>
      <x:c r="E3392" s="5" t="str">
        <x:f>VLOOKUP(B3392,Sections!$A$5:$I$45,3,FALSE)</x:f>
        <x:v>2024-1</x:v>
      </x:c>
    </x:row>
    <x:row r="3393" ht="21" customHeight="1">
      <x:c r="A3393" s="3" t="str">
        <x:v>2202008</x:v>
      </x:c>
      <x:c r="B3393" s="3" t="str">
        <x:v>SEC035</x:v>
      </x:c>
      <x:c r="C3393" s="3" t="n">
        <x:v>14</x:v>
      </x:c>
      <x:c r="D3393" s="3" t="str">
        <x:v>present</x:v>
      </x:c>
      <x:c r="E3393" s="5" t="str">
        <x:f>VLOOKUP(B3393,Sections!$A$5:$I$45,3,FALSE)</x:f>
        <x:v>2024-1</x:v>
      </x:c>
    </x:row>
    <x:row r="3394" ht="21" customHeight="1">
      <x:c r="A3394" s="3" t="str">
        <x:v>2202008</x:v>
      </x:c>
      <x:c r="B3394" s="3" t="str">
        <x:v>SEC035</x:v>
      </x:c>
      <x:c r="C3394" s="3" t="n">
        <x:v>15</x:v>
      </x:c>
      <x:c r="D3394" s="3" t="str">
        <x:v>present</x:v>
      </x:c>
      <x:c r="E3394" s="5" t="str">
        <x:f>VLOOKUP(B3394,Sections!$A$5:$I$45,3,FALSE)</x:f>
        <x:v>2024-1</x:v>
      </x:c>
    </x:row>
    <x:row r="3395" ht="21" customHeight="1">
      <x:c r="A3395" s="3" t="str">
        <x:v>2202009</x:v>
      </x:c>
      <x:c r="B3395" s="3" t="str">
        <x:v>SEC035</x:v>
      </x:c>
      <x:c r="C3395" s="3" t="n">
        <x:v>1</x:v>
      </x:c>
      <x:c r="D3395" s="3" t="str">
        <x:v>present</x:v>
      </x:c>
      <x:c r="E3395" s="5" t="str">
        <x:f>VLOOKUP(B3395,Sections!$A$5:$I$45,3,FALSE)</x:f>
        <x:v>2024-1</x:v>
      </x:c>
    </x:row>
    <x:row r="3396" ht="21" customHeight="1">
      <x:c r="A3396" s="3" t="str">
        <x:v>2202009</x:v>
      </x:c>
      <x:c r="B3396" s="3" t="str">
        <x:v>SEC035</x:v>
      </x:c>
      <x:c r="C3396" s="3" t="n">
        <x:v>2</x:v>
      </x:c>
      <x:c r="D3396" s="3" t="str">
        <x:v>present</x:v>
      </x:c>
      <x:c r="E3396" s="5" t="str">
        <x:f>VLOOKUP(B3396,Sections!$A$5:$I$45,3,FALSE)</x:f>
        <x:v>2024-1</x:v>
      </x:c>
    </x:row>
    <x:row r="3397" ht="21" customHeight="1">
      <x:c r="A3397" s="3" t="str">
        <x:v>2202009</x:v>
      </x:c>
      <x:c r="B3397" s="3" t="str">
        <x:v>SEC035</x:v>
      </x:c>
      <x:c r="C3397" s="3" t="n">
        <x:v>3</x:v>
      </x:c>
      <x:c r="D3397" s="3" t="str">
        <x:v>present</x:v>
      </x:c>
      <x:c r="E3397" s="5" t="str">
        <x:f>VLOOKUP(B3397,Sections!$A$5:$I$45,3,FALSE)</x:f>
        <x:v>2024-1</x:v>
      </x:c>
    </x:row>
    <x:row r="3398" ht="21" customHeight="1">
      <x:c r="A3398" s="3" t="str">
        <x:v>2202009</x:v>
      </x:c>
      <x:c r="B3398" s="3" t="str">
        <x:v>SEC035</x:v>
      </x:c>
      <x:c r="C3398" s="3" t="n">
        <x:v>4</x:v>
      </x:c>
      <x:c r="D3398" s="3" t="str">
        <x:v>present</x:v>
      </x:c>
      <x:c r="E3398" s="5" t="str">
        <x:f>VLOOKUP(B3398,Sections!$A$5:$I$45,3,FALSE)</x:f>
        <x:v>2024-1</x:v>
      </x:c>
    </x:row>
    <x:row r="3399" ht="21" customHeight="1">
      <x:c r="A3399" s="3" t="str">
        <x:v>2202009</x:v>
      </x:c>
      <x:c r="B3399" s="3" t="str">
        <x:v>SEC035</x:v>
      </x:c>
      <x:c r="C3399" s="3" t="n">
        <x:v>5</x:v>
      </x:c>
      <x:c r="D3399" s="3" t="str">
        <x:v>present</x:v>
      </x:c>
      <x:c r="E3399" s="5" t="str">
        <x:f>VLOOKUP(B3399,Sections!$A$5:$I$45,3,FALSE)</x:f>
        <x:v>2024-1</x:v>
      </x:c>
    </x:row>
    <x:row r="3400" ht="21" customHeight="1">
      <x:c r="A3400" s="3" t="str">
        <x:v>2202009</x:v>
      </x:c>
      <x:c r="B3400" s="3" t="str">
        <x:v>SEC035</x:v>
      </x:c>
      <x:c r="C3400" s="3" t="n">
        <x:v>6</x:v>
      </x:c>
      <x:c r="D3400" s="3" t="str">
        <x:v>present</x:v>
      </x:c>
      <x:c r="E3400" s="5" t="str">
        <x:f>VLOOKUP(B3400,Sections!$A$5:$I$45,3,FALSE)</x:f>
        <x:v>2024-1</x:v>
      </x:c>
    </x:row>
    <x:row r="3401" ht="21" customHeight="1">
      <x:c r="A3401" s="3" t="str">
        <x:v>2202009</x:v>
      </x:c>
      <x:c r="B3401" s="3" t="str">
        <x:v>SEC035</x:v>
      </x:c>
      <x:c r="C3401" s="3" t="n">
        <x:v>7</x:v>
      </x:c>
      <x:c r="D3401" s="3" t="str">
        <x:v>present</x:v>
      </x:c>
      <x:c r="E3401" s="5" t="str">
        <x:f>VLOOKUP(B3401,Sections!$A$5:$I$45,3,FALSE)</x:f>
        <x:v>2024-1</x:v>
      </x:c>
    </x:row>
    <x:row r="3402" ht="21" customHeight="1">
      <x:c r="A3402" s="3" t="str">
        <x:v>2202009</x:v>
      </x:c>
      <x:c r="B3402" s="3" t="str">
        <x:v>SEC035</x:v>
      </x:c>
      <x:c r="C3402" s="3" t="n">
        <x:v>8</x:v>
      </x:c>
      <x:c r="D3402" s="3" t="str">
        <x:v>present</x:v>
      </x:c>
      <x:c r="E3402" s="5" t="str">
        <x:f>VLOOKUP(B3402,Sections!$A$5:$I$45,3,FALSE)</x:f>
        <x:v>2024-1</x:v>
      </x:c>
    </x:row>
    <x:row r="3403" ht="21" customHeight="1">
      <x:c r="A3403" s="3" t="str">
        <x:v>2202009</x:v>
      </x:c>
      <x:c r="B3403" s="3" t="str">
        <x:v>SEC035</x:v>
      </x:c>
      <x:c r="C3403" s="3" t="n">
        <x:v>9</x:v>
      </x:c>
      <x:c r="D3403" s="3" t="str">
        <x:v>present</x:v>
      </x:c>
      <x:c r="E3403" s="5" t="str">
        <x:f>VLOOKUP(B3403,Sections!$A$5:$I$45,3,FALSE)</x:f>
        <x:v>2024-1</x:v>
      </x:c>
    </x:row>
    <x:row r="3404" ht="21" customHeight="1">
      <x:c r="A3404" s="3" t="str">
        <x:v>2202009</x:v>
      </x:c>
      <x:c r="B3404" s="3" t="str">
        <x:v>SEC035</x:v>
      </x:c>
      <x:c r="C3404" s="3" t="n">
        <x:v>10</x:v>
      </x:c>
      <x:c r="D3404" s="3" t="str">
        <x:v>present</x:v>
      </x:c>
      <x:c r="E3404" s="5" t="str">
        <x:f>VLOOKUP(B3404,Sections!$A$5:$I$45,3,FALSE)</x:f>
        <x:v>2024-1</x:v>
      </x:c>
    </x:row>
    <x:row r="3405" ht="21" customHeight="1">
      <x:c r="A3405" s="3" t="str">
        <x:v>2202009</x:v>
      </x:c>
      <x:c r="B3405" s="3" t="str">
        <x:v>SEC035</x:v>
      </x:c>
      <x:c r="C3405" s="3" t="n">
        <x:v>11</x:v>
      </x:c>
      <x:c r="D3405" s="3" t="str">
        <x:v>present</x:v>
      </x:c>
      <x:c r="E3405" s="5" t="str">
        <x:f>VLOOKUP(B3405,Sections!$A$5:$I$45,3,FALSE)</x:f>
        <x:v>2024-1</x:v>
      </x:c>
    </x:row>
    <x:row r="3406" ht="21" customHeight="1">
      <x:c r="A3406" s="3" t="str">
        <x:v>2202009</x:v>
      </x:c>
      <x:c r="B3406" s="3" t="str">
        <x:v>SEC035</x:v>
      </x:c>
      <x:c r="C3406" s="3" t="n">
        <x:v>12</x:v>
      </x:c>
      <x:c r="D3406" s="3" t="str">
        <x:v>present</x:v>
      </x:c>
      <x:c r="E3406" s="5" t="str">
        <x:f>VLOOKUP(B3406,Sections!$A$5:$I$45,3,FALSE)</x:f>
        <x:v>2024-1</x:v>
      </x:c>
    </x:row>
    <x:row r="3407" ht="21" customHeight="1">
      <x:c r="A3407" s="3" t="str">
        <x:v>2202009</x:v>
      </x:c>
      <x:c r="B3407" s="3" t="str">
        <x:v>SEC035</x:v>
      </x:c>
      <x:c r="C3407" s="3" t="n">
        <x:v>13</x:v>
      </x:c>
      <x:c r="D3407" s="3" t="str">
        <x:v>present</x:v>
      </x:c>
      <x:c r="E3407" s="5" t="str">
        <x:f>VLOOKUP(B3407,Sections!$A$5:$I$45,3,FALSE)</x:f>
        <x:v>2024-1</x:v>
      </x:c>
    </x:row>
    <x:row r="3408" ht="21" customHeight="1">
      <x:c r="A3408" s="3" t="str">
        <x:v>2202009</x:v>
      </x:c>
      <x:c r="B3408" s="3" t="str">
        <x:v>SEC035</x:v>
      </x:c>
      <x:c r="C3408" s="3" t="n">
        <x:v>14</x:v>
      </x:c>
      <x:c r="D3408" s="3" t="str">
        <x:v>absent</x:v>
      </x:c>
      <x:c r="E3408" s="5" t="str">
        <x:f>VLOOKUP(B3408,Sections!$A$5:$I$45,3,FALSE)</x:f>
        <x:v>2024-1</x:v>
      </x:c>
    </x:row>
    <x:row r="3409" ht="21" customHeight="1">
      <x:c r="A3409" s="3" t="str">
        <x:v>2202009</x:v>
      </x:c>
      <x:c r="B3409" s="3" t="str">
        <x:v>SEC035</x:v>
      </x:c>
      <x:c r="C3409" s="3" t="n">
        <x:v>15</x:v>
      </x:c>
      <x:c r="D3409" s="3" t="str">
        <x:v>present</x:v>
      </x:c>
      <x:c r="E3409" s="5" t="str">
        <x:f>VLOOKUP(B3409,Sections!$A$5:$I$45,3,FALSE)</x:f>
        <x:v>2024-1</x:v>
      </x:c>
    </x:row>
    <x:row r="3410" ht="21" customHeight="1">
      <x:c r="A3410" s="3" t="str">
        <x:v>2202010</x:v>
      </x:c>
      <x:c r="B3410" s="3" t="str">
        <x:v>SEC035</x:v>
      </x:c>
      <x:c r="C3410" s="3" t="n">
        <x:v>1</x:v>
      </x:c>
      <x:c r="D3410" s="3" t="str">
        <x:v>late</x:v>
      </x:c>
      <x:c r="E3410" s="5" t="str">
        <x:f>VLOOKUP(B3410,Sections!$A$5:$I$45,3,FALSE)</x:f>
        <x:v>2024-1</x:v>
      </x:c>
    </x:row>
    <x:row r="3411" ht="21" customHeight="1">
      <x:c r="A3411" s="3" t="str">
        <x:v>2202010</x:v>
      </x:c>
      <x:c r="B3411" s="3" t="str">
        <x:v>SEC035</x:v>
      </x:c>
      <x:c r="C3411" s="3" t="n">
        <x:v>2</x:v>
      </x:c>
      <x:c r="D3411" s="3" t="str">
        <x:v>present</x:v>
      </x:c>
      <x:c r="E3411" s="5" t="str">
        <x:f>VLOOKUP(B3411,Sections!$A$5:$I$45,3,FALSE)</x:f>
        <x:v>2024-1</x:v>
      </x:c>
    </x:row>
    <x:row r="3412" ht="21" customHeight="1">
      <x:c r="A3412" s="3" t="str">
        <x:v>2202010</x:v>
      </x:c>
      <x:c r="B3412" s="3" t="str">
        <x:v>SEC035</x:v>
      </x:c>
      <x:c r="C3412" s="3" t="n">
        <x:v>3</x:v>
      </x:c>
      <x:c r="D3412" s="3" t="str">
        <x:v>absent</x:v>
      </x:c>
      <x:c r="E3412" s="5" t="str">
        <x:f>VLOOKUP(B3412,Sections!$A$5:$I$45,3,FALSE)</x:f>
        <x:v>2024-1</x:v>
      </x:c>
    </x:row>
    <x:row r="3413" ht="21" customHeight="1">
      <x:c r="A3413" s="3" t="str">
        <x:v>2202010</x:v>
      </x:c>
      <x:c r="B3413" s="3" t="str">
        <x:v>SEC035</x:v>
      </x:c>
      <x:c r="C3413" s="3" t="n">
        <x:v>4</x:v>
      </x:c>
      <x:c r="D3413" s="3" t="str">
        <x:v>absent</x:v>
      </x:c>
      <x:c r="E3413" s="5" t="str">
        <x:f>VLOOKUP(B3413,Sections!$A$5:$I$45,3,FALSE)</x:f>
        <x:v>2024-1</x:v>
      </x:c>
    </x:row>
    <x:row r="3414" ht="21" customHeight="1">
      <x:c r="A3414" s="3" t="str">
        <x:v>2202010</x:v>
      </x:c>
      <x:c r="B3414" s="3" t="str">
        <x:v>SEC035</x:v>
      </x:c>
      <x:c r="C3414" s="3" t="n">
        <x:v>5</x:v>
      </x:c>
      <x:c r="D3414" s="3" t="str">
        <x:v>present</x:v>
      </x:c>
      <x:c r="E3414" s="5" t="str">
        <x:f>VLOOKUP(B3414,Sections!$A$5:$I$45,3,FALSE)</x:f>
        <x:v>2024-1</x:v>
      </x:c>
    </x:row>
    <x:row r="3415" ht="21" customHeight="1">
      <x:c r="A3415" s="3" t="str">
        <x:v>2202010</x:v>
      </x:c>
      <x:c r="B3415" s="3" t="str">
        <x:v>SEC035</x:v>
      </x:c>
      <x:c r="C3415" s="3" t="n">
        <x:v>6</x:v>
      </x:c>
      <x:c r="D3415" s="3" t="str">
        <x:v>present</x:v>
      </x:c>
      <x:c r="E3415" s="5" t="str">
        <x:f>VLOOKUP(B3415,Sections!$A$5:$I$45,3,FALSE)</x:f>
        <x:v>2024-1</x:v>
      </x:c>
    </x:row>
    <x:row r="3416" ht="21" customHeight="1">
      <x:c r="A3416" s="3" t="str">
        <x:v>2202010</x:v>
      </x:c>
      <x:c r="B3416" s="3" t="str">
        <x:v>SEC035</x:v>
      </x:c>
      <x:c r="C3416" s="3" t="n">
        <x:v>7</x:v>
      </x:c>
      <x:c r="D3416" s="3" t="str">
        <x:v>excused</x:v>
      </x:c>
      <x:c r="E3416" s="5" t="str">
        <x:f>VLOOKUP(B3416,Sections!$A$5:$I$45,3,FALSE)</x:f>
        <x:v>2024-1</x:v>
      </x:c>
    </x:row>
    <x:row r="3417" ht="21" customHeight="1">
      <x:c r="A3417" s="3" t="str">
        <x:v>2202010</x:v>
      </x:c>
      <x:c r="B3417" s="3" t="str">
        <x:v>SEC035</x:v>
      </x:c>
      <x:c r="C3417" s="3" t="n">
        <x:v>8</x:v>
      </x:c>
      <x:c r="D3417" s="3" t="str">
        <x:v>late</x:v>
      </x:c>
      <x:c r="E3417" s="5" t="str">
        <x:f>VLOOKUP(B3417,Sections!$A$5:$I$45,3,FALSE)</x:f>
        <x:v>2024-1</x:v>
      </x:c>
    </x:row>
    <x:row r="3418" ht="21" customHeight="1">
      <x:c r="A3418" s="3" t="str">
        <x:v>2202010</x:v>
      </x:c>
      <x:c r="B3418" s="3" t="str">
        <x:v>SEC035</x:v>
      </x:c>
      <x:c r="C3418" s="3" t="n">
        <x:v>9</x:v>
      </x:c>
      <x:c r="D3418" s="3" t="str">
        <x:v>present</x:v>
      </x:c>
      <x:c r="E3418" s="5" t="str">
        <x:f>VLOOKUP(B3418,Sections!$A$5:$I$45,3,FALSE)</x:f>
        <x:v>2024-1</x:v>
      </x:c>
    </x:row>
    <x:row r="3419" ht="21" customHeight="1">
      <x:c r="A3419" s="3" t="str">
        <x:v>2202010</x:v>
      </x:c>
      <x:c r="B3419" s="3" t="str">
        <x:v>SEC035</x:v>
      </x:c>
      <x:c r="C3419" s="3" t="n">
        <x:v>10</x:v>
      </x:c>
      <x:c r="D3419" s="3" t="str">
        <x:v>present</x:v>
      </x:c>
      <x:c r="E3419" s="5" t="str">
        <x:f>VLOOKUP(B3419,Sections!$A$5:$I$45,3,FALSE)</x:f>
        <x:v>2024-1</x:v>
      </x:c>
    </x:row>
    <x:row r="3420" ht="21" customHeight="1">
      <x:c r="A3420" s="3" t="str">
        <x:v>2202010</x:v>
      </x:c>
      <x:c r="B3420" s="3" t="str">
        <x:v>SEC035</x:v>
      </x:c>
      <x:c r="C3420" s="3" t="n">
        <x:v>11</x:v>
      </x:c>
      <x:c r="D3420" s="3" t="str">
        <x:v>present</x:v>
      </x:c>
      <x:c r="E3420" s="5" t="str">
        <x:f>VLOOKUP(B3420,Sections!$A$5:$I$45,3,FALSE)</x:f>
        <x:v>2024-1</x:v>
      </x:c>
    </x:row>
    <x:row r="3421" ht="21" customHeight="1">
      <x:c r="A3421" s="3" t="str">
        <x:v>2202010</x:v>
      </x:c>
      <x:c r="B3421" s="3" t="str">
        <x:v>SEC035</x:v>
      </x:c>
      <x:c r="C3421" s="3" t="n">
        <x:v>12</x:v>
      </x:c>
      <x:c r="D3421" s="3" t="str">
        <x:v>absent</x:v>
      </x:c>
      <x:c r="E3421" s="5" t="str">
        <x:f>VLOOKUP(B3421,Sections!$A$5:$I$45,3,FALSE)</x:f>
        <x:v>2024-1</x:v>
      </x:c>
    </x:row>
    <x:row r="3422" ht="21" customHeight="1">
      <x:c r="A3422" s="3" t="str">
        <x:v>2202010</x:v>
      </x:c>
      <x:c r="B3422" s="3" t="str">
        <x:v>SEC035</x:v>
      </x:c>
      <x:c r="C3422" s="3" t="n">
        <x:v>13</x:v>
      </x:c>
      <x:c r="D3422" s="3" t="str">
        <x:v>present</x:v>
      </x:c>
      <x:c r="E3422" s="5" t="str">
        <x:f>VLOOKUP(B3422,Sections!$A$5:$I$45,3,FALSE)</x:f>
        <x:v>2024-1</x:v>
      </x:c>
    </x:row>
    <x:row r="3423" ht="21" customHeight="1">
      <x:c r="A3423" s="3" t="str">
        <x:v>2202010</x:v>
      </x:c>
      <x:c r="B3423" s="3" t="str">
        <x:v>SEC035</x:v>
      </x:c>
      <x:c r="C3423" s="3" t="n">
        <x:v>14</x:v>
      </x:c>
      <x:c r="D3423" s="3" t="str">
        <x:v>absent</x:v>
      </x:c>
      <x:c r="E3423" s="5" t="str">
        <x:f>VLOOKUP(B3423,Sections!$A$5:$I$45,3,FALSE)</x:f>
        <x:v>2024-1</x:v>
      </x:c>
    </x:row>
    <x:row r="3424" ht="21" customHeight="1">
      <x:c r="A3424" s="3" t="str">
        <x:v>2202010</x:v>
      </x:c>
      <x:c r="B3424" s="3" t="str">
        <x:v>SEC035</x:v>
      </x:c>
      <x:c r="C3424" s="3" t="n">
        <x:v>15</x:v>
      </x:c>
      <x:c r="D3424" s="3" t="str">
        <x:v>present</x:v>
      </x:c>
      <x:c r="E3424" s="5" t="str">
        <x:f>VLOOKUP(B3424,Sections!$A$5:$I$45,3,FALSE)</x:f>
        <x:v>2024-1</x:v>
      </x:c>
    </x:row>
    <x:row r="3425" ht="21" customHeight="1">
      <x:c r="A3425" s="3" t="str">
        <x:v>2202011</x:v>
      </x:c>
      <x:c r="B3425" s="3" t="str">
        <x:v>SEC036</x:v>
      </x:c>
      <x:c r="C3425" s="3" t="n">
        <x:v>1</x:v>
      </x:c>
      <x:c r="D3425" s="3" t="str">
        <x:v>present</x:v>
      </x:c>
      <x:c r="E3425" s="5" t="str">
        <x:f>VLOOKUP(B3425,Sections!$A$5:$I$45,3,FALSE)</x:f>
        <x:v>2024-1</x:v>
      </x:c>
    </x:row>
    <x:row r="3426" ht="21" customHeight="1">
      <x:c r="A3426" s="3" t="str">
        <x:v>2202011</x:v>
      </x:c>
      <x:c r="B3426" s="3" t="str">
        <x:v>SEC036</x:v>
      </x:c>
      <x:c r="C3426" s="3" t="n">
        <x:v>2</x:v>
      </x:c>
      <x:c r="D3426" s="3" t="str">
        <x:v>present</x:v>
      </x:c>
      <x:c r="E3426" s="5" t="str">
        <x:f>VLOOKUP(B3426,Sections!$A$5:$I$45,3,FALSE)</x:f>
        <x:v>2024-1</x:v>
      </x:c>
    </x:row>
    <x:row r="3427" ht="21" customHeight="1">
      <x:c r="A3427" s="3" t="str">
        <x:v>2202011</x:v>
      </x:c>
      <x:c r="B3427" s="3" t="str">
        <x:v>SEC036</x:v>
      </x:c>
      <x:c r="C3427" s="3" t="n">
        <x:v>3</x:v>
      </x:c>
      <x:c r="D3427" s="3" t="str">
        <x:v>excused</x:v>
      </x:c>
      <x:c r="E3427" s="5" t="str">
        <x:f>VLOOKUP(B3427,Sections!$A$5:$I$45,3,FALSE)</x:f>
        <x:v>2024-1</x:v>
      </x:c>
    </x:row>
    <x:row r="3428" ht="21" customHeight="1">
      <x:c r="A3428" s="3" t="str">
        <x:v>2202011</x:v>
      </x:c>
      <x:c r="B3428" s="3" t="str">
        <x:v>SEC036</x:v>
      </x:c>
      <x:c r="C3428" s="3" t="n">
        <x:v>4</x:v>
      </x:c>
      <x:c r="D3428" s="3" t="str">
        <x:v>present</x:v>
      </x:c>
      <x:c r="E3428" s="5" t="str">
        <x:f>VLOOKUP(B3428,Sections!$A$5:$I$45,3,FALSE)</x:f>
        <x:v>2024-1</x:v>
      </x:c>
    </x:row>
    <x:row r="3429" ht="21" customHeight="1">
      <x:c r="A3429" s="3" t="str">
        <x:v>2202011</x:v>
      </x:c>
      <x:c r="B3429" s="3" t="str">
        <x:v>SEC036</x:v>
      </x:c>
      <x:c r="C3429" s="3" t="n">
        <x:v>5</x:v>
      </x:c>
      <x:c r="D3429" s="3" t="str">
        <x:v>present</x:v>
      </x:c>
      <x:c r="E3429" s="5" t="str">
        <x:f>VLOOKUP(B3429,Sections!$A$5:$I$45,3,FALSE)</x:f>
        <x:v>2024-1</x:v>
      </x:c>
    </x:row>
    <x:row r="3430" ht="21" customHeight="1">
      <x:c r="A3430" s="3" t="str">
        <x:v>2202011</x:v>
      </x:c>
      <x:c r="B3430" s="3" t="str">
        <x:v>SEC036</x:v>
      </x:c>
      <x:c r="C3430" s="3" t="n">
        <x:v>6</x:v>
      </x:c>
      <x:c r="D3430" s="3" t="str">
        <x:v>present</x:v>
      </x:c>
      <x:c r="E3430" s="5" t="str">
        <x:f>VLOOKUP(B3430,Sections!$A$5:$I$45,3,FALSE)</x:f>
        <x:v>2024-1</x:v>
      </x:c>
    </x:row>
    <x:row r="3431" ht="21" customHeight="1">
      <x:c r="A3431" s="3" t="str">
        <x:v>2202011</x:v>
      </x:c>
      <x:c r="B3431" s="3" t="str">
        <x:v>SEC036</x:v>
      </x:c>
      <x:c r="C3431" s="3" t="n">
        <x:v>7</x:v>
      </x:c>
      <x:c r="D3431" s="3" t="str">
        <x:v>present</x:v>
      </x:c>
      <x:c r="E3431" s="5" t="str">
        <x:f>VLOOKUP(B3431,Sections!$A$5:$I$45,3,FALSE)</x:f>
        <x:v>2024-1</x:v>
      </x:c>
    </x:row>
    <x:row r="3432" ht="21" customHeight="1">
      <x:c r="A3432" s="3" t="str">
        <x:v>2202011</x:v>
      </x:c>
      <x:c r="B3432" s="3" t="str">
        <x:v>SEC036</x:v>
      </x:c>
      <x:c r="C3432" s="3" t="n">
        <x:v>8</x:v>
      </x:c>
      <x:c r="D3432" s="3" t="str">
        <x:v>present</x:v>
      </x:c>
      <x:c r="E3432" s="5" t="str">
        <x:f>VLOOKUP(B3432,Sections!$A$5:$I$45,3,FALSE)</x:f>
        <x:v>2024-1</x:v>
      </x:c>
    </x:row>
    <x:row r="3433" ht="21" customHeight="1">
      <x:c r="A3433" s="3" t="str">
        <x:v>2202011</x:v>
      </x:c>
      <x:c r="B3433" s="3" t="str">
        <x:v>SEC036</x:v>
      </x:c>
      <x:c r="C3433" s="3" t="n">
        <x:v>9</x:v>
      </x:c>
      <x:c r="D3433" s="3" t="str">
        <x:v>present</x:v>
      </x:c>
      <x:c r="E3433" s="5" t="str">
        <x:f>VLOOKUP(B3433,Sections!$A$5:$I$45,3,FALSE)</x:f>
        <x:v>2024-1</x:v>
      </x:c>
    </x:row>
    <x:row r="3434" ht="21" customHeight="1">
      <x:c r="A3434" s="3" t="str">
        <x:v>2202011</x:v>
      </x:c>
      <x:c r="B3434" s="3" t="str">
        <x:v>SEC036</x:v>
      </x:c>
      <x:c r="C3434" s="3" t="n">
        <x:v>10</x:v>
      </x:c>
      <x:c r="D3434" s="3" t="str">
        <x:v>late</x:v>
      </x:c>
      <x:c r="E3434" s="5" t="str">
        <x:f>VLOOKUP(B3434,Sections!$A$5:$I$45,3,FALSE)</x:f>
        <x:v>2024-1</x:v>
      </x:c>
    </x:row>
    <x:row r="3435" ht="21" customHeight="1">
      <x:c r="A3435" s="3" t="str">
        <x:v>2202011</x:v>
      </x:c>
      <x:c r="B3435" s="3" t="str">
        <x:v>SEC036</x:v>
      </x:c>
      <x:c r="C3435" s="3" t="n">
        <x:v>11</x:v>
      </x:c>
      <x:c r="D3435" s="3" t="str">
        <x:v>present</x:v>
      </x:c>
      <x:c r="E3435" s="5" t="str">
        <x:f>VLOOKUP(B3435,Sections!$A$5:$I$45,3,FALSE)</x:f>
        <x:v>2024-1</x:v>
      </x:c>
    </x:row>
    <x:row r="3436" ht="21" customHeight="1">
      <x:c r="A3436" s="3" t="str">
        <x:v>2202011</x:v>
      </x:c>
      <x:c r="B3436" s="3" t="str">
        <x:v>SEC036</x:v>
      </x:c>
      <x:c r="C3436" s="3" t="n">
        <x:v>12</x:v>
      </x:c>
      <x:c r="D3436" s="3" t="str">
        <x:v>present</x:v>
      </x:c>
      <x:c r="E3436" s="5" t="str">
        <x:f>VLOOKUP(B3436,Sections!$A$5:$I$45,3,FALSE)</x:f>
        <x:v>2024-1</x:v>
      </x:c>
    </x:row>
    <x:row r="3437" ht="21" customHeight="1">
      <x:c r="A3437" s="3" t="str">
        <x:v>2202011</x:v>
      </x:c>
      <x:c r="B3437" s="3" t="str">
        <x:v>SEC036</x:v>
      </x:c>
      <x:c r="C3437" s="3" t="n">
        <x:v>13</x:v>
      </x:c>
      <x:c r="D3437" s="3" t="str">
        <x:v>present</x:v>
      </x:c>
      <x:c r="E3437" s="5" t="str">
        <x:f>VLOOKUP(B3437,Sections!$A$5:$I$45,3,FALSE)</x:f>
        <x:v>2024-1</x:v>
      </x:c>
    </x:row>
    <x:row r="3438" ht="21" customHeight="1">
      <x:c r="A3438" s="3" t="str">
        <x:v>2202011</x:v>
      </x:c>
      <x:c r="B3438" s="3" t="str">
        <x:v>SEC036</x:v>
      </x:c>
      <x:c r="C3438" s="3" t="n">
        <x:v>14</x:v>
      </x:c>
      <x:c r="D3438" s="3" t="str">
        <x:v>present</x:v>
      </x:c>
      <x:c r="E3438" s="5" t="str">
        <x:f>VLOOKUP(B3438,Sections!$A$5:$I$45,3,FALSE)</x:f>
        <x:v>2024-1</x:v>
      </x:c>
    </x:row>
    <x:row r="3439" ht="21" customHeight="1">
      <x:c r="A3439" s="3" t="str">
        <x:v>2202011</x:v>
      </x:c>
      <x:c r="B3439" s="3" t="str">
        <x:v>SEC036</x:v>
      </x:c>
      <x:c r="C3439" s="3" t="n">
        <x:v>15</x:v>
      </x:c>
      <x:c r="D3439" s="3" t="str">
        <x:v>present</x:v>
      </x:c>
      <x:c r="E3439" s="5" t="str">
        <x:f>VLOOKUP(B3439,Sections!$A$5:$I$45,3,FALSE)</x:f>
        <x:v>2024-1</x:v>
      </x:c>
    </x:row>
    <x:row r="3440" ht="21" customHeight="1">
      <x:c r="A3440" s="3" t="str">
        <x:v>2202012</x:v>
      </x:c>
      <x:c r="B3440" s="3" t="str">
        <x:v>SEC036</x:v>
      </x:c>
      <x:c r="C3440" s="3" t="n">
        <x:v>1</x:v>
      </x:c>
      <x:c r="D3440" s="3" t="str">
        <x:v>present</x:v>
      </x:c>
      <x:c r="E3440" s="5" t="str">
        <x:f>VLOOKUP(B3440,Sections!$A$5:$I$45,3,FALSE)</x:f>
        <x:v>2024-1</x:v>
      </x:c>
    </x:row>
    <x:row r="3441" ht="21" customHeight="1">
      <x:c r="A3441" s="3" t="str">
        <x:v>2202012</x:v>
      </x:c>
      <x:c r="B3441" s="3" t="str">
        <x:v>SEC036</x:v>
      </x:c>
      <x:c r="C3441" s="3" t="n">
        <x:v>2</x:v>
      </x:c>
      <x:c r="D3441" s="3" t="str">
        <x:v>present</x:v>
      </x:c>
      <x:c r="E3441" s="5" t="str">
        <x:f>VLOOKUP(B3441,Sections!$A$5:$I$45,3,FALSE)</x:f>
        <x:v>2024-1</x:v>
      </x:c>
    </x:row>
    <x:row r="3442" ht="21" customHeight="1">
      <x:c r="A3442" s="3" t="str">
        <x:v>2202012</x:v>
      </x:c>
      <x:c r="B3442" s="3" t="str">
        <x:v>SEC036</x:v>
      </x:c>
      <x:c r="C3442" s="3" t="n">
        <x:v>3</x:v>
      </x:c>
      <x:c r="D3442" s="3" t="str">
        <x:v>present</x:v>
      </x:c>
      <x:c r="E3442" s="5" t="str">
        <x:f>VLOOKUP(B3442,Sections!$A$5:$I$45,3,FALSE)</x:f>
        <x:v>2024-1</x:v>
      </x:c>
    </x:row>
    <x:row r="3443" ht="21" customHeight="1">
      <x:c r="A3443" s="3" t="str">
        <x:v>2202012</x:v>
      </x:c>
      <x:c r="B3443" s="3" t="str">
        <x:v>SEC036</x:v>
      </x:c>
      <x:c r="C3443" s="3" t="n">
        <x:v>4</x:v>
      </x:c>
      <x:c r="D3443" s="3" t="str">
        <x:v>present</x:v>
      </x:c>
      <x:c r="E3443" s="5" t="str">
        <x:f>VLOOKUP(B3443,Sections!$A$5:$I$45,3,FALSE)</x:f>
        <x:v>2024-1</x:v>
      </x:c>
    </x:row>
    <x:row r="3444" ht="21" customHeight="1">
      <x:c r="A3444" s="3" t="str">
        <x:v>2202012</x:v>
      </x:c>
      <x:c r="B3444" s="3" t="str">
        <x:v>SEC036</x:v>
      </x:c>
      <x:c r="C3444" s="3" t="n">
        <x:v>5</x:v>
      </x:c>
      <x:c r="D3444" s="3" t="str">
        <x:v>late</x:v>
      </x:c>
      <x:c r="E3444" s="5" t="str">
        <x:f>VLOOKUP(B3444,Sections!$A$5:$I$45,3,FALSE)</x:f>
        <x:v>2024-1</x:v>
      </x:c>
    </x:row>
    <x:row r="3445" ht="21" customHeight="1">
      <x:c r="A3445" s="3" t="str">
        <x:v>2202012</x:v>
      </x:c>
      <x:c r="B3445" s="3" t="str">
        <x:v>SEC036</x:v>
      </x:c>
      <x:c r="C3445" s="3" t="n">
        <x:v>6</x:v>
      </x:c>
      <x:c r="D3445" s="3" t="str">
        <x:v>present</x:v>
      </x:c>
      <x:c r="E3445" s="5" t="str">
        <x:f>VLOOKUP(B3445,Sections!$A$5:$I$45,3,FALSE)</x:f>
        <x:v>2024-1</x:v>
      </x:c>
    </x:row>
    <x:row r="3446" ht="21" customHeight="1">
      <x:c r="A3446" s="3" t="str">
        <x:v>2202012</x:v>
      </x:c>
      <x:c r="B3446" s="3" t="str">
        <x:v>SEC036</x:v>
      </x:c>
      <x:c r="C3446" s="3" t="n">
        <x:v>7</x:v>
      </x:c>
      <x:c r="D3446" s="3" t="str">
        <x:v>present</x:v>
      </x:c>
      <x:c r="E3446" s="5" t="str">
        <x:f>VLOOKUP(B3446,Sections!$A$5:$I$45,3,FALSE)</x:f>
        <x:v>2024-1</x:v>
      </x:c>
    </x:row>
    <x:row r="3447" ht="21" customHeight="1">
      <x:c r="A3447" s="3" t="str">
        <x:v>2202012</x:v>
      </x:c>
      <x:c r="B3447" s="3" t="str">
        <x:v>SEC036</x:v>
      </x:c>
      <x:c r="C3447" s="3" t="n">
        <x:v>8</x:v>
      </x:c>
      <x:c r="D3447" s="3" t="str">
        <x:v>present</x:v>
      </x:c>
      <x:c r="E3447" s="5" t="str">
        <x:f>VLOOKUP(B3447,Sections!$A$5:$I$45,3,FALSE)</x:f>
        <x:v>2024-1</x:v>
      </x:c>
    </x:row>
    <x:row r="3448" ht="21" customHeight="1">
      <x:c r="A3448" s="3" t="str">
        <x:v>2202012</x:v>
      </x:c>
      <x:c r="B3448" s="3" t="str">
        <x:v>SEC036</x:v>
      </x:c>
      <x:c r="C3448" s="3" t="n">
        <x:v>9</x:v>
      </x:c>
      <x:c r="D3448" s="3" t="str">
        <x:v>present</x:v>
      </x:c>
      <x:c r="E3448" s="5" t="str">
        <x:f>VLOOKUP(B3448,Sections!$A$5:$I$45,3,FALSE)</x:f>
        <x:v>2024-1</x:v>
      </x:c>
    </x:row>
    <x:row r="3449" ht="21" customHeight="1">
      <x:c r="A3449" s="3" t="str">
        <x:v>2202012</x:v>
      </x:c>
      <x:c r="B3449" s="3" t="str">
        <x:v>SEC036</x:v>
      </x:c>
      <x:c r="C3449" s="3" t="n">
        <x:v>10</x:v>
      </x:c>
      <x:c r="D3449" s="3" t="str">
        <x:v>present</x:v>
      </x:c>
      <x:c r="E3449" s="5" t="str">
        <x:f>VLOOKUP(B3449,Sections!$A$5:$I$45,3,FALSE)</x:f>
        <x:v>2024-1</x:v>
      </x:c>
    </x:row>
    <x:row r="3450" ht="21" customHeight="1">
      <x:c r="A3450" s="3" t="str">
        <x:v>2202012</x:v>
      </x:c>
      <x:c r="B3450" s="3" t="str">
        <x:v>SEC036</x:v>
      </x:c>
      <x:c r="C3450" s="3" t="n">
        <x:v>11</x:v>
      </x:c>
      <x:c r="D3450" s="3" t="str">
        <x:v>present</x:v>
      </x:c>
      <x:c r="E3450" s="5" t="str">
        <x:f>VLOOKUP(B3450,Sections!$A$5:$I$45,3,FALSE)</x:f>
        <x:v>2024-1</x:v>
      </x:c>
    </x:row>
    <x:row r="3451" ht="21" customHeight="1">
      <x:c r="A3451" s="3" t="str">
        <x:v>2202012</x:v>
      </x:c>
      <x:c r="B3451" s="3" t="str">
        <x:v>SEC036</x:v>
      </x:c>
      <x:c r="C3451" s="3" t="n">
        <x:v>12</x:v>
      </x:c>
      <x:c r="D3451" s="3" t="str">
        <x:v>present</x:v>
      </x:c>
      <x:c r="E3451" s="5" t="str">
        <x:f>VLOOKUP(B3451,Sections!$A$5:$I$45,3,FALSE)</x:f>
        <x:v>2024-1</x:v>
      </x:c>
    </x:row>
    <x:row r="3452" ht="21" customHeight="1">
      <x:c r="A3452" s="3" t="str">
        <x:v>2202012</x:v>
      </x:c>
      <x:c r="B3452" s="3" t="str">
        <x:v>SEC036</x:v>
      </x:c>
      <x:c r="C3452" s="3" t="n">
        <x:v>13</x:v>
      </x:c>
      <x:c r="D3452" s="3" t="str">
        <x:v>present</x:v>
      </x:c>
      <x:c r="E3452" s="5" t="str">
        <x:f>VLOOKUP(B3452,Sections!$A$5:$I$45,3,FALSE)</x:f>
        <x:v>2024-1</x:v>
      </x:c>
    </x:row>
    <x:row r="3453" ht="21" customHeight="1">
      <x:c r="A3453" s="3" t="str">
        <x:v>2202012</x:v>
      </x:c>
      <x:c r="B3453" s="3" t="str">
        <x:v>SEC036</x:v>
      </x:c>
      <x:c r="C3453" s="3" t="n">
        <x:v>14</x:v>
      </x:c>
      <x:c r="D3453" s="3" t="str">
        <x:v>present</x:v>
      </x:c>
      <x:c r="E3453" s="5" t="str">
        <x:f>VLOOKUP(B3453,Sections!$A$5:$I$45,3,FALSE)</x:f>
        <x:v>2024-1</x:v>
      </x:c>
    </x:row>
    <x:row r="3454" ht="21" customHeight="1">
      <x:c r="A3454" s="3" t="str">
        <x:v>2202012</x:v>
      </x:c>
      <x:c r="B3454" s="3" t="str">
        <x:v>SEC036</x:v>
      </x:c>
      <x:c r="C3454" s="3" t="n">
        <x:v>15</x:v>
      </x:c>
      <x:c r="D3454" s="3" t="str">
        <x:v>present</x:v>
      </x:c>
      <x:c r="E3454" s="5" t="str">
        <x:f>VLOOKUP(B3454,Sections!$A$5:$I$45,3,FALSE)</x:f>
        <x:v>2024-1</x:v>
      </x:c>
    </x:row>
    <x:row r="3455" ht="21" customHeight="1">
      <x:c r="A3455" s="3" t="str">
        <x:v>2202013</x:v>
      </x:c>
      <x:c r="B3455" s="3" t="str">
        <x:v>SEC036</x:v>
      </x:c>
      <x:c r="C3455" s="3" t="n">
        <x:v>1</x:v>
      </x:c>
      <x:c r="D3455" s="3" t="str">
        <x:v>present</x:v>
      </x:c>
      <x:c r="E3455" s="5" t="str">
        <x:f>VLOOKUP(B3455,Sections!$A$5:$I$45,3,FALSE)</x:f>
        <x:v>2024-1</x:v>
      </x:c>
    </x:row>
    <x:row r="3456" ht="21" customHeight="1">
      <x:c r="A3456" s="3" t="str">
        <x:v>2202013</x:v>
      </x:c>
      <x:c r="B3456" s="3" t="str">
        <x:v>SEC036</x:v>
      </x:c>
      <x:c r="C3456" s="3" t="n">
        <x:v>2</x:v>
      </x:c>
      <x:c r="D3456" s="3" t="str">
        <x:v>present</x:v>
      </x:c>
      <x:c r="E3456" s="5" t="str">
        <x:f>VLOOKUP(B3456,Sections!$A$5:$I$45,3,FALSE)</x:f>
        <x:v>2024-1</x:v>
      </x:c>
    </x:row>
    <x:row r="3457" ht="21" customHeight="1">
      <x:c r="A3457" s="3" t="str">
        <x:v>2202013</x:v>
      </x:c>
      <x:c r="B3457" s="3" t="str">
        <x:v>SEC036</x:v>
      </x:c>
      <x:c r="C3457" s="3" t="n">
        <x:v>3</x:v>
      </x:c>
      <x:c r="D3457" s="3" t="str">
        <x:v>present</x:v>
      </x:c>
      <x:c r="E3457" s="5" t="str">
        <x:f>VLOOKUP(B3457,Sections!$A$5:$I$45,3,FALSE)</x:f>
        <x:v>2024-1</x:v>
      </x:c>
    </x:row>
    <x:row r="3458" ht="21" customHeight="1">
      <x:c r="A3458" s="3" t="str">
        <x:v>2202013</x:v>
      </x:c>
      <x:c r="B3458" s="3" t="str">
        <x:v>SEC036</x:v>
      </x:c>
      <x:c r="C3458" s="3" t="n">
        <x:v>4</x:v>
      </x:c>
      <x:c r="D3458" s="3" t="str">
        <x:v>present</x:v>
      </x:c>
      <x:c r="E3458" s="5" t="str">
        <x:f>VLOOKUP(B3458,Sections!$A$5:$I$45,3,FALSE)</x:f>
        <x:v>2024-1</x:v>
      </x:c>
    </x:row>
    <x:row r="3459" ht="21" customHeight="1">
      <x:c r="A3459" s="3" t="str">
        <x:v>2202013</x:v>
      </x:c>
      <x:c r="B3459" s="3" t="str">
        <x:v>SEC036</x:v>
      </x:c>
      <x:c r="C3459" s="3" t="n">
        <x:v>5</x:v>
      </x:c>
      <x:c r="D3459" s="3" t="str">
        <x:v>present</x:v>
      </x:c>
      <x:c r="E3459" s="5" t="str">
        <x:f>VLOOKUP(B3459,Sections!$A$5:$I$45,3,FALSE)</x:f>
        <x:v>2024-1</x:v>
      </x:c>
    </x:row>
    <x:row r="3460" ht="21" customHeight="1">
      <x:c r="A3460" s="3" t="str">
        <x:v>2202013</x:v>
      </x:c>
      <x:c r="B3460" s="3" t="str">
        <x:v>SEC036</x:v>
      </x:c>
      <x:c r="C3460" s="3" t="n">
        <x:v>6</x:v>
      </x:c>
      <x:c r="D3460" s="3" t="str">
        <x:v>present</x:v>
      </x:c>
      <x:c r="E3460" s="5" t="str">
        <x:f>VLOOKUP(B3460,Sections!$A$5:$I$45,3,FALSE)</x:f>
        <x:v>2024-1</x:v>
      </x:c>
    </x:row>
    <x:row r="3461" ht="21" customHeight="1">
      <x:c r="A3461" s="3" t="str">
        <x:v>2202013</x:v>
      </x:c>
      <x:c r="B3461" s="3" t="str">
        <x:v>SEC036</x:v>
      </x:c>
      <x:c r="C3461" s="3" t="n">
        <x:v>7</x:v>
      </x:c>
      <x:c r="D3461" s="3" t="str">
        <x:v>present</x:v>
      </x:c>
      <x:c r="E3461" s="5" t="str">
        <x:f>VLOOKUP(B3461,Sections!$A$5:$I$45,3,FALSE)</x:f>
        <x:v>2024-1</x:v>
      </x:c>
    </x:row>
    <x:row r="3462" ht="21" customHeight="1">
      <x:c r="A3462" s="3" t="str">
        <x:v>2202013</x:v>
      </x:c>
      <x:c r="B3462" s="3" t="str">
        <x:v>SEC036</x:v>
      </x:c>
      <x:c r="C3462" s="3" t="n">
        <x:v>8</x:v>
      </x:c>
      <x:c r="D3462" s="3" t="str">
        <x:v>present</x:v>
      </x:c>
      <x:c r="E3462" s="5" t="str">
        <x:f>VLOOKUP(B3462,Sections!$A$5:$I$45,3,FALSE)</x:f>
        <x:v>2024-1</x:v>
      </x:c>
    </x:row>
    <x:row r="3463" ht="21" customHeight="1">
      <x:c r="A3463" s="3" t="str">
        <x:v>2202013</x:v>
      </x:c>
      <x:c r="B3463" s="3" t="str">
        <x:v>SEC036</x:v>
      </x:c>
      <x:c r="C3463" s="3" t="n">
        <x:v>9</x:v>
      </x:c>
      <x:c r="D3463" s="3" t="str">
        <x:v>present</x:v>
      </x:c>
      <x:c r="E3463" s="5" t="str">
        <x:f>VLOOKUP(B3463,Sections!$A$5:$I$45,3,FALSE)</x:f>
        <x:v>2024-1</x:v>
      </x:c>
    </x:row>
    <x:row r="3464" ht="21" customHeight="1">
      <x:c r="A3464" s="3" t="str">
        <x:v>2202013</x:v>
      </x:c>
      <x:c r="B3464" s="3" t="str">
        <x:v>SEC036</x:v>
      </x:c>
      <x:c r="C3464" s="3" t="n">
        <x:v>10</x:v>
      </x:c>
      <x:c r="D3464" s="3" t="str">
        <x:v>present</x:v>
      </x:c>
      <x:c r="E3464" s="5" t="str">
        <x:f>VLOOKUP(B3464,Sections!$A$5:$I$45,3,FALSE)</x:f>
        <x:v>2024-1</x:v>
      </x:c>
    </x:row>
    <x:row r="3465" ht="21" customHeight="1">
      <x:c r="A3465" s="3" t="str">
        <x:v>2202013</x:v>
      </x:c>
      <x:c r="B3465" s="3" t="str">
        <x:v>SEC036</x:v>
      </x:c>
      <x:c r="C3465" s="3" t="n">
        <x:v>11</x:v>
      </x:c>
      <x:c r="D3465" s="3" t="str">
        <x:v>present</x:v>
      </x:c>
      <x:c r="E3465" s="5" t="str">
        <x:f>VLOOKUP(B3465,Sections!$A$5:$I$45,3,FALSE)</x:f>
        <x:v>2024-1</x:v>
      </x:c>
    </x:row>
    <x:row r="3466" ht="21" customHeight="1">
      <x:c r="A3466" s="3" t="str">
        <x:v>2202013</x:v>
      </x:c>
      <x:c r="B3466" s="3" t="str">
        <x:v>SEC036</x:v>
      </x:c>
      <x:c r="C3466" s="3" t="n">
        <x:v>12</x:v>
      </x:c>
      <x:c r="D3466" s="3" t="str">
        <x:v>present</x:v>
      </x:c>
      <x:c r="E3466" s="5" t="str">
        <x:f>VLOOKUP(B3466,Sections!$A$5:$I$45,3,FALSE)</x:f>
        <x:v>2024-1</x:v>
      </x:c>
    </x:row>
    <x:row r="3467" ht="21" customHeight="1">
      <x:c r="A3467" s="3" t="str">
        <x:v>2202013</x:v>
      </x:c>
      <x:c r="B3467" s="3" t="str">
        <x:v>SEC036</x:v>
      </x:c>
      <x:c r="C3467" s="3" t="n">
        <x:v>13</x:v>
      </x:c>
      <x:c r="D3467" s="3" t="str">
        <x:v>present</x:v>
      </x:c>
      <x:c r="E3467" s="5" t="str">
        <x:f>VLOOKUP(B3467,Sections!$A$5:$I$45,3,FALSE)</x:f>
        <x:v>2024-1</x:v>
      </x:c>
    </x:row>
    <x:row r="3468" ht="21" customHeight="1">
      <x:c r="A3468" s="3" t="str">
        <x:v>2202013</x:v>
      </x:c>
      <x:c r="B3468" s="3" t="str">
        <x:v>SEC036</x:v>
      </x:c>
      <x:c r="C3468" s="3" t="n">
        <x:v>14</x:v>
      </x:c>
      <x:c r="D3468" s="3" t="str">
        <x:v>present</x:v>
      </x:c>
      <x:c r="E3468" s="5" t="str">
        <x:f>VLOOKUP(B3468,Sections!$A$5:$I$45,3,FALSE)</x:f>
        <x:v>2024-1</x:v>
      </x:c>
    </x:row>
    <x:row r="3469" ht="21" customHeight="1">
      <x:c r="A3469" s="3" t="str">
        <x:v>2202013</x:v>
      </x:c>
      <x:c r="B3469" s="3" t="str">
        <x:v>SEC036</x:v>
      </x:c>
      <x:c r="C3469" s="3" t="n">
        <x:v>15</x:v>
      </x:c>
      <x:c r="D3469" s="3" t="str">
        <x:v>present</x:v>
      </x:c>
      <x:c r="E3469" s="5" t="str">
        <x:f>VLOOKUP(B3469,Sections!$A$5:$I$45,3,FALSE)</x:f>
        <x:v>2024-1</x:v>
      </x:c>
    </x:row>
    <x:row r="3470" ht="21" customHeight="1">
      <x:c r="A3470" s="3" t="str">
        <x:v>2202014</x:v>
      </x:c>
      <x:c r="B3470" s="3" t="str">
        <x:v>SEC036</x:v>
      </x:c>
      <x:c r="C3470" s="3" t="n">
        <x:v>1</x:v>
      </x:c>
      <x:c r="D3470" s="3" t="str">
        <x:v>late</x:v>
      </x:c>
      <x:c r="E3470" s="5" t="str">
        <x:f>VLOOKUP(B3470,Sections!$A$5:$I$45,3,FALSE)</x:f>
        <x:v>2024-1</x:v>
      </x:c>
    </x:row>
    <x:row r="3471" ht="21" customHeight="1">
      <x:c r="A3471" s="3" t="str">
        <x:v>2202014</x:v>
      </x:c>
      <x:c r="B3471" s="3" t="str">
        <x:v>SEC036</x:v>
      </x:c>
      <x:c r="C3471" s="3" t="n">
        <x:v>2</x:v>
      </x:c>
      <x:c r="D3471" s="3" t="str">
        <x:v>present</x:v>
      </x:c>
      <x:c r="E3471" s="5" t="str">
        <x:f>VLOOKUP(B3471,Sections!$A$5:$I$45,3,FALSE)</x:f>
        <x:v>2024-1</x:v>
      </x:c>
    </x:row>
    <x:row r="3472" ht="21" customHeight="1">
      <x:c r="A3472" s="3" t="str">
        <x:v>2202014</x:v>
      </x:c>
      <x:c r="B3472" s="3" t="str">
        <x:v>SEC036</x:v>
      </x:c>
      <x:c r="C3472" s="3" t="n">
        <x:v>3</x:v>
      </x:c>
      <x:c r="D3472" s="3" t="str">
        <x:v>present</x:v>
      </x:c>
      <x:c r="E3472" s="5" t="str">
        <x:f>VLOOKUP(B3472,Sections!$A$5:$I$45,3,FALSE)</x:f>
        <x:v>2024-1</x:v>
      </x:c>
    </x:row>
    <x:row r="3473" ht="21" customHeight="1">
      <x:c r="A3473" s="3" t="str">
        <x:v>2202014</x:v>
      </x:c>
      <x:c r="B3473" s="3" t="str">
        <x:v>SEC036</x:v>
      </x:c>
      <x:c r="C3473" s="3" t="n">
        <x:v>4</x:v>
      </x:c>
      <x:c r="D3473" s="3" t="str">
        <x:v>present</x:v>
      </x:c>
      <x:c r="E3473" s="5" t="str">
        <x:f>VLOOKUP(B3473,Sections!$A$5:$I$45,3,FALSE)</x:f>
        <x:v>2024-1</x:v>
      </x:c>
    </x:row>
    <x:row r="3474" ht="21" customHeight="1">
      <x:c r="A3474" s="3" t="str">
        <x:v>2202014</x:v>
      </x:c>
      <x:c r="B3474" s="3" t="str">
        <x:v>SEC036</x:v>
      </x:c>
      <x:c r="C3474" s="3" t="n">
        <x:v>5</x:v>
      </x:c>
      <x:c r="D3474" s="3" t="str">
        <x:v>present</x:v>
      </x:c>
      <x:c r="E3474" s="5" t="str">
        <x:f>VLOOKUP(B3474,Sections!$A$5:$I$45,3,FALSE)</x:f>
        <x:v>2024-1</x:v>
      </x:c>
    </x:row>
    <x:row r="3475" ht="21" customHeight="1">
      <x:c r="A3475" s="3" t="str">
        <x:v>2202014</x:v>
      </x:c>
      <x:c r="B3475" s="3" t="str">
        <x:v>SEC036</x:v>
      </x:c>
      <x:c r="C3475" s="3" t="n">
        <x:v>6</x:v>
      </x:c>
      <x:c r="D3475" s="3" t="str">
        <x:v>absent</x:v>
      </x:c>
      <x:c r="E3475" s="5" t="str">
        <x:f>VLOOKUP(B3475,Sections!$A$5:$I$45,3,FALSE)</x:f>
        <x:v>2024-1</x:v>
      </x:c>
    </x:row>
    <x:row r="3476" ht="21" customHeight="1">
      <x:c r="A3476" s="3" t="str">
        <x:v>2202014</x:v>
      </x:c>
      <x:c r="B3476" s="3" t="str">
        <x:v>SEC036</x:v>
      </x:c>
      <x:c r="C3476" s="3" t="n">
        <x:v>7</x:v>
      </x:c>
      <x:c r="D3476" s="3" t="str">
        <x:v>present</x:v>
      </x:c>
      <x:c r="E3476" s="5" t="str">
        <x:f>VLOOKUP(B3476,Sections!$A$5:$I$45,3,FALSE)</x:f>
        <x:v>2024-1</x:v>
      </x:c>
    </x:row>
    <x:row r="3477" ht="21" customHeight="1">
      <x:c r="A3477" s="3" t="str">
        <x:v>2202014</x:v>
      </x:c>
      <x:c r="B3477" s="3" t="str">
        <x:v>SEC036</x:v>
      </x:c>
      <x:c r="C3477" s="3" t="n">
        <x:v>8</x:v>
      </x:c>
      <x:c r="D3477" s="3" t="str">
        <x:v>present</x:v>
      </x:c>
      <x:c r="E3477" s="5" t="str">
        <x:f>VLOOKUP(B3477,Sections!$A$5:$I$45,3,FALSE)</x:f>
        <x:v>2024-1</x:v>
      </x:c>
    </x:row>
    <x:row r="3478" ht="21" customHeight="1">
      <x:c r="A3478" s="3" t="str">
        <x:v>2202014</x:v>
      </x:c>
      <x:c r="B3478" s="3" t="str">
        <x:v>SEC036</x:v>
      </x:c>
      <x:c r="C3478" s="3" t="n">
        <x:v>9</x:v>
      </x:c>
      <x:c r="D3478" s="3" t="str">
        <x:v>present</x:v>
      </x:c>
      <x:c r="E3478" s="5" t="str">
        <x:f>VLOOKUP(B3478,Sections!$A$5:$I$45,3,FALSE)</x:f>
        <x:v>2024-1</x:v>
      </x:c>
    </x:row>
    <x:row r="3479" ht="21" customHeight="1">
      <x:c r="A3479" s="3" t="str">
        <x:v>2202014</x:v>
      </x:c>
      <x:c r="B3479" s="3" t="str">
        <x:v>SEC036</x:v>
      </x:c>
      <x:c r="C3479" s="3" t="n">
        <x:v>10</x:v>
      </x:c>
      <x:c r="D3479" s="3" t="str">
        <x:v>present</x:v>
      </x:c>
      <x:c r="E3479" s="5" t="str">
        <x:f>VLOOKUP(B3479,Sections!$A$5:$I$45,3,FALSE)</x:f>
        <x:v>2024-1</x:v>
      </x:c>
    </x:row>
    <x:row r="3480" ht="21" customHeight="1">
      <x:c r="A3480" s="3" t="str">
        <x:v>2202014</x:v>
      </x:c>
      <x:c r="B3480" s="3" t="str">
        <x:v>SEC036</x:v>
      </x:c>
      <x:c r="C3480" s="3" t="n">
        <x:v>11</x:v>
      </x:c>
      <x:c r="D3480" s="3" t="str">
        <x:v>present</x:v>
      </x:c>
      <x:c r="E3480" s="5" t="str">
        <x:f>VLOOKUP(B3480,Sections!$A$5:$I$45,3,FALSE)</x:f>
        <x:v>2024-1</x:v>
      </x:c>
    </x:row>
    <x:row r="3481" ht="21" customHeight="1">
      <x:c r="A3481" s="3" t="str">
        <x:v>2202014</x:v>
      </x:c>
      <x:c r="B3481" s="3" t="str">
        <x:v>SEC036</x:v>
      </x:c>
      <x:c r="C3481" s="3" t="n">
        <x:v>12</x:v>
      </x:c>
      <x:c r="D3481" s="3" t="str">
        <x:v>present</x:v>
      </x:c>
      <x:c r="E3481" s="5" t="str">
        <x:f>VLOOKUP(B3481,Sections!$A$5:$I$45,3,FALSE)</x:f>
        <x:v>2024-1</x:v>
      </x:c>
    </x:row>
    <x:row r="3482" ht="21" customHeight="1">
      <x:c r="A3482" s="3" t="str">
        <x:v>2202014</x:v>
      </x:c>
      <x:c r="B3482" s="3" t="str">
        <x:v>SEC036</x:v>
      </x:c>
      <x:c r="C3482" s="3" t="n">
        <x:v>13</x:v>
      </x:c>
      <x:c r="D3482" s="3" t="str">
        <x:v>present</x:v>
      </x:c>
      <x:c r="E3482" s="5" t="str">
        <x:f>VLOOKUP(B3482,Sections!$A$5:$I$45,3,FALSE)</x:f>
        <x:v>2024-1</x:v>
      </x:c>
    </x:row>
    <x:row r="3483" ht="21" customHeight="1">
      <x:c r="A3483" s="3" t="str">
        <x:v>2202014</x:v>
      </x:c>
      <x:c r="B3483" s="3" t="str">
        <x:v>SEC036</x:v>
      </x:c>
      <x:c r="C3483" s="3" t="n">
        <x:v>14</x:v>
      </x:c>
      <x:c r="D3483" s="3" t="str">
        <x:v>present</x:v>
      </x:c>
      <x:c r="E3483" s="5" t="str">
        <x:f>VLOOKUP(B3483,Sections!$A$5:$I$45,3,FALSE)</x:f>
        <x:v>2024-1</x:v>
      </x:c>
    </x:row>
    <x:row r="3484" ht="21" customHeight="1">
      <x:c r="A3484" s="3" t="str">
        <x:v>2202014</x:v>
      </x:c>
      <x:c r="B3484" s="3" t="str">
        <x:v>SEC036</x:v>
      </x:c>
      <x:c r="C3484" s="3" t="n">
        <x:v>15</x:v>
      </x:c>
      <x:c r="D3484" s="3" t="str">
        <x:v>excused</x:v>
      </x:c>
      <x:c r="E3484" s="5" t="str">
        <x:f>VLOOKUP(B3484,Sections!$A$5:$I$45,3,FALSE)</x:f>
        <x:v>2024-1</x:v>
      </x:c>
    </x:row>
    <x:row r="3485" ht="21" customHeight="1">
      <x:c r="A3485" s="3" t="str">
        <x:v>2202015</x:v>
      </x:c>
      <x:c r="B3485" s="3" t="str">
        <x:v>SEC036</x:v>
      </x:c>
      <x:c r="C3485" s="3" t="n">
        <x:v>1</x:v>
      </x:c>
      <x:c r="D3485" s="3" t="str">
        <x:v>present</x:v>
      </x:c>
      <x:c r="E3485" s="5" t="str">
        <x:f>VLOOKUP(B3485,Sections!$A$5:$I$45,3,FALSE)</x:f>
        <x:v>2024-1</x:v>
      </x:c>
    </x:row>
    <x:row r="3486" ht="21" customHeight="1">
      <x:c r="A3486" s="3" t="str">
        <x:v>2202015</x:v>
      </x:c>
      <x:c r="B3486" s="3" t="str">
        <x:v>SEC036</x:v>
      </x:c>
      <x:c r="C3486" s="3" t="n">
        <x:v>2</x:v>
      </x:c>
      <x:c r="D3486" s="3" t="str">
        <x:v>present</x:v>
      </x:c>
      <x:c r="E3486" s="5" t="str">
        <x:f>VLOOKUP(B3486,Sections!$A$5:$I$45,3,FALSE)</x:f>
        <x:v>2024-1</x:v>
      </x:c>
    </x:row>
    <x:row r="3487" ht="21" customHeight="1">
      <x:c r="A3487" s="3" t="str">
        <x:v>2202015</x:v>
      </x:c>
      <x:c r="B3487" s="3" t="str">
        <x:v>SEC036</x:v>
      </x:c>
      <x:c r="C3487" s="3" t="n">
        <x:v>3</x:v>
      </x:c>
      <x:c r="D3487" s="3" t="str">
        <x:v>excused</x:v>
      </x:c>
      <x:c r="E3487" s="5" t="str">
        <x:f>VLOOKUP(B3487,Sections!$A$5:$I$45,3,FALSE)</x:f>
        <x:v>2024-1</x:v>
      </x:c>
    </x:row>
    <x:row r="3488" ht="21" customHeight="1">
      <x:c r="A3488" s="3" t="str">
        <x:v>2202015</x:v>
      </x:c>
      <x:c r="B3488" s="3" t="str">
        <x:v>SEC036</x:v>
      </x:c>
      <x:c r="C3488" s="3" t="n">
        <x:v>4</x:v>
      </x:c>
      <x:c r="D3488" s="3" t="str">
        <x:v>present</x:v>
      </x:c>
      <x:c r="E3488" s="5" t="str">
        <x:f>VLOOKUP(B3488,Sections!$A$5:$I$45,3,FALSE)</x:f>
        <x:v>2024-1</x:v>
      </x:c>
    </x:row>
    <x:row r="3489" ht="21" customHeight="1">
      <x:c r="A3489" s="3" t="str">
        <x:v>2202015</x:v>
      </x:c>
      <x:c r="B3489" s="3" t="str">
        <x:v>SEC036</x:v>
      </x:c>
      <x:c r="C3489" s="3" t="n">
        <x:v>5</x:v>
      </x:c>
      <x:c r="D3489" s="3" t="str">
        <x:v>present</x:v>
      </x:c>
      <x:c r="E3489" s="5" t="str">
        <x:f>VLOOKUP(B3489,Sections!$A$5:$I$45,3,FALSE)</x:f>
        <x:v>2024-1</x:v>
      </x:c>
    </x:row>
    <x:row r="3490" ht="21" customHeight="1">
      <x:c r="A3490" s="3" t="str">
        <x:v>2202015</x:v>
      </x:c>
      <x:c r="B3490" s="3" t="str">
        <x:v>SEC036</x:v>
      </x:c>
      <x:c r="C3490" s="3" t="n">
        <x:v>6</x:v>
      </x:c>
      <x:c r="D3490" s="3" t="str">
        <x:v>present</x:v>
      </x:c>
      <x:c r="E3490" s="5" t="str">
        <x:f>VLOOKUP(B3490,Sections!$A$5:$I$45,3,FALSE)</x:f>
        <x:v>2024-1</x:v>
      </x:c>
    </x:row>
    <x:row r="3491" ht="21" customHeight="1">
      <x:c r="A3491" s="3" t="str">
        <x:v>2202015</x:v>
      </x:c>
      <x:c r="B3491" s="3" t="str">
        <x:v>SEC036</x:v>
      </x:c>
      <x:c r="C3491" s="3" t="n">
        <x:v>7</x:v>
      </x:c>
      <x:c r="D3491" s="3" t="str">
        <x:v>present</x:v>
      </x:c>
      <x:c r="E3491" s="5" t="str">
        <x:f>VLOOKUP(B3491,Sections!$A$5:$I$45,3,FALSE)</x:f>
        <x:v>2024-1</x:v>
      </x:c>
    </x:row>
    <x:row r="3492" ht="21" customHeight="1">
      <x:c r="A3492" s="3" t="str">
        <x:v>2202015</x:v>
      </x:c>
      <x:c r="B3492" s="3" t="str">
        <x:v>SEC036</x:v>
      </x:c>
      <x:c r="C3492" s="3" t="n">
        <x:v>8</x:v>
      </x:c>
      <x:c r="D3492" s="3" t="str">
        <x:v>absent</x:v>
      </x:c>
      <x:c r="E3492" s="5" t="str">
        <x:f>VLOOKUP(B3492,Sections!$A$5:$I$45,3,FALSE)</x:f>
        <x:v>2024-1</x:v>
      </x:c>
    </x:row>
    <x:row r="3493" ht="21" customHeight="1">
      <x:c r="A3493" s="3" t="str">
        <x:v>2202015</x:v>
      </x:c>
      <x:c r="B3493" s="3" t="str">
        <x:v>SEC036</x:v>
      </x:c>
      <x:c r="C3493" s="3" t="n">
        <x:v>9</x:v>
      </x:c>
      <x:c r="D3493" s="3" t="str">
        <x:v>present</x:v>
      </x:c>
      <x:c r="E3493" s="5" t="str">
        <x:f>VLOOKUP(B3493,Sections!$A$5:$I$45,3,FALSE)</x:f>
        <x:v>2024-1</x:v>
      </x:c>
    </x:row>
    <x:row r="3494" ht="21" customHeight="1">
      <x:c r="A3494" s="3" t="str">
        <x:v>2202015</x:v>
      </x:c>
      <x:c r="B3494" s="3" t="str">
        <x:v>SEC036</x:v>
      </x:c>
      <x:c r="C3494" s="3" t="n">
        <x:v>10</x:v>
      </x:c>
      <x:c r="D3494" s="3" t="str">
        <x:v>present</x:v>
      </x:c>
      <x:c r="E3494" s="5" t="str">
        <x:f>VLOOKUP(B3494,Sections!$A$5:$I$45,3,FALSE)</x:f>
        <x:v>2024-1</x:v>
      </x:c>
    </x:row>
    <x:row r="3495" ht="21" customHeight="1">
      <x:c r="A3495" s="3" t="str">
        <x:v>2202015</x:v>
      </x:c>
      <x:c r="B3495" s="3" t="str">
        <x:v>SEC036</x:v>
      </x:c>
      <x:c r="C3495" s="3" t="n">
        <x:v>11</x:v>
      </x:c>
      <x:c r="D3495" s="3" t="str">
        <x:v>present</x:v>
      </x:c>
      <x:c r="E3495" s="5" t="str">
        <x:f>VLOOKUP(B3495,Sections!$A$5:$I$45,3,FALSE)</x:f>
        <x:v>2024-1</x:v>
      </x:c>
    </x:row>
    <x:row r="3496" ht="21" customHeight="1">
      <x:c r="A3496" s="3" t="str">
        <x:v>2202015</x:v>
      </x:c>
      <x:c r="B3496" s="3" t="str">
        <x:v>SEC036</x:v>
      </x:c>
      <x:c r="C3496" s="3" t="n">
        <x:v>12</x:v>
      </x:c>
      <x:c r="D3496" s="3" t="str">
        <x:v>absent</x:v>
      </x:c>
      <x:c r="E3496" s="5" t="str">
        <x:f>VLOOKUP(B3496,Sections!$A$5:$I$45,3,FALSE)</x:f>
        <x:v>2024-1</x:v>
      </x:c>
    </x:row>
    <x:row r="3497" ht="21" customHeight="1">
      <x:c r="A3497" s="3" t="str">
        <x:v>2202015</x:v>
      </x:c>
      <x:c r="B3497" s="3" t="str">
        <x:v>SEC036</x:v>
      </x:c>
      <x:c r="C3497" s="3" t="n">
        <x:v>13</x:v>
      </x:c>
      <x:c r="D3497" s="3" t="str">
        <x:v>present</x:v>
      </x:c>
      <x:c r="E3497" s="5" t="str">
        <x:f>VLOOKUP(B3497,Sections!$A$5:$I$45,3,FALSE)</x:f>
        <x:v>2024-1</x:v>
      </x:c>
    </x:row>
    <x:row r="3498" ht="21" customHeight="1">
      <x:c r="A3498" s="3" t="str">
        <x:v>2202015</x:v>
      </x:c>
      <x:c r="B3498" s="3" t="str">
        <x:v>SEC036</x:v>
      </x:c>
      <x:c r="C3498" s="3" t="n">
        <x:v>14</x:v>
      </x:c>
      <x:c r="D3498" s="3" t="str">
        <x:v>present</x:v>
      </x:c>
      <x:c r="E3498" s="5" t="str">
        <x:f>VLOOKUP(B3498,Sections!$A$5:$I$45,3,FALSE)</x:f>
        <x:v>2024-1</x:v>
      </x:c>
    </x:row>
    <x:row r="3499" ht="21" customHeight="1">
      <x:c r="A3499" s="3" t="str">
        <x:v>2202015</x:v>
      </x:c>
      <x:c r="B3499" s="3" t="str">
        <x:v>SEC036</x:v>
      </x:c>
      <x:c r="C3499" s="3" t="n">
        <x:v>15</x:v>
      </x:c>
      <x:c r="D3499" s="3" t="str">
        <x:v>late</x:v>
      </x:c>
      <x:c r="E3499" s="5" t="str">
        <x:f>VLOOKUP(B3499,Sections!$A$5:$I$45,3,FALSE)</x:f>
        <x:v>2024-1</x:v>
      </x:c>
    </x:row>
    <x:row r="3500" ht="21" customHeight="1">
      <x:c r="A3500" s="3" t="str">
        <x:v>2202016</x:v>
      </x:c>
      <x:c r="B3500" s="3" t="str">
        <x:v>SEC036</x:v>
      </x:c>
      <x:c r="C3500" s="3" t="n">
        <x:v>1</x:v>
      </x:c>
      <x:c r="D3500" s="3" t="str">
        <x:v>present</x:v>
      </x:c>
      <x:c r="E3500" s="5" t="str">
        <x:f>VLOOKUP(B3500,Sections!$A$5:$I$45,3,FALSE)</x:f>
        <x:v>2024-1</x:v>
      </x:c>
    </x:row>
    <x:row r="3501" ht="21" customHeight="1">
      <x:c r="A3501" s="3" t="str">
        <x:v>2202016</x:v>
      </x:c>
      <x:c r="B3501" s="3" t="str">
        <x:v>SEC036</x:v>
      </x:c>
      <x:c r="C3501" s="3" t="n">
        <x:v>2</x:v>
      </x:c>
      <x:c r="D3501" s="3" t="str">
        <x:v>present</x:v>
      </x:c>
      <x:c r="E3501" s="5" t="str">
        <x:f>VLOOKUP(B3501,Sections!$A$5:$I$45,3,FALSE)</x:f>
        <x:v>2024-1</x:v>
      </x:c>
    </x:row>
    <x:row r="3502" ht="21" customHeight="1">
      <x:c r="A3502" s="3" t="str">
        <x:v>2202016</x:v>
      </x:c>
      <x:c r="B3502" s="3" t="str">
        <x:v>SEC036</x:v>
      </x:c>
      <x:c r="C3502" s="3" t="n">
        <x:v>3</x:v>
      </x:c>
      <x:c r="D3502" s="3" t="str">
        <x:v>present</x:v>
      </x:c>
      <x:c r="E3502" s="5" t="str">
        <x:f>VLOOKUP(B3502,Sections!$A$5:$I$45,3,FALSE)</x:f>
        <x:v>2024-1</x:v>
      </x:c>
    </x:row>
    <x:row r="3503" ht="21" customHeight="1">
      <x:c r="A3503" s="3" t="str">
        <x:v>2202016</x:v>
      </x:c>
      <x:c r="B3503" s="3" t="str">
        <x:v>SEC036</x:v>
      </x:c>
      <x:c r="C3503" s="3" t="n">
        <x:v>4</x:v>
      </x:c>
      <x:c r="D3503" s="3" t="str">
        <x:v>absent</x:v>
      </x:c>
      <x:c r="E3503" s="5" t="str">
        <x:f>VLOOKUP(B3503,Sections!$A$5:$I$45,3,FALSE)</x:f>
        <x:v>2024-1</x:v>
      </x:c>
    </x:row>
    <x:row r="3504" ht="21" customHeight="1">
      <x:c r="A3504" s="3" t="str">
        <x:v>2202016</x:v>
      </x:c>
      <x:c r="B3504" s="3" t="str">
        <x:v>SEC036</x:v>
      </x:c>
      <x:c r="C3504" s="3" t="n">
        <x:v>5</x:v>
      </x:c>
      <x:c r="D3504" s="3" t="str">
        <x:v>present</x:v>
      </x:c>
      <x:c r="E3504" s="5" t="str">
        <x:f>VLOOKUP(B3504,Sections!$A$5:$I$45,3,FALSE)</x:f>
        <x:v>2024-1</x:v>
      </x:c>
    </x:row>
    <x:row r="3505" ht="21" customHeight="1">
      <x:c r="A3505" s="3" t="str">
        <x:v>2202016</x:v>
      </x:c>
      <x:c r="B3505" s="3" t="str">
        <x:v>SEC036</x:v>
      </x:c>
      <x:c r="C3505" s="3" t="n">
        <x:v>6</x:v>
      </x:c>
      <x:c r="D3505" s="3" t="str">
        <x:v>present</x:v>
      </x:c>
      <x:c r="E3505" s="5" t="str">
        <x:f>VLOOKUP(B3505,Sections!$A$5:$I$45,3,FALSE)</x:f>
        <x:v>2024-1</x:v>
      </x:c>
    </x:row>
    <x:row r="3506" ht="21" customHeight="1">
      <x:c r="A3506" s="3" t="str">
        <x:v>2202016</x:v>
      </x:c>
      <x:c r="B3506" s="3" t="str">
        <x:v>SEC036</x:v>
      </x:c>
      <x:c r="C3506" s="3" t="n">
        <x:v>7</x:v>
      </x:c>
      <x:c r="D3506" s="3" t="str">
        <x:v>present</x:v>
      </x:c>
      <x:c r="E3506" s="5" t="str">
        <x:f>VLOOKUP(B3506,Sections!$A$5:$I$45,3,FALSE)</x:f>
        <x:v>2024-1</x:v>
      </x:c>
    </x:row>
    <x:row r="3507" ht="21" customHeight="1">
      <x:c r="A3507" s="3" t="str">
        <x:v>2202016</x:v>
      </x:c>
      <x:c r="B3507" s="3" t="str">
        <x:v>SEC036</x:v>
      </x:c>
      <x:c r="C3507" s="3" t="n">
        <x:v>8</x:v>
      </x:c>
      <x:c r="D3507" s="3" t="str">
        <x:v>present</x:v>
      </x:c>
      <x:c r="E3507" s="5" t="str">
        <x:f>VLOOKUP(B3507,Sections!$A$5:$I$45,3,FALSE)</x:f>
        <x:v>2024-1</x:v>
      </x:c>
    </x:row>
    <x:row r="3508" ht="21" customHeight="1">
      <x:c r="A3508" s="3" t="str">
        <x:v>2202016</x:v>
      </x:c>
      <x:c r="B3508" s="3" t="str">
        <x:v>SEC036</x:v>
      </x:c>
      <x:c r="C3508" s="3" t="n">
        <x:v>9</x:v>
      </x:c>
      <x:c r="D3508" s="3" t="str">
        <x:v>present</x:v>
      </x:c>
      <x:c r="E3508" s="5" t="str">
        <x:f>VLOOKUP(B3508,Sections!$A$5:$I$45,3,FALSE)</x:f>
        <x:v>2024-1</x:v>
      </x:c>
    </x:row>
    <x:row r="3509" ht="21" customHeight="1">
      <x:c r="A3509" s="3" t="str">
        <x:v>2202016</x:v>
      </x:c>
      <x:c r="B3509" s="3" t="str">
        <x:v>SEC036</x:v>
      </x:c>
      <x:c r="C3509" s="3" t="n">
        <x:v>10</x:v>
      </x:c>
      <x:c r="D3509" s="3" t="str">
        <x:v>present</x:v>
      </x:c>
      <x:c r="E3509" s="5" t="str">
        <x:f>VLOOKUP(B3509,Sections!$A$5:$I$45,3,FALSE)</x:f>
        <x:v>2024-1</x:v>
      </x:c>
    </x:row>
    <x:row r="3510" ht="21" customHeight="1">
      <x:c r="A3510" s="3" t="str">
        <x:v>2202016</x:v>
      </x:c>
      <x:c r="B3510" s="3" t="str">
        <x:v>SEC036</x:v>
      </x:c>
      <x:c r="C3510" s="3" t="n">
        <x:v>11</x:v>
      </x:c>
      <x:c r="D3510" s="3" t="str">
        <x:v>late</x:v>
      </x:c>
      <x:c r="E3510" s="5" t="str">
        <x:f>VLOOKUP(B3510,Sections!$A$5:$I$45,3,FALSE)</x:f>
        <x:v>2024-1</x:v>
      </x:c>
    </x:row>
    <x:row r="3511" ht="21" customHeight="1">
      <x:c r="A3511" s="3" t="str">
        <x:v>2202016</x:v>
      </x:c>
      <x:c r="B3511" s="3" t="str">
        <x:v>SEC036</x:v>
      </x:c>
      <x:c r="C3511" s="3" t="n">
        <x:v>12</x:v>
      </x:c>
      <x:c r="D3511" s="3" t="str">
        <x:v>late</x:v>
      </x:c>
      <x:c r="E3511" s="5" t="str">
        <x:f>VLOOKUP(B3511,Sections!$A$5:$I$45,3,FALSE)</x:f>
        <x:v>2024-1</x:v>
      </x:c>
    </x:row>
    <x:row r="3512" ht="21" customHeight="1">
      <x:c r="A3512" s="3" t="str">
        <x:v>2202016</x:v>
      </x:c>
      <x:c r="B3512" s="3" t="str">
        <x:v>SEC036</x:v>
      </x:c>
      <x:c r="C3512" s="3" t="n">
        <x:v>13</x:v>
      </x:c>
      <x:c r="D3512" s="3" t="str">
        <x:v>present</x:v>
      </x:c>
      <x:c r="E3512" s="5" t="str">
        <x:f>VLOOKUP(B3512,Sections!$A$5:$I$45,3,FALSE)</x:f>
        <x:v>2024-1</x:v>
      </x:c>
    </x:row>
    <x:row r="3513" ht="21" customHeight="1">
      <x:c r="A3513" s="3" t="str">
        <x:v>2202016</x:v>
      </x:c>
      <x:c r="B3513" s="3" t="str">
        <x:v>SEC036</x:v>
      </x:c>
      <x:c r="C3513" s="3" t="n">
        <x:v>14</x:v>
      </x:c>
      <x:c r="D3513" s="3" t="str">
        <x:v>present</x:v>
      </x:c>
      <x:c r="E3513" s="5" t="str">
        <x:f>VLOOKUP(B3513,Sections!$A$5:$I$45,3,FALSE)</x:f>
        <x:v>2024-1</x:v>
      </x:c>
    </x:row>
    <x:row r="3514" ht="21" customHeight="1">
      <x:c r="A3514" s="3" t="str">
        <x:v>2202016</x:v>
      </x:c>
      <x:c r="B3514" s="3" t="str">
        <x:v>SEC036</x:v>
      </x:c>
      <x:c r="C3514" s="3" t="n">
        <x:v>15</x:v>
      </x:c>
      <x:c r="D3514" s="3" t="str">
        <x:v>present</x:v>
      </x:c>
      <x:c r="E3514" s="5" t="str">
        <x:f>VLOOKUP(B3514,Sections!$A$5:$I$45,3,FALSE)</x:f>
        <x:v>2024-1</x:v>
      </x:c>
    </x:row>
    <x:row r="3515" ht="21" customHeight="1">
      <x:c r="A3515" s="3" t="str">
        <x:v>2202017</x:v>
      </x:c>
      <x:c r="B3515" s="3" t="str">
        <x:v>SEC036</x:v>
      </x:c>
      <x:c r="C3515" s="3" t="n">
        <x:v>1</x:v>
      </x:c>
      <x:c r="D3515" s="3" t="str">
        <x:v>present</x:v>
      </x:c>
      <x:c r="E3515" s="5" t="str">
        <x:f>VLOOKUP(B3515,Sections!$A$5:$I$45,3,FALSE)</x:f>
        <x:v>2024-1</x:v>
      </x:c>
    </x:row>
    <x:row r="3516" ht="21" customHeight="1">
      <x:c r="A3516" s="3" t="str">
        <x:v>2202017</x:v>
      </x:c>
      <x:c r="B3516" s="3" t="str">
        <x:v>SEC036</x:v>
      </x:c>
      <x:c r="C3516" s="3" t="n">
        <x:v>2</x:v>
      </x:c>
      <x:c r="D3516" s="3" t="str">
        <x:v>present</x:v>
      </x:c>
      <x:c r="E3516" s="5" t="str">
        <x:f>VLOOKUP(B3516,Sections!$A$5:$I$45,3,FALSE)</x:f>
        <x:v>2024-1</x:v>
      </x:c>
    </x:row>
    <x:row r="3517" ht="21" customHeight="1">
      <x:c r="A3517" s="3" t="str">
        <x:v>2202017</x:v>
      </x:c>
      <x:c r="B3517" s="3" t="str">
        <x:v>SEC036</x:v>
      </x:c>
      <x:c r="C3517" s="3" t="n">
        <x:v>3</x:v>
      </x:c>
      <x:c r="D3517" s="3" t="str">
        <x:v>present</x:v>
      </x:c>
      <x:c r="E3517" s="5" t="str">
        <x:f>VLOOKUP(B3517,Sections!$A$5:$I$45,3,FALSE)</x:f>
        <x:v>2024-1</x:v>
      </x:c>
    </x:row>
    <x:row r="3518" ht="21" customHeight="1">
      <x:c r="A3518" s="3" t="str">
        <x:v>2202017</x:v>
      </x:c>
      <x:c r="B3518" s="3" t="str">
        <x:v>SEC036</x:v>
      </x:c>
      <x:c r="C3518" s="3" t="n">
        <x:v>4</x:v>
      </x:c>
      <x:c r="D3518" s="3" t="str">
        <x:v>present</x:v>
      </x:c>
      <x:c r="E3518" s="5" t="str">
        <x:f>VLOOKUP(B3518,Sections!$A$5:$I$45,3,FALSE)</x:f>
        <x:v>2024-1</x:v>
      </x:c>
    </x:row>
    <x:row r="3519" ht="21" customHeight="1">
      <x:c r="A3519" s="3" t="str">
        <x:v>2202017</x:v>
      </x:c>
      <x:c r="B3519" s="3" t="str">
        <x:v>SEC036</x:v>
      </x:c>
      <x:c r="C3519" s="3" t="n">
        <x:v>5</x:v>
      </x:c>
      <x:c r="D3519" s="3" t="str">
        <x:v>present</x:v>
      </x:c>
      <x:c r="E3519" s="5" t="str">
        <x:f>VLOOKUP(B3519,Sections!$A$5:$I$45,3,FALSE)</x:f>
        <x:v>2024-1</x:v>
      </x:c>
    </x:row>
    <x:row r="3520" ht="21" customHeight="1">
      <x:c r="A3520" s="3" t="str">
        <x:v>2202017</x:v>
      </x:c>
      <x:c r="B3520" s="3" t="str">
        <x:v>SEC036</x:v>
      </x:c>
      <x:c r="C3520" s="3" t="n">
        <x:v>6</x:v>
      </x:c>
      <x:c r="D3520" s="3" t="str">
        <x:v>present</x:v>
      </x:c>
      <x:c r="E3520" s="5" t="str">
        <x:f>VLOOKUP(B3520,Sections!$A$5:$I$45,3,FALSE)</x:f>
        <x:v>2024-1</x:v>
      </x:c>
    </x:row>
    <x:row r="3521" ht="21" customHeight="1">
      <x:c r="A3521" s="3" t="str">
        <x:v>2202017</x:v>
      </x:c>
      <x:c r="B3521" s="3" t="str">
        <x:v>SEC036</x:v>
      </x:c>
      <x:c r="C3521" s="3" t="n">
        <x:v>7</x:v>
      </x:c>
      <x:c r="D3521" s="3" t="str">
        <x:v>present</x:v>
      </x:c>
      <x:c r="E3521" s="5" t="str">
        <x:f>VLOOKUP(B3521,Sections!$A$5:$I$45,3,FALSE)</x:f>
        <x:v>2024-1</x:v>
      </x:c>
    </x:row>
    <x:row r="3522" ht="21" customHeight="1">
      <x:c r="A3522" s="3" t="str">
        <x:v>2202017</x:v>
      </x:c>
      <x:c r="B3522" s="3" t="str">
        <x:v>SEC036</x:v>
      </x:c>
      <x:c r="C3522" s="3" t="n">
        <x:v>8</x:v>
      </x:c>
      <x:c r="D3522" s="3" t="str">
        <x:v>late</x:v>
      </x:c>
      <x:c r="E3522" s="5" t="str">
        <x:f>VLOOKUP(B3522,Sections!$A$5:$I$45,3,FALSE)</x:f>
        <x:v>2024-1</x:v>
      </x:c>
    </x:row>
    <x:row r="3523" ht="21" customHeight="1">
      <x:c r="A3523" s="3" t="str">
        <x:v>2202017</x:v>
      </x:c>
      <x:c r="B3523" s="3" t="str">
        <x:v>SEC036</x:v>
      </x:c>
      <x:c r="C3523" s="3" t="n">
        <x:v>9</x:v>
      </x:c>
      <x:c r="D3523" s="3" t="str">
        <x:v>present</x:v>
      </x:c>
      <x:c r="E3523" s="5" t="str">
        <x:f>VLOOKUP(B3523,Sections!$A$5:$I$45,3,FALSE)</x:f>
        <x:v>2024-1</x:v>
      </x:c>
    </x:row>
    <x:row r="3524" ht="21" customHeight="1">
      <x:c r="A3524" s="3" t="str">
        <x:v>2202017</x:v>
      </x:c>
      <x:c r="B3524" s="3" t="str">
        <x:v>SEC036</x:v>
      </x:c>
      <x:c r="C3524" s="3" t="n">
        <x:v>10</x:v>
      </x:c>
      <x:c r="D3524" s="3" t="str">
        <x:v>present</x:v>
      </x:c>
      <x:c r="E3524" s="5" t="str">
        <x:f>VLOOKUP(B3524,Sections!$A$5:$I$45,3,FALSE)</x:f>
        <x:v>2024-1</x:v>
      </x:c>
    </x:row>
    <x:row r="3525" ht="21" customHeight="1">
      <x:c r="A3525" s="3" t="str">
        <x:v>2202017</x:v>
      </x:c>
      <x:c r="B3525" s="3" t="str">
        <x:v>SEC036</x:v>
      </x:c>
      <x:c r="C3525" s="3" t="n">
        <x:v>11</x:v>
      </x:c>
      <x:c r="D3525" s="3" t="str">
        <x:v>excused</x:v>
      </x:c>
      <x:c r="E3525" s="5" t="str">
        <x:f>VLOOKUP(B3525,Sections!$A$5:$I$45,3,FALSE)</x:f>
        <x:v>2024-1</x:v>
      </x:c>
    </x:row>
    <x:row r="3526" ht="21" customHeight="1">
      <x:c r="A3526" s="3" t="str">
        <x:v>2202017</x:v>
      </x:c>
      <x:c r="B3526" s="3" t="str">
        <x:v>SEC036</x:v>
      </x:c>
      <x:c r="C3526" s="3" t="n">
        <x:v>12</x:v>
      </x:c>
      <x:c r="D3526" s="3" t="str">
        <x:v>present</x:v>
      </x:c>
      <x:c r="E3526" s="5" t="str">
        <x:f>VLOOKUP(B3526,Sections!$A$5:$I$45,3,FALSE)</x:f>
        <x:v>2024-1</x:v>
      </x:c>
    </x:row>
    <x:row r="3527" ht="21" customHeight="1">
      <x:c r="A3527" s="3" t="str">
        <x:v>2202017</x:v>
      </x:c>
      <x:c r="B3527" s="3" t="str">
        <x:v>SEC036</x:v>
      </x:c>
      <x:c r="C3527" s="3" t="n">
        <x:v>13</x:v>
      </x:c>
      <x:c r="D3527" s="3" t="str">
        <x:v>present</x:v>
      </x:c>
      <x:c r="E3527" s="5" t="str">
        <x:f>VLOOKUP(B3527,Sections!$A$5:$I$45,3,FALSE)</x:f>
        <x:v>2024-1</x:v>
      </x:c>
    </x:row>
    <x:row r="3528" ht="21" customHeight="1">
      <x:c r="A3528" s="3" t="str">
        <x:v>2202017</x:v>
      </x:c>
      <x:c r="B3528" s="3" t="str">
        <x:v>SEC036</x:v>
      </x:c>
      <x:c r="C3528" s="3" t="n">
        <x:v>14</x:v>
      </x:c>
      <x:c r="D3528" s="3" t="str">
        <x:v>absent</x:v>
      </x:c>
      <x:c r="E3528" s="5" t="str">
        <x:f>VLOOKUP(B3528,Sections!$A$5:$I$45,3,FALSE)</x:f>
        <x:v>2024-1</x:v>
      </x:c>
    </x:row>
    <x:row r="3529" ht="21" customHeight="1">
      <x:c r="A3529" s="3" t="str">
        <x:v>2202017</x:v>
      </x:c>
      <x:c r="B3529" s="3" t="str">
        <x:v>SEC036</x:v>
      </x:c>
      <x:c r="C3529" s="3" t="n">
        <x:v>15</x:v>
      </x:c>
      <x:c r="D3529" s="3" t="str">
        <x:v>present</x:v>
      </x:c>
      <x:c r="E3529" s="5" t="str">
        <x:f>VLOOKUP(B3529,Sections!$A$5:$I$45,3,FALSE)</x:f>
        <x:v>2024-1</x:v>
      </x:c>
    </x:row>
    <x:row r="3530" ht="21" customHeight="1">
      <x:c r="A3530" s="3" t="str">
        <x:v>2202018</x:v>
      </x:c>
      <x:c r="B3530" s="3" t="str">
        <x:v>SEC036</x:v>
      </x:c>
      <x:c r="C3530" s="3" t="n">
        <x:v>1</x:v>
      </x:c>
      <x:c r="D3530" s="3" t="str">
        <x:v>present</x:v>
      </x:c>
      <x:c r="E3530" s="5" t="str">
        <x:f>VLOOKUP(B3530,Sections!$A$5:$I$45,3,FALSE)</x:f>
        <x:v>2024-1</x:v>
      </x:c>
    </x:row>
    <x:row r="3531" ht="21" customHeight="1">
      <x:c r="A3531" s="3" t="str">
        <x:v>2202018</x:v>
      </x:c>
      <x:c r="B3531" s="3" t="str">
        <x:v>SEC036</x:v>
      </x:c>
      <x:c r="C3531" s="3" t="n">
        <x:v>2</x:v>
      </x:c>
      <x:c r="D3531" s="3" t="str">
        <x:v>excused</x:v>
      </x:c>
      <x:c r="E3531" s="5" t="str">
        <x:f>VLOOKUP(B3531,Sections!$A$5:$I$45,3,FALSE)</x:f>
        <x:v>2024-1</x:v>
      </x:c>
    </x:row>
    <x:row r="3532" ht="21" customHeight="1">
      <x:c r="A3532" s="3" t="str">
        <x:v>2202018</x:v>
      </x:c>
      <x:c r="B3532" s="3" t="str">
        <x:v>SEC036</x:v>
      </x:c>
      <x:c r="C3532" s="3" t="n">
        <x:v>3</x:v>
      </x:c>
      <x:c r="D3532" s="3" t="str">
        <x:v>absent</x:v>
      </x:c>
      <x:c r="E3532" s="5" t="str">
        <x:f>VLOOKUP(B3532,Sections!$A$5:$I$45,3,FALSE)</x:f>
        <x:v>2024-1</x:v>
      </x:c>
    </x:row>
    <x:row r="3533" ht="21" customHeight="1">
      <x:c r="A3533" s="3" t="str">
        <x:v>2202018</x:v>
      </x:c>
      <x:c r="B3533" s="3" t="str">
        <x:v>SEC036</x:v>
      </x:c>
      <x:c r="C3533" s="3" t="n">
        <x:v>4</x:v>
      </x:c>
      <x:c r="D3533" s="3" t="str">
        <x:v>present</x:v>
      </x:c>
      <x:c r="E3533" s="5" t="str">
        <x:f>VLOOKUP(B3533,Sections!$A$5:$I$45,3,FALSE)</x:f>
        <x:v>2024-1</x:v>
      </x:c>
    </x:row>
    <x:row r="3534" ht="21" customHeight="1">
      <x:c r="A3534" s="3" t="str">
        <x:v>2202018</x:v>
      </x:c>
      <x:c r="B3534" s="3" t="str">
        <x:v>SEC036</x:v>
      </x:c>
      <x:c r="C3534" s="3" t="n">
        <x:v>5</x:v>
      </x:c>
      <x:c r="D3534" s="3" t="str">
        <x:v>present</x:v>
      </x:c>
      <x:c r="E3534" s="5" t="str">
        <x:f>VLOOKUP(B3534,Sections!$A$5:$I$45,3,FALSE)</x:f>
        <x:v>2024-1</x:v>
      </x:c>
    </x:row>
    <x:row r="3535" ht="21" customHeight="1">
      <x:c r="A3535" s="3" t="str">
        <x:v>2202018</x:v>
      </x:c>
      <x:c r="B3535" s="3" t="str">
        <x:v>SEC036</x:v>
      </x:c>
      <x:c r="C3535" s="3" t="n">
        <x:v>6</x:v>
      </x:c>
      <x:c r="D3535" s="3" t="str">
        <x:v>present</x:v>
      </x:c>
      <x:c r="E3535" s="5" t="str">
        <x:f>VLOOKUP(B3535,Sections!$A$5:$I$45,3,FALSE)</x:f>
        <x:v>2024-1</x:v>
      </x:c>
    </x:row>
    <x:row r="3536" ht="21" customHeight="1">
      <x:c r="A3536" s="3" t="str">
        <x:v>2202018</x:v>
      </x:c>
      <x:c r="B3536" s="3" t="str">
        <x:v>SEC036</x:v>
      </x:c>
      <x:c r="C3536" s="3" t="n">
        <x:v>7</x:v>
      </x:c>
      <x:c r="D3536" s="3" t="str">
        <x:v>present</x:v>
      </x:c>
      <x:c r="E3536" s="5" t="str">
        <x:f>VLOOKUP(B3536,Sections!$A$5:$I$45,3,FALSE)</x:f>
        <x:v>2024-1</x:v>
      </x:c>
    </x:row>
    <x:row r="3537" ht="21" customHeight="1">
      <x:c r="A3537" s="3" t="str">
        <x:v>2202018</x:v>
      </x:c>
      <x:c r="B3537" s="3" t="str">
        <x:v>SEC036</x:v>
      </x:c>
      <x:c r="C3537" s="3" t="n">
        <x:v>8</x:v>
      </x:c>
      <x:c r="D3537" s="3" t="str">
        <x:v>present</x:v>
      </x:c>
      <x:c r="E3537" s="5" t="str">
        <x:f>VLOOKUP(B3537,Sections!$A$5:$I$45,3,FALSE)</x:f>
        <x:v>2024-1</x:v>
      </x:c>
    </x:row>
    <x:row r="3538" ht="21" customHeight="1">
      <x:c r="A3538" s="3" t="str">
        <x:v>2202018</x:v>
      </x:c>
      <x:c r="B3538" s="3" t="str">
        <x:v>SEC036</x:v>
      </x:c>
      <x:c r="C3538" s="3" t="n">
        <x:v>9</x:v>
      </x:c>
      <x:c r="D3538" s="3" t="str">
        <x:v>present</x:v>
      </x:c>
      <x:c r="E3538" s="5" t="str">
        <x:f>VLOOKUP(B3538,Sections!$A$5:$I$45,3,FALSE)</x:f>
        <x:v>2024-1</x:v>
      </x:c>
    </x:row>
    <x:row r="3539" ht="21" customHeight="1">
      <x:c r="A3539" s="3" t="str">
        <x:v>2202018</x:v>
      </x:c>
      <x:c r="B3539" s="3" t="str">
        <x:v>SEC036</x:v>
      </x:c>
      <x:c r="C3539" s="3" t="n">
        <x:v>10</x:v>
      </x:c>
      <x:c r="D3539" s="3" t="str">
        <x:v>present</x:v>
      </x:c>
      <x:c r="E3539" s="5" t="str">
        <x:f>VLOOKUP(B3539,Sections!$A$5:$I$45,3,FALSE)</x:f>
        <x:v>2024-1</x:v>
      </x:c>
    </x:row>
    <x:row r="3540" ht="21" customHeight="1">
      <x:c r="A3540" s="3" t="str">
        <x:v>2202018</x:v>
      </x:c>
      <x:c r="B3540" s="3" t="str">
        <x:v>SEC036</x:v>
      </x:c>
      <x:c r="C3540" s="3" t="n">
        <x:v>11</x:v>
      </x:c>
      <x:c r="D3540" s="3" t="str">
        <x:v>present</x:v>
      </x:c>
      <x:c r="E3540" s="5" t="str">
        <x:f>VLOOKUP(B3540,Sections!$A$5:$I$45,3,FALSE)</x:f>
        <x:v>2024-1</x:v>
      </x:c>
    </x:row>
    <x:row r="3541" ht="21" customHeight="1">
      <x:c r="A3541" s="3" t="str">
        <x:v>2202018</x:v>
      </x:c>
      <x:c r="B3541" s="3" t="str">
        <x:v>SEC036</x:v>
      </x:c>
      <x:c r="C3541" s="3" t="n">
        <x:v>12</x:v>
      </x:c>
      <x:c r="D3541" s="3" t="str">
        <x:v>late</x:v>
      </x:c>
      <x:c r="E3541" s="5" t="str">
        <x:f>VLOOKUP(B3541,Sections!$A$5:$I$45,3,FALSE)</x:f>
        <x:v>2024-1</x:v>
      </x:c>
    </x:row>
    <x:row r="3542" ht="21" customHeight="1">
      <x:c r="A3542" s="3" t="str">
        <x:v>2202018</x:v>
      </x:c>
      <x:c r="B3542" s="3" t="str">
        <x:v>SEC036</x:v>
      </x:c>
      <x:c r="C3542" s="3" t="n">
        <x:v>13</x:v>
      </x:c>
      <x:c r="D3542" s="3" t="str">
        <x:v>present</x:v>
      </x:c>
      <x:c r="E3542" s="5" t="str">
        <x:f>VLOOKUP(B3542,Sections!$A$5:$I$45,3,FALSE)</x:f>
        <x:v>2024-1</x:v>
      </x:c>
    </x:row>
    <x:row r="3543" ht="21" customHeight="1">
      <x:c r="A3543" s="3" t="str">
        <x:v>2202018</x:v>
      </x:c>
      <x:c r="B3543" s="3" t="str">
        <x:v>SEC036</x:v>
      </x:c>
      <x:c r="C3543" s="3" t="n">
        <x:v>14</x:v>
      </x:c>
      <x:c r="D3543" s="3" t="str">
        <x:v>present</x:v>
      </x:c>
      <x:c r="E3543" s="5" t="str">
        <x:f>VLOOKUP(B3543,Sections!$A$5:$I$45,3,FALSE)</x:f>
        <x:v>2024-1</x:v>
      </x:c>
    </x:row>
    <x:row r="3544" ht="21" customHeight="1">
      <x:c r="A3544" s="3" t="str">
        <x:v>2202018</x:v>
      </x:c>
      <x:c r="B3544" s="3" t="str">
        <x:v>SEC036</x:v>
      </x:c>
      <x:c r="C3544" s="3" t="n">
        <x:v>15</x:v>
      </x:c>
      <x:c r="D3544" s="3" t="str">
        <x:v>present</x:v>
      </x:c>
      <x:c r="E3544" s="5" t="str">
        <x:f>VLOOKUP(B3544,Sections!$A$5:$I$45,3,FALSE)</x:f>
        <x:v>2024-1</x:v>
      </x:c>
    </x:row>
    <x:row r="3545" ht="21" customHeight="1">
      <x:c r="A3545" s="3" t="str">
        <x:v>2202019</x:v>
      </x:c>
      <x:c r="B3545" s="3" t="str">
        <x:v>SEC036</x:v>
      </x:c>
      <x:c r="C3545" s="3" t="n">
        <x:v>1</x:v>
      </x:c>
      <x:c r="D3545" s="3" t="str">
        <x:v>present</x:v>
      </x:c>
      <x:c r="E3545" s="5" t="str">
        <x:f>VLOOKUP(B3545,Sections!$A$5:$I$45,3,FALSE)</x:f>
        <x:v>2024-1</x:v>
      </x:c>
    </x:row>
    <x:row r="3546" ht="21" customHeight="1">
      <x:c r="A3546" s="3" t="str">
        <x:v>2202019</x:v>
      </x:c>
      <x:c r="B3546" s="3" t="str">
        <x:v>SEC036</x:v>
      </x:c>
      <x:c r="C3546" s="3" t="n">
        <x:v>2</x:v>
      </x:c>
      <x:c r="D3546" s="3" t="str">
        <x:v>present</x:v>
      </x:c>
      <x:c r="E3546" s="5" t="str">
        <x:f>VLOOKUP(B3546,Sections!$A$5:$I$45,3,FALSE)</x:f>
        <x:v>2024-1</x:v>
      </x:c>
    </x:row>
    <x:row r="3547" ht="21" customHeight="1">
      <x:c r="A3547" s="3" t="str">
        <x:v>2202019</x:v>
      </x:c>
      <x:c r="B3547" s="3" t="str">
        <x:v>SEC036</x:v>
      </x:c>
      <x:c r="C3547" s="3" t="n">
        <x:v>3</x:v>
      </x:c>
      <x:c r="D3547" s="3" t="str">
        <x:v>present</x:v>
      </x:c>
      <x:c r="E3547" s="5" t="str">
        <x:f>VLOOKUP(B3547,Sections!$A$5:$I$45,3,FALSE)</x:f>
        <x:v>2024-1</x:v>
      </x:c>
    </x:row>
    <x:row r="3548" ht="21" customHeight="1">
      <x:c r="A3548" s="3" t="str">
        <x:v>2202019</x:v>
      </x:c>
      <x:c r="B3548" s="3" t="str">
        <x:v>SEC036</x:v>
      </x:c>
      <x:c r="C3548" s="3" t="n">
        <x:v>4</x:v>
      </x:c>
      <x:c r="D3548" s="3" t="str">
        <x:v>present</x:v>
      </x:c>
      <x:c r="E3548" s="5" t="str">
        <x:f>VLOOKUP(B3548,Sections!$A$5:$I$45,3,FALSE)</x:f>
        <x:v>2024-1</x:v>
      </x:c>
    </x:row>
    <x:row r="3549" ht="21" customHeight="1">
      <x:c r="A3549" s="3" t="str">
        <x:v>2202019</x:v>
      </x:c>
      <x:c r="B3549" s="3" t="str">
        <x:v>SEC036</x:v>
      </x:c>
      <x:c r="C3549" s="3" t="n">
        <x:v>5</x:v>
      </x:c>
      <x:c r="D3549" s="3" t="str">
        <x:v>present</x:v>
      </x:c>
      <x:c r="E3549" s="5" t="str">
        <x:f>VLOOKUP(B3549,Sections!$A$5:$I$45,3,FALSE)</x:f>
        <x:v>2024-1</x:v>
      </x:c>
    </x:row>
    <x:row r="3550" ht="21" customHeight="1">
      <x:c r="A3550" s="3" t="str">
        <x:v>2202019</x:v>
      </x:c>
      <x:c r="B3550" s="3" t="str">
        <x:v>SEC036</x:v>
      </x:c>
      <x:c r="C3550" s="3" t="n">
        <x:v>6</x:v>
      </x:c>
      <x:c r="D3550" s="3" t="str">
        <x:v>present</x:v>
      </x:c>
      <x:c r="E3550" s="5" t="str">
        <x:f>VLOOKUP(B3550,Sections!$A$5:$I$45,3,FALSE)</x:f>
        <x:v>2024-1</x:v>
      </x:c>
    </x:row>
    <x:row r="3551" ht="21" customHeight="1">
      <x:c r="A3551" s="3" t="str">
        <x:v>2202019</x:v>
      </x:c>
      <x:c r="B3551" s="3" t="str">
        <x:v>SEC036</x:v>
      </x:c>
      <x:c r="C3551" s="3" t="n">
        <x:v>7</x:v>
      </x:c>
      <x:c r="D3551" s="3" t="str">
        <x:v>present</x:v>
      </x:c>
      <x:c r="E3551" s="5" t="str">
        <x:f>VLOOKUP(B3551,Sections!$A$5:$I$45,3,FALSE)</x:f>
        <x:v>2024-1</x:v>
      </x:c>
    </x:row>
    <x:row r="3552" ht="21" customHeight="1">
      <x:c r="A3552" s="3" t="str">
        <x:v>2202019</x:v>
      </x:c>
      <x:c r="B3552" s="3" t="str">
        <x:v>SEC036</x:v>
      </x:c>
      <x:c r="C3552" s="3" t="n">
        <x:v>8</x:v>
      </x:c>
      <x:c r="D3552" s="3" t="str">
        <x:v>present</x:v>
      </x:c>
      <x:c r="E3552" s="5" t="str">
        <x:f>VLOOKUP(B3552,Sections!$A$5:$I$45,3,FALSE)</x:f>
        <x:v>2024-1</x:v>
      </x:c>
    </x:row>
    <x:row r="3553" ht="21" customHeight="1">
      <x:c r="A3553" s="3" t="str">
        <x:v>2202019</x:v>
      </x:c>
      <x:c r="B3553" s="3" t="str">
        <x:v>SEC036</x:v>
      </x:c>
      <x:c r="C3553" s="3" t="n">
        <x:v>9</x:v>
      </x:c>
      <x:c r="D3553" s="3" t="str">
        <x:v>absent</x:v>
      </x:c>
      <x:c r="E3553" s="5" t="str">
        <x:f>VLOOKUP(B3553,Sections!$A$5:$I$45,3,FALSE)</x:f>
        <x:v>2024-1</x:v>
      </x:c>
    </x:row>
    <x:row r="3554" ht="21" customHeight="1">
      <x:c r="A3554" s="3" t="str">
        <x:v>2202019</x:v>
      </x:c>
      <x:c r="B3554" s="3" t="str">
        <x:v>SEC036</x:v>
      </x:c>
      <x:c r="C3554" s="3" t="n">
        <x:v>10</x:v>
      </x:c>
      <x:c r="D3554" s="3" t="str">
        <x:v>present</x:v>
      </x:c>
      <x:c r="E3554" s="5" t="str">
        <x:f>VLOOKUP(B3554,Sections!$A$5:$I$45,3,FALSE)</x:f>
        <x:v>2024-1</x:v>
      </x:c>
    </x:row>
    <x:row r="3555" ht="21" customHeight="1">
      <x:c r="A3555" s="3" t="str">
        <x:v>2202019</x:v>
      </x:c>
      <x:c r="B3555" s="3" t="str">
        <x:v>SEC036</x:v>
      </x:c>
      <x:c r="C3555" s="3" t="n">
        <x:v>11</x:v>
      </x:c>
      <x:c r="D3555" s="3" t="str">
        <x:v>present</x:v>
      </x:c>
      <x:c r="E3555" s="5" t="str">
        <x:f>VLOOKUP(B3555,Sections!$A$5:$I$45,3,FALSE)</x:f>
        <x:v>2024-1</x:v>
      </x:c>
    </x:row>
    <x:row r="3556" ht="21" customHeight="1">
      <x:c r="A3556" s="3" t="str">
        <x:v>2202019</x:v>
      </x:c>
      <x:c r="B3556" s="3" t="str">
        <x:v>SEC036</x:v>
      </x:c>
      <x:c r="C3556" s="3" t="n">
        <x:v>12</x:v>
      </x:c>
      <x:c r="D3556" s="3" t="str">
        <x:v>present</x:v>
      </x:c>
      <x:c r="E3556" s="5" t="str">
        <x:f>VLOOKUP(B3556,Sections!$A$5:$I$45,3,FALSE)</x:f>
        <x:v>2024-1</x:v>
      </x:c>
    </x:row>
    <x:row r="3557" ht="21" customHeight="1">
      <x:c r="A3557" s="3" t="str">
        <x:v>2202019</x:v>
      </x:c>
      <x:c r="B3557" s="3" t="str">
        <x:v>SEC036</x:v>
      </x:c>
      <x:c r="C3557" s="3" t="n">
        <x:v>13</x:v>
      </x:c>
      <x:c r="D3557" s="3" t="str">
        <x:v>absent</x:v>
      </x:c>
      <x:c r="E3557" s="5" t="str">
        <x:f>VLOOKUP(B3557,Sections!$A$5:$I$45,3,FALSE)</x:f>
        <x:v>2024-1</x:v>
      </x:c>
    </x:row>
    <x:row r="3558" ht="21" customHeight="1">
      <x:c r="A3558" s="3" t="str">
        <x:v>2202019</x:v>
      </x:c>
      <x:c r="B3558" s="3" t="str">
        <x:v>SEC036</x:v>
      </x:c>
      <x:c r="C3558" s="3" t="n">
        <x:v>14</x:v>
      </x:c>
      <x:c r="D3558" s="3" t="str">
        <x:v>present</x:v>
      </x:c>
      <x:c r="E3558" s="5" t="str">
        <x:f>VLOOKUP(B3558,Sections!$A$5:$I$45,3,FALSE)</x:f>
        <x:v>2024-1</x:v>
      </x:c>
    </x:row>
    <x:row r="3559" ht="21" customHeight="1">
      <x:c r="A3559" s="3" t="str">
        <x:v>2202019</x:v>
      </x:c>
      <x:c r="B3559" s="3" t="str">
        <x:v>SEC036</x:v>
      </x:c>
      <x:c r="C3559" s="3" t="n">
        <x:v>15</x:v>
      </x:c>
      <x:c r="D3559" s="3" t="str">
        <x:v>excused</x:v>
      </x:c>
      <x:c r="E3559" s="5" t="str">
        <x:f>VLOOKUP(B3559,Sections!$A$5:$I$45,3,FALSE)</x:f>
        <x:v>2024-1</x:v>
      </x:c>
    </x:row>
    <x:row r="3560" ht="21" customHeight="1">
      <x:c r="A3560" s="3" t="str">
        <x:v>2202020</x:v>
      </x:c>
      <x:c r="B3560" s="3" t="str">
        <x:v>SEC036</x:v>
      </x:c>
      <x:c r="C3560" s="3" t="n">
        <x:v>1</x:v>
      </x:c>
      <x:c r="D3560" s="3" t="str">
        <x:v>absent</x:v>
      </x:c>
      <x:c r="E3560" s="5" t="str">
        <x:f>VLOOKUP(B3560,Sections!$A$5:$I$45,3,FALSE)</x:f>
        <x:v>2024-1</x:v>
      </x:c>
    </x:row>
    <x:row r="3561" ht="21" customHeight="1">
      <x:c r="A3561" s="3" t="str">
        <x:v>2202020</x:v>
      </x:c>
      <x:c r="B3561" s="3" t="str">
        <x:v>SEC036</x:v>
      </x:c>
      <x:c r="C3561" s="3" t="n">
        <x:v>2</x:v>
      </x:c>
      <x:c r="D3561" s="3" t="str">
        <x:v>absent</x:v>
      </x:c>
      <x:c r="E3561" s="5" t="str">
        <x:f>VLOOKUP(B3561,Sections!$A$5:$I$45,3,FALSE)</x:f>
        <x:v>2024-1</x:v>
      </x:c>
    </x:row>
    <x:row r="3562" ht="21" customHeight="1">
      <x:c r="A3562" s="3" t="str">
        <x:v>2202020</x:v>
      </x:c>
      <x:c r="B3562" s="3" t="str">
        <x:v>SEC036</x:v>
      </x:c>
      <x:c r="C3562" s="3" t="n">
        <x:v>3</x:v>
      </x:c>
      <x:c r="D3562" s="3" t="str">
        <x:v>absent</x:v>
      </x:c>
      <x:c r="E3562" s="5" t="str">
        <x:f>VLOOKUP(B3562,Sections!$A$5:$I$45,3,FALSE)</x:f>
        <x:v>2024-1</x:v>
      </x:c>
    </x:row>
    <x:row r="3563" ht="21" customHeight="1">
      <x:c r="A3563" s="3" t="str">
        <x:v>2202020</x:v>
      </x:c>
      <x:c r="B3563" s="3" t="str">
        <x:v>SEC036</x:v>
      </x:c>
      <x:c r="C3563" s="3" t="n">
        <x:v>4</x:v>
      </x:c>
      <x:c r="D3563" s="3" t="str">
        <x:v>present</x:v>
      </x:c>
      <x:c r="E3563" s="5" t="str">
        <x:f>VLOOKUP(B3563,Sections!$A$5:$I$45,3,FALSE)</x:f>
        <x:v>2024-1</x:v>
      </x:c>
    </x:row>
    <x:row r="3564" ht="21" customHeight="1">
      <x:c r="A3564" s="3" t="str">
        <x:v>2202020</x:v>
      </x:c>
      <x:c r="B3564" s="3" t="str">
        <x:v>SEC036</x:v>
      </x:c>
      <x:c r="C3564" s="3" t="n">
        <x:v>5</x:v>
      </x:c>
      <x:c r="D3564" s="3" t="str">
        <x:v>present</x:v>
      </x:c>
      <x:c r="E3564" s="5" t="str">
        <x:f>VLOOKUP(B3564,Sections!$A$5:$I$45,3,FALSE)</x:f>
        <x:v>2024-1</x:v>
      </x:c>
    </x:row>
    <x:row r="3565" ht="21" customHeight="1">
      <x:c r="A3565" s="3" t="str">
        <x:v>2202020</x:v>
      </x:c>
      <x:c r="B3565" s="3" t="str">
        <x:v>SEC036</x:v>
      </x:c>
      <x:c r="C3565" s="3" t="n">
        <x:v>6</x:v>
      </x:c>
      <x:c r="D3565" s="3" t="str">
        <x:v>present</x:v>
      </x:c>
      <x:c r="E3565" s="5" t="str">
        <x:f>VLOOKUP(B3565,Sections!$A$5:$I$45,3,FALSE)</x:f>
        <x:v>2024-1</x:v>
      </x:c>
    </x:row>
    <x:row r="3566" ht="21" customHeight="1">
      <x:c r="A3566" s="3" t="str">
        <x:v>2202020</x:v>
      </x:c>
      <x:c r="B3566" s="3" t="str">
        <x:v>SEC036</x:v>
      </x:c>
      <x:c r="C3566" s="3" t="n">
        <x:v>7</x:v>
      </x:c>
      <x:c r="D3566" s="3" t="str">
        <x:v>present</x:v>
      </x:c>
      <x:c r="E3566" s="5" t="str">
        <x:f>VLOOKUP(B3566,Sections!$A$5:$I$45,3,FALSE)</x:f>
        <x:v>2024-1</x:v>
      </x:c>
    </x:row>
    <x:row r="3567" ht="21" customHeight="1">
      <x:c r="A3567" s="3" t="str">
        <x:v>2202020</x:v>
      </x:c>
      <x:c r="B3567" s="3" t="str">
        <x:v>SEC036</x:v>
      </x:c>
      <x:c r="C3567" s="3" t="n">
        <x:v>8</x:v>
      </x:c>
      <x:c r="D3567" s="3" t="str">
        <x:v>present</x:v>
      </x:c>
      <x:c r="E3567" s="5" t="str">
        <x:f>VLOOKUP(B3567,Sections!$A$5:$I$45,3,FALSE)</x:f>
        <x:v>2024-1</x:v>
      </x:c>
    </x:row>
    <x:row r="3568" ht="21" customHeight="1">
      <x:c r="A3568" s="3" t="str">
        <x:v>2202020</x:v>
      </x:c>
      <x:c r="B3568" s="3" t="str">
        <x:v>SEC036</x:v>
      </x:c>
      <x:c r="C3568" s="3" t="n">
        <x:v>9</x:v>
      </x:c>
      <x:c r="D3568" s="3" t="str">
        <x:v>present</x:v>
      </x:c>
      <x:c r="E3568" s="5" t="str">
        <x:f>VLOOKUP(B3568,Sections!$A$5:$I$45,3,FALSE)</x:f>
        <x:v>2024-1</x:v>
      </x:c>
    </x:row>
    <x:row r="3569" ht="21" customHeight="1">
      <x:c r="A3569" s="3" t="str">
        <x:v>2202020</x:v>
      </x:c>
      <x:c r="B3569" s="3" t="str">
        <x:v>SEC036</x:v>
      </x:c>
      <x:c r="C3569" s="3" t="n">
        <x:v>10</x:v>
      </x:c>
      <x:c r="D3569" s="3" t="str">
        <x:v>present</x:v>
      </x:c>
      <x:c r="E3569" s="5" t="str">
        <x:f>VLOOKUP(B3569,Sections!$A$5:$I$45,3,FALSE)</x:f>
        <x:v>2024-1</x:v>
      </x:c>
    </x:row>
    <x:row r="3570" ht="21" customHeight="1">
      <x:c r="A3570" s="3" t="str">
        <x:v>2202020</x:v>
      </x:c>
      <x:c r="B3570" s="3" t="str">
        <x:v>SEC036</x:v>
      </x:c>
      <x:c r="C3570" s="3" t="n">
        <x:v>11</x:v>
      </x:c>
      <x:c r="D3570" s="3" t="str">
        <x:v>present</x:v>
      </x:c>
      <x:c r="E3570" s="5" t="str">
        <x:f>VLOOKUP(B3570,Sections!$A$5:$I$45,3,FALSE)</x:f>
        <x:v>2024-1</x:v>
      </x:c>
    </x:row>
    <x:row r="3571" ht="21" customHeight="1">
      <x:c r="A3571" s="3" t="str">
        <x:v>2202020</x:v>
      </x:c>
      <x:c r="B3571" s="3" t="str">
        <x:v>SEC036</x:v>
      </x:c>
      <x:c r="C3571" s="3" t="n">
        <x:v>12</x:v>
      </x:c>
      <x:c r="D3571" s="3" t="str">
        <x:v>present</x:v>
      </x:c>
      <x:c r="E3571" s="5" t="str">
        <x:f>VLOOKUP(B3571,Sections!$A$5:$I$45,3,FALSE)</x:f>
        <x:v>2024-1</x:v>
      </x:c>
    </x:row>
    <x:row r="3572" ht="21" customHeight="1">
      <x:c r="A3572" s="3" t="str">
        <x:v>2202020</x:v>
      </x:c>
      <x:c r="B3572" s="3" t="str">
        <x:v>SEC036</x:v>
      </x:c>
      <x:c r="C3572" s="3" t="n">
        <x:v>13</x:v>
      </x:c>
      <x:c r="D3572" s="3" t="str">
        <x:v>late</x:v>
      </x:c>
      <x:c r="E3572" s="5" t="str">
        <x:f>VLOOKUP(B3572,Sections!$A$5:$I$45,3,FALSE)</x:f>
        <x:v>2024-1</x:v>
      </x:c>
    </x:row>
    <x:row r="3573" ht="21" customHeight="1">
      <x:c r="A3573" s="3" t="str">
        <x:v>2202020</x:v>
      </x:c>
      <x:c r="B3573" s="3" t="str">
        <x:v>SEC036</x:v>
      </x:c>
      <x:c r="C3573" s="3" t="n">
        <x:v>14</x:v>
      </x:c>
      <x:c r="D3573" s="3" t="str">
        <x:v>absent</x:v>
      </x:c>
      <x:c r="E3573" s="5" t="str">
        <x:f>VLOOKUP(B3573,Sections!$A$5:$I$45,3,FALSE)</x:f>
        <x:v>2024-1</x:v>
      </x:c>
    </x:row>
    <x:row r="3574" ht="21" customHeight="1">
      <x:c r="A3574" s="3" t="str">
        <x:v>2202020</x:v>
      </x:c>
      <x:c r="B3574" s="3" t="str">
        <x:v>SEC036</x:v>
      </x:c>
      <x:c r="C3574" s="3" t="n">
        <x:v>15</x:v>
      </x:c>
      <x:c r="D3574" s="3" t="str">
        <x:v>present</x:v>
      </x:c>
      <x:c r="E3574" s="5" t="str">
        <x:f>VLOOKUP(B3574,Sections!$A$5:$I$45,3,FALSE)</x:f>
        <x:v>2024-1</x:v>
      </x:c>
    </x:row>
    <x:row r="3575" ht="21" customHeight="1">
      <x:c r="A3575" s="3" t="str">
        <x:v>2201001</x:v>
      </x:c>
      <x:c r="B3575" s="3" t="str">
        <x:v>SEC037</x:v>
      </x:c>
      <x:c r="C3575" s="3" t="n">
        <x:v>1</x:v>
      </x:c>
      <x:c r="D3575" s="3" t="str">
        <x:v>late</x:v>
      </x:c>
      <x:c r="E3575" s="5" t="str">
        <x:f>VLOOKUP(B3575,Sections!$A$5:$I$45,3,FALSE)</x:f>
        <x:v>2024-1</x:v>
      </x:c>
    </x:row>
    <x:row r="3576" ht="21" customHeight="1">
      <x:c r="A3576" s="3" t="str">
        <x:v>2201001</x:v>
      </x:c>
      <x:c r="B3576" s="3" t="str">
        <x:v>SEC037</x:v>
      </x:c>
      <x:c r="C3576" s="3" t="n">
        <x:v>2</x:v>
      </x:c>
      <x:c r="D3576" s="3" t="str">
        <x:v>present</x:v>
      </x:c>
      <x:c r="E3576" s="5" t="str">
        <x:f>VLOOKUP(B3576,Sections!$A$5:$I$45,3,FALSE)</x:f>
        <x:v>2024-1</x:v>
      </x:c>
    </x:row>
    <x:row r="3577" ht="21" customHeight="1">
      <x:c r="A3577" s="3" t="str">
        <x:v>2201001</x:v>
      </x:c>
      <x:c r="B3577" s="3" t="str">
        <x:v>SEC037</x:v>
      </x:c>
      <x:c r="C3577" s="3" t="n">
        <x:v>3</x:v>
      </x:c>
      <x:c r="D3577" s="3" t="str">
        <x:v>absent</x:v>
      </x:c>
      <x:c r="E3577" s="5" t="str">
        <x:f>VLOOKUP(B3577,Sections!$A$5:$I$45,3,FALSE)</x:f>
        <x:v>2024-1</x:v>
      </x:c>
    </x:row>
    <x:row r="3578" ht="21" customHeight="1">
      <x:c r="A3578" s="3" t="str">
        <x:v>2201001</x:v>
      </x:c>
      <x:c r="B3578" s="3" t="str">
        <x:v>SEC037</x:v>
      </x:c>
      <x:c r="C3578" s="3" t="n">
        <x:v>4</x:v>
      </x:c>
      <x:c r="D3578" s="3" t="str">
        <x:v>present</x:v>
      </x:c>
      <x:c r="E3578" s="5" t="str">
        <x:f>VLOOKUP(B3578,Sections!$A$5:$I$45,3,FALSE)</x:f>
        <x:v>2024-1</x:v>
      </x:c>
    </x:row>
    <x:row r="3579" ht="21" customHeight="1">
      <x:c r="A3579" s="3" t="str">
        <x:v>2201001</x:v>
      </x:c>
      <x:c r="B3579" s="3" t="str">
        <x:v>SEC037</x:v>
      </x:c>
      <x:c r="C3579" s="3" t="n">
        <x:v>5</x:v>
      </x:c>
      <x:c r="D3579" s="3" t="str">
        <x:v>present</x:v>
      </x:c>
      <x:c r="E3579" s="5" t="str">
        <x:f>VLOOKUP(B3579,Sections!$A$5:$I$45,3,FALSE)</x:f>
        <x:v>2024-1</x:v>
      </x:c>
    </x:row>
    <x:row r="3580" ht="21" customHeight="1">
      <x:c r="A3580" s="3" t="str">
        <x:v>2201001</x:v>
      </x:c>
      <x:c r="B3580" s="3" t="str">
        <x:v>SEC037</x:v>
      </x:c>
      <x:c r="C3580" s="3" t="n">
        <x:v>6</x:v>
      </x:c>
      <x:c r="D3580" s="3" t="str">
        <x:v>present</x:v>
      </x:c>
      <x:c r="E3580" s="5" t="str">
        <x:f>VLOOKUP(B3580,Sections!$A$5:$I$45,3,FALSE)</x:f>
        <x:v>2024-1</x:v>
      </x:c>
    </x:row>
    <x:row r="3581" ht="21" customHeight="1">
      <x:c r="A3581" s="3" t="str">
        <x:v>2201001</x:v>
      </x:c>
      <x:c r="B3581" s="3" t="str">
        <x:v>SEC037</x:v>
      </x:c>
      <x:c r="C3581" s="3" t="n">
        <x:v>7</x:v>
      </x:c>
      <x:c r="D3581" s="3" t="str">
        <x:v>present</x:v>
      </x:c>
      <x:c r="E3581" s="5" t="str">
        <x:f>VLOOKUP(B3581,Sections!$A$5:$I$45,3,FALSE)</x:f>
        <x:v>2024-1</x:v>
      </x:c>
    </x:row>
    <x:row r="3582" ht="21" customHeight="1">
      <x:c r="A3582" s="3" t="str">
        <x:v>2201001</x:v>
      </x:c>
      <x:c r="B3582" s="3" t="str">
        <x:v>SEC037</x:v>
      </x:c>
      <x:c r="C3582" s="3" t="n">
        <x:v>8</x:v>
      </x:c>
      <x:c r="D3582" s="3" t="str">
        <x:v>excused</x:v>
      </x:c>
      <x:c r="E3582" s="5" t="str">
        <x:f>VLOOKUP(B3582,Sections!$A$5:$I$45,3,FALSE)</x:f>
        <x:v>2024-1</x:v>
      </x:c>
    </x:row>
    <x:row r="3583" ht="21" customHeight="1">
      <x:c r="A3583" s="3" t="str">
        <x:v>2201001</x:v>
      </x:c>
      <x:c r="B3583" s="3" t="str">
        <x:v>SEC037</x:v>
      </x:c>
      <x:c r="C3583" s="3" t="n">
        <x:v>9</x:v>
      </x:c>
      <x:c r="D3583" s="3" t="str">
        <x:v>absent</x:v>
      </x:c>
      <x:c r="E3583" s="5" t="str">
        <x:f>VLOOKUP(B3583,Sections!$A$5:$I$45,3,FALSE)</x:f>
        <x:v>2024-1</x:v>
      </x:c>
    </x:row>
    <x:row r="3584" ht="21" customHeight="1">
      <x:c r="A3584" s="3" t="str">
        <x:v>2201001</x:v>
      </x:c>
      <x:c r="B3584" s="3" t="str">
        <x:v>SEC037</x:v>
      </x:c>
      <x:c r="C3584" s="3" t="n">
        <x:v>10</x:v>
      </x:c>
      <x:c r="D3584" s="3" t="str">
        <x:v>present</x:v>
      </x:c>
      <x:c r="E3584" s="5" t="str">
        <x:f>VLOOKUP(B3584,Sections!$A$5:$I$45,3,FALSE)</x:f>
        <x:v>2024-1</x:v>
      </x:c>
    </x:row>
    <x:row r="3585" ht="21" customHeight="1">
      <x:c r="A3585" s="3" t="str">
        <x:v>2201001</x:v>
      </x:c>
      <x:c r="B3585" s="3" t="str">
        <x:v>SEC037</x:v>
      </x:c>
      <x:c r="C3585" s="3" t="n">
        <x:v>11</x:v>
      </x:c>
      <x:c r="D3585" s="3" t="str">
        <x:v>present</x:v>
      </x:c>
      <x:c r="E3585" s="5" t="str">
        <x:f>VLOOKUP(B3585,Sections!$A$5:$I$45,3,FALSE)</x:f>
        <x:v>2024-1</x:v>
      </x:c>
    </x:row>
    <x:row r="3586" ht="21" customHeight="1">
      <x:c r="A3586" s="3" t="str">
        <x:v>2201001</x:v>
      </x:c>
      <x:c r="B3586" s="3" t="str">
        <x:v>SEC037</x:v>
      </x:c>
      <x:c r="C3586" s="3" t="n">
        <x:v>12</x:v>
      </x:c>
      <x:c r="D3586" s="3" t="str">
        <x:v>present</x:v>
      </x:c>
      <x:c r="E3586" s="5" t="str">
        <x:f>VLOOKUP(B3586,Sections!$A$5:$I$45,3,FALSE)</x:f>
        <x:v>2024-1</x:v>
      </x:c>
    </x:row>
    <x:row r="3587" ht="21" customHeight="1">
      <x:c r="A3587" s="3" t="str">
        <x:v>2201001</x:v>
      </x:c>
      <x:c r="B3587" s="3" t="str">
        <x:v>SEC037</x:v>
      </x:c>
      <x:c r="C3587" s="3" t="n">
        <x:v>13</x:v>
      </x:c>
      <x:c r="D3587" s="3" t="str">
        <x:v>present</x:v>
      </x:c>
      <x:c r="E3587" s="5" t="str">
        <x:f>VLOOKUP(B3587,Sections!$A$5:$I$45,3,FALSE)</x:f>
        <x:v>2024-1</x:v>
      </x:c>
    </x:row>
    <x:row r="3588" ht="21" customHeight="1">
      <x:c r="A3588" s="3" t="str">
        <x:v>2201001</x:v>
      </x:c>
      <x:c r="B3588" s="3" t="str">
        <x:v>SEC037</x:v>
      </x:c>
      <x:c r="C3588" s="3" t="n">
        <x:v>14</x:v>
      </x:c>
      <x:c r="D3588" s="3" t="str">
        <x:v>present</x:v>
      </x:c>
      <x:c r="E3588" s="5" t="str">
        <x:f>VLOOKUP(B3588,Sections!$A$5:$I$45,3,FALSE)</x:f>
        <x:v>2024-1</x:v>
      </x:c>
    </x:row>
    <x:row r="3589" ht="21" customHeight="1">
      <x:c r="A3589" s="3" t="str">
        <x:v>2201001</x:v>
      </x:c>
      <x:c r="B3589" s="3" t="str">
        <x:v>SEC037</x:v>
      </x:c>
      <x:c r="C3589" s="3" t="n">
        <x:v>15</x:v>
      </x:c>
      <x:c r="D3589" s="3" t="str">
        <x:v>present</x:v>
      </x:c>
      <x:c r="E3589" s="5" t="str">
        <x:f>VLOOKUP(B3589,Sections!$A$5:$I$45,3,FALSE)</x:f>
        <x:v>2024-1</x:v>
      </x:c>
    </x:row>
    <x:row r="3590" ht="21" customHeight="1">
      <x:c r="A3590" s="3" t="str">
        <x:v>2201002</x:v>
      </x:c>
      <x:c r="B3590" s="3" t="str">
        <x:v>SEC037</x:v>
      </x:c>
      <x:c r="C3590" s="3" t="n">
        <x:v>1</x:v>
      </x:c>
      <x:c r="D3590" s="3" t="str">
        <x:v>absent</x:v>
      </x:c>
      <x:c r="E3590" s="5" t="str">
        <x:f>VLOOKUP(B3590,Sections!$A$5:$I$45,3,FALSE)</x:f>
        <x:v>2024-1</x:v>
      </x:c>
    </x:row>
    <x:row r="3591" ht="21" customHeight="1">
      <x:c r="A3591" s="3" t="str">
        <x:v>2201002</x:v>
      </x:c>
      <x:c r="B3591" s="3" t="str">
        <x:v>SEC037</x:v>
      </x:c>
      <x:c r="C3591" s="3" t="n">
        <x:v>2</x:v>
      </x:c>
      <x:c r="D3591" s="3" t="str">
        <x:v>present</x:v>
      </x:c>
      <x:c r="E3591" s="5" t="str">
        <x:f>VLOOKUP(B3591,Sections!$A$5:$I$45,3,FALSE)</x:f>
        <x:v>2024-1</x:v>
      </x:c>
    </x:row>
    <x:row r="3592" ht="21" customHeight="1">
      <x:c r="A3592" s="3" t="str">
        <x:v>2201002</x:v>
      </x:c>
      <x:c r="B3592" s="3" t="str">
        <x:v>SEC037</x:v>
      </x:c>
      <x:c r="C3592" s="3" t="n">
        <x:v>3</x:v>
      </x:c>
      <x:c r="D3592" s="3" t="str">
        <x:v>present</x:v>
      </x:c>
      <x:c r="E3592" s="5" t="str">
        <x:f>VLOOKUP(B3592,Sections!$A$5:$I$45,3,FALSE)</x:f>
        <x:v>2024-1</x:v>
      </x:c>
    </x:row>
    <x:row r="3593" ht="21" customHeight="1">
      <x:c r="A3593" s="3" t="str">
        <x:v>2201002</x:v>
      </x:c>
      <x:c r="B3593" s="3" t="str">
        <x:v>SEC037</x:v>
      </x:c>
      <x:c r="C3593" s="3" t="n">
        <x:v>4</x:v>
      </x:c>
      <x:c r="D3593" s="3" t="str">
        <x:v>present</x:v>
      </x:c>
      <x:c r="E3593" s="5" t="str">
        <x:f>VLOOKUP(B3593,Sections!$A$5:$I$45,3,FALSE)</x:f>
        <x:v>2024-1</x:v>
      </x:c>
    </x:row>
    <x:row r="3594" ht="21" customHeight="1">
      <x:c r="A3594" s="3" t="str">
        <x:v>2201002</x:v>
      </x:c>
      <x:c r="B3594" s="3" t="str">
        <x:v>SEC037</x:v>
      </x:c>
      <x:c r="C3594" s="3" t="n">
        <x:v>5</x:v>
      </x:c>
      <x:c r="D3594" s="3" t="str">
        <x:v>present</x:v>
      </x:c>
      <x:c r="E3594" s="5" t="str">
        <x:f>VLOOKUP(B3594,Sections!$A$5:$I$45,3,FALSE)</x:f>
        <x:v>2024-1</x:v>
      </x:c>
    </x:row>
    <x:row r="3595" ht="21" customHeight="1">
      <x:c r="A3595" s="3" t="str">
        <x:v>2201002</x:v>
      </x:c>
      <x:c r="B3595" s="3" t="str">
        <x:v>SEC037</x:v>
      </x:c>
      <x:c r="C3595" s="3" t="n">
        <x:v>6</x:v>
      </x:c>
      <x:c r="D3595" s="3" t="str">
        <x:v>present</x:v>
      </x:c>
      <x:c r="E3595" s="5" t="str">
        <x:f>VLOOKUP(B3595,Sections!$A$5:$I$45,3,FALSE)</x:f>
        <x:v>2024-1</x:v>
      </x:c>
    </x:row>
    <x:row r="3596" ht="21" customHeight="1">
      <x:c r="A3596" s="3" t="str">
        <x:v>2201002</x:v>
      </x:c>
      <x:c r="B3596" s="3" t="str">
        <x:v>SEC037</x:v>
      </x:c>
      <x:c r="C3596" s="3" t="n">
        <x:v>7</x:v>
      </x:c>
      <x:c r="D3596" s="3" t="str">
        <x:v>present</x:v>
      </x:c>
      <x:c r="E3596" s="5" t="str">
        <x:f>VLOOKUP(B3596,Sections!$A$5:$I$45,3,FALSE)</x:f>
        <x:v>2024-1</x:v>
      </x:c>
    </x:row>
    <x:row r="3597" ht="21" customHeight="1">
      <x:c r="A3597" s="3" t="str">
        <x:v>2201002</x:v>
      </x:c>
      <x:c r="B3597" s="3" t="str">
        <x:v>SEC037</x:v>
      </x:c>
      <x:c r="C3597" s="3" t="n">
        <x:v>8</x:v>
      </x:c>
      <x:c r="D3597" s="3" t="str">
        <x:v>present</x:v>
      </x:c>
      <x:c r="E3597" s="5" t="str">
        <x:f>VLOOKUP(B3597,Sections!$A$5:$I$45,3,FALSE)</x:f>
        <x:v>2024-1</x:v>
      </x:c>
    </x:row>
    <x:row r="3598" ht="21" customHeight="1">
      <x:c r="A3598" s="3" t="str">
        <x:v>2201002</x:v>
      </x:c>
      <x:c r="B3598" s="3" t="str">
        <x:v>SEC037</x:v>
      </x:c>
      <x:c r="C3598" s="3" t="n">
        <x:v>9</x:v>
      </x:c>
      <x:c r="D3598" s="3" t="str">
        <x:v>present</x:v>
      </x:c>
      <x:c r="E3598" s="5" t="str">
        <x:f>VLOOKUP(B3598,Sections!$A$5:$I$45,3,FALSE)</x:f>
        <x:v>2024-1</x:v>
      </x:c>
    </x:row>
    <x:row r="3599" ht="21" customHeight="1">
      <x:c r="A3599" s="3" t="str">
        <x:v>2201002</x:v>
      </x:c>
      <x:c r="B3599" s="3" t="str">
        <x:v>SEC037</x:v>
      </x:c>
      <x:c r="C3599" s="3" t="n">
        <x:v>10</x:v>
      </x:c>
      <x:c r="D3599" s="3" t="str">
        <x:v>late</x:v>
      </x:c>
      <x:c r="E3599" s="5" t="str">
        <x:f>VLOOKUP(B3599,Sections!$A$5:$I$45,3,FALSE)</x:f>
        <x:v>2024-1</x:v>
      </x:c>
    </x:row>
    <x:row r="3600" ht="21" customHeight="1">
      <x:c r="A3600" s="3" t="str">
        <x:v>2201002</x:v>
      </x:c>
      <x:c r="B3600" s="3" t="str">
        <x:v>SEC037</x:v>
      </x:c>
      <x:c r="C3600" s="3" t="n">
        <x:v>11</x:v>
      </x:c>
      <x:c r="D3600" s="3" t="str">
        <x:v>present</x:v>
      </x:c>
      <x:c r="E3600" s="5" t="str">
        <x:f>VLOOKUP(B3600,Sections!$A$5:$I$45,3,FALSE)</x:f>
        <x:v>2024-1</x:v>
      </x:c>
    </x:row>
    <x:row r="3601" ht="21" customHeight="1">
      <x:c r="A3601" s="3" t="str">
        <x:v>2201002</x:v>
      </x:c>
      <x:c r="B3601" s="3" t="str">
        <x:v>SEC037</x:v>
      </x:c>
      <x:c r="C3601" s="3" t="n">
        <x:v>12</x:v>
      </x:c>
      <x:c r="D3601" s="3" t="str">
        <x:v>absent</x:v>
      </x:c>
      <x:c r="E3601" s="5" t="str">
        <x:f>VLOOKUP(B3601,Sections!$A$5:$I$45,3,FALSE)</x:f>
        <x:v>2024-1</x:v>
      </x:c>
    </x:row>
    <x:row r="3602" ht="21" customHeight="1">
      <x:c r="A3602" s="3" t="str">
        <x:v>2201002</x:v>
      </x:c>
      <x:c r="B3602" s="3" t="str">
        <x:v>SEC037</x:v>
      </x:c>
      <x:c r="C3602" s="3" t="n">
        <x:v>13</x:v>
      </x:c>
      <x:c r="D3602" s="3" t="str">
        <x:v>present</x:v>
      </x:c>
      <x:c r="E3602" s="5" t="str">
        <x:f>VLOOKUP(B3602,Sections!$A$5:$I$45,3,FALSE)</x:f>
        <x:v>2024-1</x:v>
      </x:c>
    </x:row>
    <x:row r="3603" ht="21" customHeight="1">
      <x:c r="A3603" s="3" t="str">
        <x:v>2201002</x:v>
      </x:c>
      <x:c r="B3603" s="3" t="str">
        <x:v>SEC037</x:v>
      </x:c>
      <x:c r="C3603" s="3" t="n">
        <x:v>14</x:v>
      </x:c>
      <x:c r="D3603" s="3" t="str">
        <x:v>present</x:v>
      </x:c>
      <x:c r="E3603" s="5" t="str">
        <x:f>VLOOKUP(B3603,Sections!$A$5:$I$45,3,FALSE)</x:f>
        <x:v>2024-1</x:v>
      </x:c>
    </x:row>
    <x:row r="3604" ht="21" customHeight="1">
      <x:c r="A3604" s="3" t="str">
        <x:v>2201002</x:v>
      </x:c>
      <x:c r="B3604" s="3" t="str">
        <x:v>SEC037</x:v>
      </x:c>
      <x:c r="C3604" s="3" t="n">
        <x:v>15</x:v>
      </x:c>
      <x:c r="D3604" s="3" t="str">
        <x:v>excused</x:v>
      </x:c>
      <x:c r="E3604" s="5" t="str">
        <x:f>VLOOKUP(B3604,Sections!$A$5:$I$45,3,FALSE)</x:f>
        <x:v>2024-1</x:v>
      </x:c>
    </x:row>
    <x:row r="3605" ht="21" customHeight="1">
      <x:c r="A3605" s="3" t="str">
        <x:v>2201003</x:v>
      </x:c>
      <x:c r="B3605" s="3" t="str">
        <x:v>SEC037</x:v>
      </x:c>
      <x:c r="C3605" s="3" t="n">
        <x:v>1</x:v>
      </x:c>
      <x:c r="D3605" s="3" t="str">
        <x:v>present</x:v>
      </x:c>
      <x:c r="E3605" s="5" t="str">
        <x:f>VLOOKUP(B3605,Sections!$A$5:$I$45,3,FALSE)</x:f>
        <x:v>2024-1</x:v>
      </x:c>
    </x:row>
    <x:row r="3606" ht="21" customHeight="1">
      <x:c r="A3606" s="3" t="str">
        <x:v>2201003</x:v>
      </x:c>
      <x:c r="B3606" s="3" t="str">
        <x:v>SEC037</x:v>
      </x:c>
      <x:c r="C3606" s="3" t="n">
        <x:v>2</x:v>
      </x:c>
      <x:c r="D3606" s="3" t="str">
        <x:v>present</x:v>
      </x:c>
      <x:c r="E3606" s="5" t="str">
        <x:f>VLOOKUP(B3606,Sections!$A$5:$I$45,3,FALSE)</x:f>
        <x:v>2024-1</x:v>
      </x:c>
    </x:row>
    <x:row r="3607" ht="21" customHeight="1">
      <x:c r="A3607" s="3" t="str">
        <x:v>2201003</x:v>
      </x:c>
      <x:c r="B3607" s="3" t="str">
        <x:v>SEC037</x:v>
      </x:c>
      <x:c r="C3607" s="3" t="n">
        <x:v>3</x:v>
      </x:c>
      <x:c r="D3607" s="3" t="str">
        <x:v>present</x:v>
      </x:c>
      <x:c r="E3607" s="5" t="str">
        <x:f>VLOOKUP(B3607,Sections!$A$5:$I$45,3,FALSE)</x:f>
        <x:v>2024-1</x:v>
      </x:c>
    </x:row>
    <x:row r="3608" ht="21" customHeight="1">
      <x:c r="A3608" s="3" t="str">
        <x:v>2201003</x:v>
      </x:c>
      <x:c r="B3608" s="3" t="str">
        <x:v>SEC037</x:v>
      </x:c>
      <x:c r="C3608" s="3" t="n">
        <x:v>4</x:v>
      </x:c>
      <x:c r="D3608" s="3" t="str">
        <x:v>present</x:v>
      </x:c>
      <x:c r="E3608" s="5" t="str">
        <x:f>VLOOKUP(B3608,Sections!$A$5:$I$45,3,FALSE)</x:f>
        <x:v>2024-1</x:v>
      </x:c>
    </x:row>
    <x:row r="3609" ht="21" customHeight="1">
      <x:c r="A3609" s="3" t="str">
        <x:v>2201003</x:v>
      </x:c>
      <x:c r="B3609" s="3" t="str">
        <x:v>SEC037</x:v>
      </x:c>
      <x:c r="C3609" s="3" t="n">
        <x:v>5</x:v>
      </x:c>
      <x:c r="D3609" s="3" t="str">
        <x:v>present</x:v>
      </x:c>
      <x:c r="E3609" s="5" t="str">
        <x:f>VLOOKUP(B3609,Sections!$A$5:$I$45,3,FALSE)</x:f>
        <x:v>2024-1</x:v>
      </x:c>
    </x:row>
    <x:row r="3610" ht="21" customHeight="1">
      <x:c r="A3610" s="3" t="str">
        <x:v>2201003</x:v>
      </x:c>
      <x:c r="B3610" s="3" t="str">
        <x:v>SEC037</x:v>
      </x:c>
      <x:c r="C3610" s="3" t="n">
        <x:v>6</x:v>
      </x:c>
      <x:c r="D3610" s="3" t="str">
        <x:v>present</x:v>
      </x:c>
      <x:c r="E3610" s="5" t="str">
        <x:f>VLOOKUP(B3610,Sections!$A$5:$I$45,3,FALSE)</x:f>
        <x:v>2024-1</x:v>
      </x:c>
    </x:row>
    <x:row r="3611" ht="21" customHeight="1">
      <x:c r="A3611" s="3" t="str">
        <x:v>2201003</x:v>
      </x:c>
      <x:c r="B3611" s="3" t="str">
        <x:v>SEC037</x:v>
      </x:c>
      <x:c r="C3611" s="3" t="n">
        <x:v>7</x:v>
      </x:c>
      <x:c r="D3611" s="3" t="str">
        <x:v>present</x:v>
      </x:c>
      <x:c r="E3611" s="5" t="str">
        <x:f>VLOOKUP(B3611,Sections!$A$5:$I$45,3,FALSE)</x:f>
        <x:v>2024-1</x:v>
      </x:c>
    </x:row>
    <x:row r="3612" ht="21" customHeight="1">
      <x:c r="A3612" s="3" t="str">
        <x:v>2201003</x:v>
      </x:c>
      <x:c r="B3612" s="3" t="str">
        <x:v>SEC037</x:v>
      </x:c>
      <x:c r="C3612" s="3" t="n">
        <x:v>8</x:v>
      </x:c>
      <x:c r="D3612" s="3" t="str">
        <x:v>present</x:v>
      </x:c>
      <x:c r="E3612" s="5" t="str">
        <x:f>VLOOKUP(B3612,Sections!$A$5:$I$45,3,FALSE)</x:f>
        <x:v>2024-1</x:v>
      </x:c>
    </x:row>
    <x:row r="3613" ht="21" customHeight="1">
      <x:c r="A3613" s="3" t="str">
        <x:v>2201003</x:v>
      </x:c>
      <x:c r="B3613" s="3" t="str">
        <x:v>SEC037</x:v>
      </x:c>
      <x:c r="C3613" s="3" t="n">
        <x:v>9</x:v>
      </x:c>
      <x:c r="D3613" s="3" t="str">
        <x:v>present</x:v>
      </x:c>
      <x:c r="E3613" s="5" t="str">
        <x:f>VLOOKUP(B3613,Sections!$A$5:$I$45,3,FALSE)</x:f>
        <x:v>2024-1</x:v>
      </x:c>
    </x:row>
    <x:row r="3614" ht="21" customHeight="1">
      <x:c r="A3614" s="3" t="str">
        <x:v>2201003</x:v>
      </x:c>
      <x:c r="B3614" s="3" t="str">
        <x:v>SEC037</x:v>
      </x:c>
      <x:c r="C3614" s="3" t="n">
        <x:v>10</x:v>
      </x:c>
      <x:c r="D3614" s="3" t="str">
        <x:v>present</x:v>
      </x:c>
      <x:c r="E3614" s="5" t="str">
        <x:f>VLOOKUP(B3614,Sections!$A$5:$I$45,3,FALSE)</x:f>
        <x:v>2024-1</x:v>
      </x:c>
    </x:row>
    <x:row r="3615" ht="21" customHeight="1">
      <x:c r="A3615" s="3" t="str">
        <x:v>2201003</x:v>
      </x:c>
      <x:c r="B3615" s="3" t="str">
        <x:v>SEC037</x:v>
      </x:c>
      <x:c r="C3615" s="3" t="n">
        <x:v>11</x:v>
      </x:c>
      <x:c r="D3615" s="3" t="str">
        <x:v>absent</x:v>
      </x:c>
      <x:c r="E3615" s="5" t="str">
        <x:f>VLOOKUP(B3615,Sections!$A$5:$I$45,3,FALSE)</x:f>
        <x:v>2024-1</x:v>
      </x:c>
    </x:row>
    <x:row r="3616" ht="21" customHeight="1">
      <x:c r="A3616" s="3" t="str">
        <x:v>2201003</x:v>
      </x:c>
      <x:c r="B3616" s="3" t="str">
        <x:v>SEC037</x:v>
      </x:c>
      <x:c r="C3616" s="3" t="n">
        <x:v>12</x:v>
      </x:c>
      <x:c r="D3616" s="3" t="str">
        <x:v>present</x:v>
      </x:c>
      <x:c r="E3616" s="5" t="str">
        <x:f>VLOOKUP(B3616,Sections!$A$5:$I$45,3,FALSE)</x:f>
        <x:v>2024-1</x:v>
      </x:c>
    </x:row>
    <x:row r="3617" ht="21" customHeight="1">
      <x:c r="A3617" s="3" t="str">
        <x:v>2201003</x:v>
      </x:c>
      <x:c r="B3617" s="3" t="str">
        <x:v>SEC037</x:v>
      </x:c>
      <x:c r="C3617" s="3" t="n">
        <x:v>13</x:v>
      </x:c>
      <x:c r="D3617" s="3" t="str">
        <x:v>present</x:v>
      </x:c>
      <x:c r="E3617" s="5" t="str">
        <x:f>VLOOKUP(B3617,Sections!$A$5:$I$45,3,FALSE)</x:f>
        <x:v>2024-1</x:v>
      </x:c>
    </x:row>
    <x:row r="3618" ht="21" customHeight="1">
      <x:c r="A3618" s="3" t="str">
        <x:v>2201003</x:v>
      </x:c>
      <x:c r="B3618" s="3" t="str">
        <x:v>SEC037</x:v>
      </x:c>
      <x:c r="C3618" s="3" t="n">
        <x:v>14</x:v>
      </x:c>
      <x:c r="D3618" s="3" t="str">
        <x:v>present</x:v>
      </x:c>
      <x:c r="E3618" s="5" t="str">
        <x:f>VLOOKUP(B3618,Sections!$A$5:$I$45,3,FALSE)</x:f>
        <x:v>2024-1</x:v>
      </x:c>
    </x:row>
    <x:row r="3619" ht="21" customHeight="1">
      <x:c r="A3619" s="3" t="str">
        <x:v>2201003</x:v>
      </x:c>
      <x:c r="B3619" s="3" t="str">
        <x:v>SEC037</x:v>
      </x:c>
      <x:c r="C3619" s="3" t="n">
        <x:v>15</x:v>
      </x:c>
      <x:c r="D3619" s="3" t="str">
        <x:v>present</x:v>
      </x:c>
      <x:c r="E3619" s="5" t="str">
        <x:f>VLOOKUP(B3619,Sections!$A$5:$I$45,3,FALSE)</x:f>
        <x:v>2024-1</x:v>
      </x:c>
    </x:row>
    <x:row r="3620" ht="21" customHeight="1">
      <x:c r="A3620" s="3" t="str">
        <x:v>2201004</x:v>
      </x:c>
      <x:c r="B3620" s="3" t="str">
        <x:v>SEC037</x:v>
      </x:c>
      <x:c r="C3620" s="3" t="n">
        <x:v>1</x:v>
      </x:c>
      <x:c r="D3620" s="3" t="str">
        <x:v>present</x:v>
      </x:c>
      <x:c r="E3620" s="5" t="str">
        <x:f>VLOOKUP(B3620,Sections!$A$5:$I$45,3,FALSE)</x:f>
        <x:v>2024-1</x:v>
      </x:c>
    </x:row>
    <x:row r="3621" ht="21" customHeight="1">
      <x:c r="A3621" s="3" t="str">
        <x:v>2201004</x:v>
      </x:c>
      <x:c r="B3621" s="3" t="str">
        <x:v>SEC037</x:v>
      </x:c>
      <x:c r="C3621" s="3" t="n">
        <x:v>2</x:v>
      </x:c>
      <x:c r="D3621" s="3" t="str">
        <x:v>present</x:v>
      </x:c>
      <x:c r="E3621" s="5" t="str">
        <x:f>VLOOKUP(B3621,Sections!$A$5:$I$45,3,FALSE)</x:f>
        <x:v>2024-1</x:v>
      </x:c>
    </x:row>
    <x:row r="3622" ht="21" customHeight="1">
      <x:c r="A3622" s="3" t="str">
        <x:v>2201004</x:v>
      </x:c>
      <x:c r="B3622" s="3" t="str">
        <x:v>SEC037</x:v>
      </x:c>
      <x:c r="C3622" s="3" t="n">
        <x:v>3</x:v>
      </x:c>
      <x:c r="D3622" s="3" t="str">
        <x:v>present</x:v>
      </x:c>
      <x:c r="E3622" s="5" t="str">
        <x:f>VLOOKUP(B3622,Sections!$A$5:$I$45,3,FALSE)</x:f>
        <x:v>2024-1</x:v>
      </x:c>
    </x:row>
    <x:row r="3623" ht="21" customHeight="1">
      <x:c r="A3623" s="3" t="str">
        <x:v>2201004</x:v>
      </x:c>
      <x:c r="B3623" s="3" t="str">
        <x:v>SEC037</x:v>
      </x:c>
      <x:c r="C3623" s="3" t="n">
        <x:v>4</x:v>
      </x:c>
      <x:c r="D3623" s="3" t="str">
        <x:v>present</x:v>
      </x:c>
      <x:c r="E3623" s="5" t="str">
        <x:f>VLOOKUP(B3623,Sections!$A$5:$I$45,3,FALSE)</x:f>
        <x:v>2024-1</x:v>
      </x:c>
    </x:row>
    <x:row r="3624" ht="21" customHeight="1">
      <x:c r="A3624" s="3" t="str">
        <x:v>2201004</x:v>
      </x:c>
      <x:c r="B3624" s="3" t="str">
        <x:v>SEC037</x:v>
      </x:c>
      <x:c r="C3624" s="3" t="n">
        <x:v>5</x:v>
      </x:c>
      <x:c r="D3624" s="3" t="str">
        <x:v>present</x:v>
      </x:c>
      <x:c r="E3624" s="5" t="str">
        <x:f>VLOOKUP(B3624,Sections!$A$5:$I$45,3,FALSE)</x:f>
        <x:v>2024-1</x:v>
      </x:c>
    </x:row>
    <x:row r="3625" ht="21" customHeight="1">
      <x:c r="A3625" s="3" t="str">
        <x:v>2201004</x:v>
      </x:c>
      <x:c r="B3625" s="3" t="str">
        <x:v>SEC037</x:v>
      </x:c>
      <x:c r="C3625" s="3" t="n">
        <x:v>6</x:v>
      </x:c>
      <x:c r="D3625" s="3" t="str">
        <x:v>present</x:v>
      </x:c>
      <x:c r="E3625" s="5" t="str">
        <x:f>VLOOKUP(B3625,Sections!$A$5:$I$45,3,FALSE)</x:f>
        <x:v>2024-1</x:v>
      </x:c>
    </x:row>
    <x:row r="3626" ht="21" customHeight="1">
      <x:c r="A3626" s="3" t="str">
        <x:v>2201004</x:v>
      </x:c>
      <x:c r="B3626" s="3" t="str">
        <x:v>SEC037</x:v>
      </x:c>
      <x:c r="C3626" s="3" t="n">
        <x:v>7</x:v>
      </x:c>
      <x:c r="D3626" s="3" t="str">
        <x:v>present</x:v>
      </x:c>
      <x:c r="E3626" s="5" t="str">
        <x:f>VLOOKUP(B3626,Sections!$A$5:$I$45,3,FALSE)</x:f>
        <x:v>2024-1</x:v>
      </x:c>
    </x:row>
    <x:row r="3627" ht="21" customHeight="1">
      <x:c r="A3627" s="3" t="str">
        <x:v>2201004</x:v>
      </x:c>
      <x:c r="B3627" s="3" t="str">
        <x:v>SEC037</x:v>
      </x:c>
      <x:c r="C3627" s="3" t="n">
        <x:v>8</x:v>
      </x:c>
      <x:c r="D3627" s="3" t="str">
        <x:v>present</x:v>
      </x:c>
      <x:c r="E3627" s="5" t="str">
        <x:f>VLOOKUP(B3627,Sections!$A$5:$I$45,3,FALSE)</x:f>
        <x:v>2024-1</x:v>
      </x:c>
    </x:row>
    <x:row r="3628" ht="21" customHeight="1">
      <x:c r="A3628" s="3" t="str">
        <x:v>2201004</x:v>
      </x:c>
      <x:c r="B3628" s="3" t="str">
        <x:v>SEC037</x:v>
      </x:c>
      <x:c r="C3628" s="3" t="n">
        <x:v>9</x:v>
      </x:c>
      <x:c r="D3628" s="3" t="str">
        <x:v>present</x:v>
      </x:c>
      <x:c r="E3628" s="5" t="str">
        <x:f>VLOOKUP(B3628,Sections!$A$5:$I$45,3,FALSE)</x:f>
        <x:v>2024-1</x:v>
      </x:c>
    </x:row>
    <x:row r="3629" ht="21" customHeight="1">
      <x:c r="A3629" s="3" t="str">
        <x:v>2201004</x:v>
      </x:c>
      <x:c r="B3629" s="3" t="str">
        <x:v>SEC037</x:v>
      </x:c>
      <x:c r="C3629" s="3" t="n">
        <x:v>10</x:v>
      </x:c>
      <x:c r="D3629" s="3" t="str">
        <x:v>present</x:v>
      </x:c>
      <x:c r="E3629" s="5" t="str">
        <x:f>VLOOKUP(B3629,Sections!$A$5:$I$45,3,FALSE)</x:f>
        <x:v>2024-1</x:v>
      </x:c>
    </x:row>
    <x:row r="3630" ht="21" customHeight="1">
      <x:c r="A3630" s="3" t="str">
        <x:v>2201004</x:v>
      </x:c>
      <x:c r="B3630" s="3" t="str">
        <x:v>SEC037</x:v>
      </x:c>
      <x:c r="C3630" s="3" t="n">
        <x:v>11</x:v>
      </x:c>
      <x:c r="D3630" s="3" t="str">
        <x:v>present</x:v>
      </x:c>
      <x:c r="E3630" s="5" t="str">
        <x:f>VLOOKUP(B3630,Sections!$A$5:$I$45,3,FALSE)</x:f>
        <x:v>2024-1</x:v>
      </x:c>
    </x:row>
    <x:row r="3631" ht="21" customHeight="1">
      <x:c r="A3631" s="3" t="str">
        <x:v>2201004</x:v>
      </x:c>
      <x:c r="B3631" s="3" t="str">
        <x:v>SEC037</x:v>
      </x:c>
      <x:c r="C3631" s="3" t="n">
        <x:v>12</x:v>
      </x:c>
      <x:c r="D3631" s="3" t="str">
        <x:v>present</x:v>
      </x:c>
      <x:c r="E3631" s="5" t="str">
        <x:f>VLOOKUP(B3631,Sections!$A$5:$I$45,3,FALSE)</x:f>
        <x:v>2024-1</x:v>
      </x:c>
    </x:row>
    <x:row r="3632" ht="21" customHeight="1">
      <x:c r="A3632" s="3" t="str">
        <x:v>2201004</x:v>
      </x:c>
      <x:c r="B3632" s="3" t="str">
        <x:v>SEC037</x:v>
      </x:c>
      <x:c r="C3632" s="3" t="n">
        <x:v>13</x:v>
      </x:c>
      <x:c r="D3632" s="3" t="str">
        <x:v>present</x:v>
      </x:c>
      <x:c r="E3632" s="5" t="str">
        <x:f>VLOOKUP(B3632,Sections!$A$5:$I$45,3,FALSE)</x:f>
        <x:v>2024-1</x:v>
      </x:c>
    </x:row>
    <x:row r="3633" ht="21" customHeight="1">
      <x:c r="A3633" s="3" t="str">
        <x:v>2201004</x:v>
      </x:c>
      <x:c r="B3633" s="3" t="str">
        <x:v>SEC037</x:v>
      </x:c>
      <x:c r="C3633" s="3" t="n">
        <x:v>14</x:v>
      </x:c>
      <x:c r="D3633" s="3" t="str">
        <x:v>present</x:v>
      </x:c>
      <x:c r="E3633" s="5" t="str">
        <x:f>VLOOKUP(B3633,Sections!$A$5:$I$45,3,FALSE)</x:f>
        <x:v>2024-1</x:v>
      </x:c>
    </x:row>
    <x:row r="3634" ht="21" customHeight="1">
      <x:c r="A3634" s="3" t="str">
        <x:v>2201004</x:v>
      </x:c>
      <x:c r="B3634" s="3" t="str">
        <x:v>SEC037</x:v>
      </x:c>
      <x:c r="C3634" s="3" t="n">
        <x:v>15</x:v>
      </x:c>
      <x:c r="D3634" s="3" t="str">
        <x:v>excused</x:v>
      </x:c>
      <x:c r="E3634" s="5" t="str">
        <x:f>VLOOKUP(B3634,Sections!$A$5:$I$45,3,FALSE)</x:f>
        <x:v>2024-1</x:v>
      </x:c>
    </x:row>
    <x:row r="3635" ht="21" customHeight="1">
      <x:c r="A3635" s="3" t="str">
        <x:v>2201005</x:v>
      </x:c>
      <x:c r="B3635" s="3" t="str">
        <x:v>SEC037</x:v>
      </x:c>
      <x:c r="C3635" s="3" t="n">
        <x:v>1</x:v>
      </x:c>
      <x:c r="D3635" s="3" t="str">
        <x:v>present</x:v>
      </x:c>
      <x:c r="E3635" s="5" t="str">
        <x:f>VLOOKUP(B3635,Sections!$A$5:$I$45,3,FALSE)</x:f>
        <x:v>2024-1</x:v>
      </x:c>
    </x:row>
    <x:row r="3636" ht="21" customHeight="1">
      <x:c r="A3636" s="3" t="str">
        <x:v>2201005</x:v>
      </x:c>
      <x:c r="B3636" s="3" t="str">
        <x:v>SEC037</x:v>
      </x:c>
      <x:c r="C3636" s="3" t="n">
        <x:v>2</x:v>
      </x:c>
      <x:c r="D3636" s="3" t="str">
        <x:v>present</x:v>
      </x:c>
      <x:c r="E3636" s="5" t="str">
        <x:f>VLOOKUP(B3636,Sections!$A$5:$I$45,3,FALSE)</x:f>
        <x:v>2024-1</x:v>
      </x:c>
    </x:row>
    <x:row r="3637" ht="21" customHeight="1">
      <x:c r="A3637" s="3" t="str">
        <x:v>2201005</x:v>
      </x:c>
      <x:c r="B3637" s="3" t="str">
        <x:v>SEC037</x:v>
      </x:c>
      <x:c r="C3637" s="3" t="n">
        <x:v>3</x:v>
      </x:c>
      <x:c r="D3637" s="3" t="str">
        <x:v>absent</x:v>
      </x:c>
      <x:c r="E3637" s="5" t="str">
        <x:f>VLOOKUP(B3637,Sections!$A$5:$I$45,3,FALSE)</x:f>
        <x:v>2024-1</x:v>
      </x:c>
    </x:row>
    <x:row r="3638" ht="21" customHeight="1">
      <x:c r="A3638" s="3" t="str">
        <x:v>2201005</x:v>
      </x:c>
      <x:c r="B3638" s="3" t="str">
        <x:v>SEC037</x:v>
      </x:c>
      <x:c r="C3638" s="3" t="n">
        <x:v>4</x:v>
      </x:c>
      <x:c r="D3638" s="3" t="str">
        <x:v>absent</x:v>
      </x:c>
      <x:c r="E3638" s="5" t="str">
        <x:f>VLOOKUP(B3638,Sections!$A$5:$I$45,3,FALSE)</x:f>
        <x:v>2024-1</x:v>
      </x:c>
    </x:row>
    <x:row r="3639" ht="21" customHeight="1">
      <x:c r="A3639" s="3" t="str">
        <x:v>2201005</x:v>
      </x:c>
      <x:c r="B3639" s="3" t="str">
        <x:v>SEC037</x:v>
      </x:c>
      <x:c r="C3639" s="3" t="n">
        <x:v>5</x:v>
      </x:c>
      <x:c r="D3639" s="3" t="str">
        <x:v>late</x:v>
      </x:c>
      <x:c r="E3639" s="5" t="str">
        <x:f>VLOOKUP(B3639,Sections!$A$5:$I$45,3,FALSE)</x:f>
        <x:v>2024-1</x:v>
      </x:c>
    </x:row>
    <x:row r="3640" ht="21" customHeight="1">
      <x:c r="A3640" s="3" t="str">
        <x:v>2201005</x:v>
      </x:c>
      <x:c r="B3640" s="3" t="str">
        <x:v>SEC037</x:v>
      </x:c>
      <x:c r="C3640" s="3" t="n">
        <x:v>6</x:v>
      </x:c>
      <x:c r="D3640" s="3" t="str">
        <x:v>present</x:v>
      </x:c>
      <x:c r="E3640" s="5" t="str">
        <x:f>VLOOKUP(B3640,Sections!$A$5:$I$45,3,FALSE)</x:f>
        <x:v>2024-1</x:v>
      </x:c>
    </x:row>
    <x:row r="3641" ht="21" customHeight="1">
      <x:c r="A3641" s="3" t="str">
        <x:v>2201005</x:v>
      </x:c>
      <x:c r="B3641" s="3" t="str">
        <x:v>SEC037</x:v>
      </x:c>
      <x:c r="C3641" s="3" t="n">
        <x:v>7</x:v>
      </x:c>
      <x:c r="D3641" s="3" t="str">
        <x:v>present</x:v>
      </x:c>
      <x:c r="E3641" s="5" t="str">
        <x:f>VLOOKUP(B3641,Sections!$A$5:$I$45,3,FALSE)</x:f>
        <x:v>2024-1</x:v>
      </x:c>
    </x:row>
    <x:row r="3642" ht="21" customHeight="1">
      <x:c r="A3642" s="3" t="str">
        <x:v>2201005</x:v>
      </x:c>
      <x:c r="B3642" s="3" t="str">
        <x:v>SEC037</x:v>
      </x:c>
      <x:c r="C3642" s="3" t="n">
        <x:v>8</x:v>
      </x:c>
      <x:c r="D3642" s="3" t="str">
        <x:v>absent</x:v>
      </x:c>
      <x:c r="E3642" s="5" t="str">
        <x:f>VLOOKUP(B3642,Sections!$A$5:$I$45,3,FALSE)</x:f>
        <x:v>2024-1</x:v>
      </x:c>
    </x:row>
    <x:row r="3643" ht="21" customHeight="1">
      <x:c r="A3643" s="3" t="str">
        <x:v>2201005</x:v>
      </x:c>
      <x:c r="B3643" s="3" t="str">
        <x:v>SEC037</x:v>
      </x:c>
      <x:c r="C3643" s="3" t="n">
        <x:v>9</x:v>
      </x:c>
      <x:c r="D3643" s="3" t="str">
        <x:v>excused</x:v>
      </x:c>
      <x:c r="E3643" s="5" t="str">
        <x:f>VLOOKUP(B3643,Sections!$A$5:$I$45,3,FALSE)</x:f>
        <x:v>2024-1</x:v>
      </x:c>
    </x:row>
    <x:row r="3644" ht="21" customHeight="1">
      <x:c r="A3644" s="3" t="str">
        <x:v>2201005</x:v>
      </x:c>
      <x:c r="B3644" s="3" t="str">
        <x:v>SEC037</x:v>
      </x:c>
      <x:c r="C3644" s="3" t="n">
        <x:v>10</x:v>
      </x:c>
      <x:c r="D3644" s="3" t="str">
        <x:v>present</x:v>
      </x:c>
      <x:c r="E3644" s="5" t="str">
        <x:f>VLOOKUP(B3644,Sections!$A$5:$I$45,3,FALSE)</x:f>
        <x:v>2024-1</x:v>
      </x:c>
    </x:row>
    <x:row r="3645" ht="21" customHeight="1">
      <x:c r="A3645" s="3" t="str">
        <x:v>2201005</x:v>
      </x:c>
      <x:c r="B3645" s="3" t="str">
        <x:v>SEC037</x:v>
      </x:c>
      <x:c r="C3645" s="3" t="n">
        <x:v>11</x:v>
      </x:c>
      <x:c r="D3645" s="3" t="str">
        <x:v>present</x:v>
      </x:c>
      <x:c r="E3645" s="5" t="str">
        <x:f>VLOOKUP(B3645,Sections!$A$5:$I$45,3,FALSE)</x:f>
        <x:v>2024-1</x:v>
      </x:c>
    </x:row>
    <x:row r="3646" ht="21" customHeight="1">
      <x:c r="A3646" s="3" t="str">
        <x:v>2201005</x:v>
      </x:c>
      <x:c r="B3646" s="3" t="str">
        <x:v>SEC037</x:v>
      </x:c>
      <x:c r="C3646" s="3" t="n">
        <x:v>12</x:v>
      </x:c>
      <x:c r="D3646" s="3" t="str">
        <x:v>absent</x:v>
      </x:c>
      <x:c r="E3646" s="5" t="str">
        <x:f>VLOOKUP(B3646,Sections!$A$5:$I$45,3,FALSE)</x:f>
        <x:v>2024-1</x:v>
      </x:c>
    </x:row>
    <x:row r="3647" ht="21" customHeight="1">
      <x:c r="A3647" s="3" t="str">
        <x:v>2201005</x:v>
      </x:c>
      <x:c r="B3647" s="3" t="str">
        <x:v>SEC037</x:v>
      </x:c>
      <x:c r="C3647" s="3" t="n">
        <x:v>13</x:v>
      </x:c>
      <x:c r="D3647" s="3" t="str">
        <x:v>late</x:v>
      </x:c>
      <x:c r="E3647" s="5" t="str">
        <x:f>VLOOKUP(B3647,Sections!$A$5:$I$45,3,FALSE)</x:f>
        <x:v>2024-1</x:v>
      </x:c>
    </x:row>
    <x:row r="3648" ht="21" customHeight="1">
      <x:c r="A3648" s="3" t="str">
        <x:v>2201005</x:v>
      </x:c>
      <x:c r="B3648" s="3" t="str">
        <x:v>SEC037</x:v>
      </x:c>
      <x:c r="C3648" s="3" t="n">
        <x:v>14</x:v>
      </x:c>
      <x:c r="D3648" s="3" t="str">
        <x:v>absent</x:v>
      </x:c>
      <x:c r="E3648" s="5" t="str">
        <x:f>VLOOKUP(B3648,Sections!$A$5:$I$45,3,FALSE)</x:f>
        <x:v>2024-1</x:v>
      </x:c>
    </x:row>
    <x:row r="3649" ht="21" customHeight="1">
      <x:c r="A3649" s="3" t="str">
        <x:v>2201005</x:v>
      </x:c>
      <x:c r="B3649" s="3" t="str">
        <x:v>SEC037</x:v>
      </x:c>
      <x:c r="C3649" s="3" t="n">
        <x:v>15</x:v>
      </x:c>
      <x:c r="D3649" s="3" t="str">
        <x:v>present</x:v>
      </x:c>
      <x:c r="E3649" s="5" t="str">
        <x:f>VLOOKUP(B3649,Sections!$A$5:$I$45,3,FALSE)</x:f>
        <x:v>2024-1</x:v>
      </x:c>
    </x:row>
    <x:row r="3650" ht="21" customHeight="1">
      <x:c r="A3650" s="3" t="str">
        <x:v>2201006</x:v>
      </x:c>
      <x:c r="B3650" s="3" t="str">
        <x:v>SEC037</x:v>
      </x:c>
      <x:c r="C3650" s="3" t="n">
        <x:v>1</x:v>
      </x:c>
      <x:c r="D3650" s="3" t="str">
        <x:v>present</x:v>
      </x:c>
      <x:c r="E3650" s="5" t="str">
        <x:f>VLOOKUP(B3650,Sections!$A$5:$I$45,3,FALSE)</x:f>
        <x:v>2024-1</x:v>
      </x:c>
    </x:row>
    <x:row r="3651" ht="21" customHeight="1">
      <x:c r="A3651" s="3" t="str">
        <x:v>2201006</x:v>
      </x:c>
      <x:c r="B3651" s="3" t="str">
        <x:v>SEC037</x:v>
      </x:c>
      <x:c r="C3651" s="3" t="n">
        <x:v>2</x:v>
      </x:c>
      <x:c r="D3651" s="3" t="str">
        <x:v>present</x:v>
      </x:c>
      <x:c r="E3651" s="5" t="str">
        <x:f>VLOOKUP(B3651,Sections!$A$5:$I$45,3,FALSE)</x:f>
        <x:v>2024-1</x:v>
      </x:c>
    </x:row>
    <x:row r="3652" ht="21" customHeight="1">
      <x:c r="A3652" s="3" t="str">
        <x:v>2201006</x:v>
      </x:c>
      <x:c r="B3652" s="3" t="str">
        <x:v>SEC037</x:v>
      </x:c>
      <x:c r="C3652" s="3" t="n">
        <x:v>3</x:v>
      </x:c>
      <x:c r="D3652" s="3" t="str">
        <x:v>present</x:v>
      </x:c>
      <x:c r="E3652" s="5" t="str">
        <x:f>VLOOKUP(B3652,Sections!$A$5:$I$45,3,FALSE)</x:f>
        <x:v>2024-1</x:v>
      </x:c>
    </x:row>
    <x:row r="3653" ht="21" customHeight="1">
      <x:c r="A3653" s="3" t="str">
        <x:v>2201006</x:v>
      </x:c>
      <x:c r="B3653" s="3" t="str">
        <x:v>SEC037</x:v>
      </x:c>
      <x:c r="C3653" s="3" t="n">
        <x:v>4</x:v>
      </x:c>
      <x:c r="D3653" s="3" t="str">
        <x:v>present</x:v>
      </x:c>
      <x:c r="E3653" s="5" t="str">
        <x:f>VLOOKUP(B3653,Sections!$A$5:$I$45,3,FALSE)</x:f>
        <x:v>2024-1</x:v>
      </x:c>
    </x:row>
    <x:row r="3654" ht="21" customHeight="1">
      <x:c r="A3654" s="3" t="str">
        <x:v>2201006</x:v>
      </x:c>
      <x:c r="B3654" s="3" t="str">
        <x:v>SEC037</x:v>
      </x:c>
      <x:c r="C3654" s="3" t="n">
        <x:v>5</x:v>
      </x:c>
      <x:c r="D3654" s="3" t="str">
        <x:v>present</x:v>
      </x:c>
      <x:c r="E3654" s="5" t="str">
        <x:f>VLOOKUP(B3654,Sections!$A$5:$I$45,3,FALSE)</x:f>
        <x:v>2024-1</x:v>
      </x:c>
    </x:row>
    <x:row r="3655" ht="21" customHeight="1">
      <x:c r="A3655" s="3" t="str">
        <x:v>2201006</x:v>
      </x:c>
      <x:c r="B3655" s="3" t="str">
        <x:v>SEC037</x:v>
      </x:c>
      <x:c r="C3655" s="3" t="n">
        <x:v>6</x:v>
      </x:c>
      <x:c r="D3655" s="3" t="str">
        <x:v>present</x:v>
      </x:c>
      <x:c r="E3655" s="5" t="str">
        <x:f>VLOOKUP(B3655,Sections!$A$5:$I$45,3,FALSE)</x:f>
        <x:v>2024-1</x:v>
      </x:c>
    </x:row>
    <x:row r="3656" ht="21" customHeight="1">
      <x:c r="A3656" s="3" t="str">
        <x:v>2201006</x:v>
      </x:c>
      <x:c r="B3656" s="3" t="str">
        <x:v>SEC037</x:v>
      </x:c>
      <x:c r="C3656" s="3" t="n">
        <x:v>7</x:v>
      </x:c>
      <x:c r="D3656" s="3" t="str">
        <x:v>present</x:v>
      </x:c>
      <x:c r="E3656" s="5" t="str">
        <x:f>VLOOKUP(B3656,Sections!$A$5:$I$45,3,FALSE)</x:f>
        <x:v>2024-1</x:v>
      </x:c>
    </x:row>
    <x:row r="3657" ht="21" customHeight="1">
      <x:c r="A3657" s="3" t="str">
        <x:v>2201006</x:v>
      </x:c>
      <x:c r="B3657" s="3" t="str">
        <x:v>SEC037</x:v>
      </x:c>
      <x:c r="C3657" s="3" t="n">
        <x:v>8</x:v>
      </x:c>
      <x:c r="D3657" s="3" t="str">
        <x:v>present</x:v>
      </x:c>
      <x:c r="E3657" s="5" t="str">
        <x:f>VLOOKUP(B3657,Sections!$A$5:$I$45,3,FALSE)</x:f>
        <x:v>2024-1</x:v>
      </x:c>
    </x:row>
    <x:row r="3658" ht="21" customHeight="1">
      <x:c r="A3658" s="3" t="str">
        <x:v>2201006</x:v>
      </x:c>
      <x:c r="B3658" s="3" t="str">
        <x:v>SEC037</x:v>
      </x:c>
      <x:c r="C3658" s="3" t="n">
        <x:v>9</x:v>
      </x:c>
      <x:c r="D3658" s="3" t="str">
        <x:v>present</x:v>
      </x:c>
      <x:c r="E3658" s="5" t="str">
        <x:f>VLOOKUP(B3658,Sections!$A$5:$I$45,3,FALSE)</x:f>
        <x:v>2024-1</x:v>
      </x:c>
    </x:row>
    <x:row r="3659" ht="21" customHeight="1">
      <x:c r="A3659" s="3" t="str">
        <x:v>2201006</x:v>
      </x:c>
      <x:c r="B3659" s="3" t="str">
        <x:v>SEC037</x:v>
      </x:c>
      <x:c r="C3659" s="3" t="n">
        <x:v>10</x:v>
      </x:c>
      <x:c r="D3659" s="3" t="str">
        <x:v>present</x:v>
      </x:c>
      <x:c r="E3659" s="5" t="str">
        <x:f>VLOOKUP(B3659,Sections!$A$5:$I$45,3,FALSE)</x:f>
        <x:v>2024-1</x:v>
      </x:c>
    </x:row>
    <x:row r="3660" ht="21" customHeight="1">
      <x:c r="A3660" s="3" t="str">
        <x:v>2201006</x:v>
      </x:c>
      <x:c r="B3660" s="3" t="str">
        <x:v>SEC037</x:v>
      </x:c>
      <x:c r="C3660" s="3" t="n">
        <x:v>11</x:v>
      </x:c>
      <x:c r="D3660" s="3" t="str">
        <x:v>excused</x:v>
      </x:c>
      <x:c r="E3660" s="5" t="str">
        <x:f>VLOOKUP(B3660,Sections!$A$5:$I$45,3,FALSE)</x:f>
        <x:v>2024-1</x:v>
      </x:c>
    </x:row>
    <x:row r="3661" ht="21" customHeight="1">
      <x:c r="A3661" s="3" t="str">
        <x:v>2201006</x:v>
      </x:c>
      <x:c r="B3661" s="3" t="str">
        <x:v>SEC037</x:v>
      </x:c>
      <x:c r="C3661" s="3" t="n">
        <x:v>12</x:v>
      </x:c>
      <x:c r="D3661" s="3" t="str">
        <x:v>present</x:v>
      </x:c>
      <x:c r="E3661" s="5" t="str">
        <x:f>VLOOKUP(B3661,Sections!$A$5:$I$45,3,FALSE)</x:f>
        <x:v>2024-1</x:v>
      </x:c>
    </x:row>
    <x:row r="3662" ht="21" customHeight="1">
      <x:c r="A3662" s="3" t="str">
        <x:v>2201006</x:v>
      </x:c>
      <x:c r="B3662" s="3" t="str">
        <x:v>SEC037</x:v>
      </x:c>
      <x:c r="C3662" s="3" t="n">
        <x:v>13</x:v>
      </x:c>
      <x:c r="D3662" s="3" t="str">
        <x:v>present</x:v>
      </x:c>
      <x:c r="E3662" s="5" t="str">
        <x:f>VLOOKUP(B3662,Sections!$A$5:$I$45,3,FALSE)</x:f>
        <x:v>2024-1</x:v>
      </x:c>
    </x:row>
    <x:row r="3663" ht="21" customHeight="1">
      <x:c r="A3663" s="3" t="str">
        <x:v>2201006</x:v>
      </x:c>
      <x:c r="B3663" s="3" t="str">
        <x:v>SEC037</x:v>
      </x:c>
      <x:c r="C3663" s="3" t="n">
        <x:v>14</x:v>
      </x:c>
      <x:c r="D3663" s="3" t="str">
        <x:v>present</x:v>
      </x:c>
      <x:c r="E3663" s="5" t="str">
        <x:f>VLOOKUP(B3663,Sections!$A$5:$I$45,3,FALSE)</x:f>
        <x:v>2024-1</x:v>
      </x:c>
    </x:row>
    <x:row r="3664" ht="21" customHeight="1">
      <x:c r="A3664" s="3" t="str">
        <x:v>2201006</x:v>
      </x:c>
      <x:c r="B3664" s="3" t="str">
        <x:v>SEC037</x:v>
      </x:c>
      <x:c r="C3664" s="3" t="n">
        <x:v>15</x:v>
      </x:c>
      <x:c r="D3664" s="3" t="str">
        <x:v>present</x:v>
      </x:c>
      <x:c r="E3664" s="5" t="str">
        <x:f>VLOOKUP(B3664,Sections!$A$5:$I$45,3,FALSE)</x:f>
        <x:v>2024-1</x:v>
      </x:c>
    </x:row>
    <x:row r="3665" ht="21" customHeight="1">
      <x:c r="A3665" s="3" t="str">
        <x:v>2201007</x:v>
      </x:c>
      <x:c r="B3665" s="3" t="str">
        <x:v>SEC037</x:v>
      </x:c>
      <x:c r="C3665" s="3" t="n">
        <x:v>1</x:v>
      </x:c>
      <x:c r="D3665" s="3" t="str">
        <x:v>excused</x:v>
      </x:c>
      <x:c r="E3665" s="5" t="str">
        <x:f>VLOOKUP(B3665,Sections!$A$5:$I$45,3,FALSE)</x:f>
        <x:v>2024-1</x:v>
      </x:c>
    </x:row>
    <x:row r="3666" ht="21" customHeight="1">
      <x:c r="A3666" s="3" t="str">
        <x:v>2201007</x:v>
      </x:c>
      <x:c r="B3666" s="3" t="str">
        <x:v>SEC037</x:v>
      </x:c>
      <x:c r="C3666" s="3" t="n">
        <x:v>2</x:v>
      </x:c>
      <x:c r="D3666" s="3" t="str">
        <x:v>present</x:v>
      </x:c>
      <x:c r="E3666" s="5" t="str">
        <x:f>VLOOKUP(B3666,Sections!$A$5:$I$45,3,FALSE)</x:f>
        <x:v>2024-1</x:v>
      </x:c>
    </x:row>
    <x:row r="3667" ht="21" customHeight="1">
      <x:c r="A3667" s="3" t="str">
        <x:v>2201007</x:v>
      </x:c>
      <x:c r="B3667" s="3" t="str">
        <x:v>SEC037</x:v>
      </x:c>
      <x:c r="C3667" s="3" t="n">
        <x:v>3</x:v>
      </x:c>
      <x:c r="D3667" s="3" t="str">
        <x:v>present</x:v>
      </x:c>
      <x:c r="E3667" s="5" t="str">
        <x:f>VLOOKUP(B3667,Sections!$A$5:$I$45,3,FALSE)</x:f>
        <x:v>2024-1</x:v>
      </x:c>
    </x:row>
    <x:row r="3668" ht="21" customHeight="1">
      <x:c r="A3668" s="3" t="str">
        <x:v>2201007</x:v>
      </x:c>
      <x:c r="B3668" s="3" t="str">
        <x:v>SEC037</x:v>
      </x:c>
      <x:c r="C3668" s="3" t="n">
        <x:v>4</x:v>
      </x:c>
      <x:c r="D3668" s="3" t="str">
        <x:v>present</x:v>
      </x:c>
      <x:c r="E3668" s="5" t="str">
        <x:f>VLOOKUP(B3668,Sections!$A$5:$I$45,3,FALSE)</x:f>
        <x:v>2024-1</x:v>
      </x:c>
    </x:row>
    <x:row r="3669" ht="21" customHeight="1">
      <x:c r="A3669" s="3" t="str">
        <x:v>2201007</x:v>
      </x:c>
      <x:c r="B3669" s="3" t="str">
        <x:v>SEC037</x:v>
      </x:c>
      <x:c r="C3669" s="3" t="n">
        <x:v>5</x:v>
      </x:c>
      <x:c r="D3669" s="3" t="str">
        <x:v>present</x:v>
      </x:c>
      <x:c r="E3669" s="5" t="str">
        <x:f>VLOOKUP(B3669,Sections!$A$5:$I$45,3,FALSE)</x:f>
        <x:v>2024-1</x:v>
      </x:c>
    </x:row>
    <x:row r="3670" ht="21" customHeight="1">
      <x:c r="A3670" s="3" t="str">
        <x:v>2201007</x:v>
      </x:c>
      <x:c r="B3670" s="3" t="str">
        <x:v>SEC037</x:v>
      </x:c>
      <x:c r="C3670" s="3" t="n">
        <x:v>6</x:v>
      </x:c>
      <x:c r="D3670" s="3" t="str">
        <x:v>present</x:v>
      </x:c>
      <x:c r="E3670" s="5" t="str">
        <x:f>VLOOKUP(B3670,Sections!$A$5:$I$45,3,FALSE)</x:f>
        <x:v>2024-1</x:v>
      </x:c>
    </x:row>
    <x:row r="3671" ht="21" customHeight="1">
      <x:c r="A3671" s="3" t="str">
        <x:v>2201007</x:v>
      </x:c>
      <x:c r="B3671" s="3" t="str">
        <x:v>SEC037</x:v>
      </x:c>
      <x:c r="C3671" s="3" t="n">
        <x:v>7</x:v>
      </x:c>
      <x:c r="D3671" s="3" t="str">
        <x:v>present</x:v>
      </x:c>
      <x:c r="E3671" s="5" t="str">
        <x:f>VLOOKUP(B3671,Sections!$A$5:$I$45,3,FALSE)</x:f>
        <x:v>2024-1</x:v>
      </x:c>
    </x:row>
    <x:row r="3672" ht="21" customHeight="1">
      <x:c r="A3672" s="3" t="str">
        <x:v>2201007</x:v>
      </x:c>
      <x:c r="B3672" s="3" t="str">
        <x:v>SEC037</x:v>
      </x:c>
      <x:c r="C3672" s="3" t="n">
        <x:v>8</x:v>
      </x:c>
      <x:c r="D3672" s="3" t="str">
        <x:v>present</x:v>
      </x:c>
      <x:c r="E3672" s="5" t="str">
        <x:f>VLOOKUP(B3672,Sections!$A$5:$I$45,3,FALSE)</x:f>
        <x:v>2024-1</x:v>
      </x:c>
    </x:row>
    <x:row r="3673" ht="21" customHeight="1">
      <x:c r="A3673" s="3" t="str">
        <x:v>2201007</x:v>
      </x:c>
      <x:c r="B3673" s="3" t="str">
        <x:v>SEC037</x:v>
      </x:c>
      <x:c r="C3673" s="3" t="n">
        <x:v>9</x:v>
      </x:c>
      <x:c r="D3673" s="3" t="str">
        <x:v>present</x:v>
      </x:c>
      <x:c r="E3673" s="5" t="str">
        <x:f>VLOOKUP(B3673,Sections!$A$5:$I$45,3,FALSE)</x:f>
        <x:v>2024-1</x:v>
      </x:c>
    </x:row>
    <x:row r="3674" ht="21" customHeight="1">
      <x:c r="A3674" s="3" t="str">
        <x:v>2201007</x:v>
      </x:c>
      <x:c r="B3674" s="3" t="str">
        <x:v>SEC037</x:v>
      </x:c>
      <x:c r="C3674" s="3" t="n">
        <x:v>10</x:v>
      </x:c>
      <x:c r="D3674" s="3" t="str">
        <x:v>present</x:v>
      </x:c>
      <x:c r="E3674" s="5" t="str">
        <x:f>VLOOKUP(B3674,Sections!$A$5:$I$45,3,FALSE)</x:f>
        <x:v>2024-1</x:v>
      </x:c>
    </x:row>
    <x:row r="3675" ht="21" customHeight="1">
      <x:c r="A3675" s="3" t="str">
        <x:v>2201007</x:v>
      </x:c>
      <x:c r="B3675" s="3" t="str">
        <x:v>SEC037</x:v>
      </x:c>
      <x:c r="C3675" s="3" t="n">
        <x:v>11</x:v>
      </x:c>
      <x:c r="D3675" s="3" t="str">
        <x:v>present</x:v>
      </x:c>
      <x:c r="E3675" s="5" t="str">
        <x:f>VLOOKUP(B3675,Sections!$A$5:$I$45,3,FALSE)</x:f>
        <x:v>2024-1</x:v>
      </x:c>
    </x:row>
    <x:row r="3676" ht="21" customHeight="1">
      <x:c r="A3676" s="3" t="str">
        <x:v>2201007</x:v>
      </x:c>
      <x:c r="B3676" s="3" t="str">
        <x:v>SEC037</x:v>
      </x:c>
      <x:c r="C3676" s="3" t="n">
        <x:v>12</x:v>
      </x:c>
      <x:c r="D3676" s="3" t="str">
        <x:v>present</x:v>
      </x:c>
      <x:c r="E3676" s="5" t="str">
        <x:f>VLOOKUP(B3676,Sections!$A$5:$I$45,3,FALSE)</x:f>
        <x:v>2024-1</x:v>
      </x:c>
    </x:row>
    <x:row r="3677" ht="21" customHeight="1">
      <x:c r="A3677" s="3" t="str">
        <x:v>2201007</x:v>
      </x:c>
      <x:c r="B3677" s="3" t="str">
        <x:v>SEC037</x:v>
      </x:c>
      <x:c r="C3677" s="3" t="n">
        <x:v>13</x:v>
      </x:c>
      <x:c r="D3677" s="3" t="str">
        <x:v>present</x:v>
      </x:c>
      <x:c r="E3677" s="5" t="str">
        <x:f>VLOOKUP(B3677,Sections!$A$5:$I$45,3,FALSE)</x:f>
        <x:v>2024-1</x:v>
      </x:c>
    </x:row>
    <x:row r="3678" ht="21" customHeight="1">
      <x:c r="A3678" s="3" t="str">
        <x:v>2201007</x:v>
      </x:c>
      <x:c r="B3678" s="3" t="str">
        <x:v>SEC037</x:v>
      </x:c>
      <x:c r="C3678" s="3" t="n">
        <x:v>14</x:v>
      </x:c>
      <x:c r="D3678" s="3" t="str">
        <x:v>absent</x:v>
      </x:c>
      <x:c r="E3678" s="5" t="str">
        <x:f>VLOOKUP(B3678,Sections!$A$5:$I$45,3,FALSE)</x:f>
        <x:v>2024-1</x:v>
      </x:c>
    </x:row>
    <x:row r="3679" ht="21" customHeight="1">
      <x:c r="A3679" s="3" t="str">
        <x:v>2201007</x:v>
      </x:c>
      <x:c r="B3679" s="3" t="str">
        <x:v>SEC037</x:v>
      </x:c>
      <x:c r="C3679" s="3" t="n">
        <x:v>15</x:v>
      </x:c>
      <x:c r="D3679" s="3" t="str">
        <x:v>present</x:v>
      </x:c>
      <x:c r="E3679" s="5" t="str">
        <x:f>VLOOKUP(B3679,Sections!$A$5:$I$45,3,FALSE)</x:f>
        <x:v>2024-1</x:v>
      </x:c>
    </x:row>
    <x:row r="3680" ht="21" customHeight="1">
      <x:c r="A3680" s="3" t="str">
        <x:v>2201008</x:v>
      </x:c>
      <x:c r="B3680" s="3" t="str">
        <x:v>SEC037</x:v>
      </x:c>
      <x:c r="C3680" s="3" t="n">
        <x:v>1</x:v>
      </x:c>
      <x:c r="D3680" s="3" t="str">
        <x:v>present</x:v>
      </x:c>
      <x:c r="E3680" s="5" t="str">
        <x:f>VLOOKUP(B3680,Sections!$A$5:$I$45,3,FALSE)</x:f>
        <x:v>2024-1</x:v>
      </x:c>
    </x:row>
    <x:row r="3681" ht="21" customHeight="1">
      <x:c r="A3681" s="3" t="str">
        <x:v>2201008</x:v>
      </x:c>
      <x:c r="B3681" s="3" t="str">
        <x:v>SEC037</x:v>
      </x:c>
      <x:c r="C3681" s="3" t="n">
        <x:v>2</x:v>
      </x:c>
      <x:c r="D3681" s="3" t="str">
        <x:v>excused</x:v>
      </x:c>
      <x:c r="E3681" s="5" t="str">
        <x:f>VLOOKUP(B3681,Sections!$A$5:$I$45,3,FALSE)</x:f>
        <x:v>2024-1</x:v>
      </x:c>
    </x:row>
    <x:row r="3682" ht="21" customHeight="1">
      <x:c r="A3682" s="3" t="str">
        <x:v>2201008</x:v>
      </x:c>
      <x:c r="B3682" s="3" t="str">
        <x:v>SEC037</x:v>
      </x:c>
      <x:c r="C3682" s="3" t="n">
        <x:v>3</x:v>
      </x:c>
      <x:c r="D3682" s="3" t="str">
        <x:v>present</x:v>
      </x:c>
      <x:c r="E3682" s="5" t="str">
        <x:f>VLOOKUP(B3682,Sections!$A$5:$I$45,3,FALSE)</x:f>
        <x:v>2024-1</x:v>
      </x:c>
    </x:row>
    <x:row r="3683" ht="21" customHeight="1">
      <x:c r="A3683" s="3" t="str">
        <x:v>2201008</x:v>
      </x:c>
      <x:c r="B3683" s="3" t="str">
        <x:v>SEC037</x:v>
      </x:c>
      <x:c r="C3683" s="3" t="n">
        <x:v>4</x:v>
      </x:c>
      <x:c r="D3683" s="3" t="str">
        <x:v>present</x:v>
      </x:c>
      <x:c r="E3683" s="5" t="str">
        <x:f>VLOOKUP(B3683,Sections!$A$5:$I$45,3,FALSE)</x:f>
        <x:v>2024-1</x:v>
      </x:c>
    </x:row>
    <x:row r="3684" ht="21" customHeight="1">
      <x:c r="A3684" s="3" t="str">
        <x:v>2201008</x:v>
      </x:c>
      <x:c r="B3684" s="3" t="str">
        <x:v>SEC037</x:v>
      </x:c>
      <x:c r="C3684" s="3" t="n">
        <x:v>5</x:v>
      </x:c>
      <x:c r="D3684" s="3" t="str">
        <x:v>present</x:v>
      </x:c>
      <x:c r="E3684" s="5" t="str">
        <x:f>VLOOKUP(B3684,Sections!$A$5:$I$45,3,FALSE)</x:f>
        <x:v>2024-1</x:v>
      </x:c>
    </x:row>
    <x:row r="3685" ht="21" customHeight="1">
      <x:c r="A3685" s="3" t="str">
        <x:v>2201008</x:v>
      </x:c>
      <x:c r="B3685" s="3" t="str">
        <x:v>SEC037</x:v>
      </x:c>
      <x:c r="C3685" s="3" t="n">
        <x:v>6</x:v>
      </x:c>
      <x:c r="D3685" s="3" t="str">
        <x:v>present</x:v>
      </x:c>
      <x:c r="E3685" s="5" t="str">
        <x:f>VLOOKUP(B3685,Sections!$A$5:$I$45,3,FALSE)</x:f>
        <x:v>2024-1</x:v>
      </x:c>
    </x:row>
    <x:row r="3686" ht="21" customHeight="1">
      <x:c r="A3686" s="3" t="str">
        <x:v>2201008</x:v>
      </x:c>
      <x:c r="B3686" s="3" t="str">
        <x:v>SEC037</x:v>
      </x:c>
      <x:c r="C3686" s="3" t="n">
        <x:v>7</x:v>
      </x:c>
      <x:c r="D3686" s="3" t="str">
        <x:v>present</x:v>
      </x:c>
      <x:c r="E3686" s="5" t="str">
        <x:f>VLOOKUP(B3686,Sections!$A$5:$I$45,3,FALSE)</x:f>
        <x:v>2024-1</x:v>
      </x:c>
    </x:row>
    <x:row r="3687" ht="21" customHeight="1">
      <x:c r="A3687" s="3" t="str">
        <x:v>2201008</x:v>
      </x:c>
      <x:c r="B3687" s="3" t="str">
        <x:v>SEC037</x:v>
      </x:c>
      <x:c r="C3687" s="3" t="n">
        <x:v>8</x:v>
      </x:c>
      <x:c r="D3687" s="3" t="str">
        <x:v>present</x:v>
      </x:c>
      <x:c r="E3687" s="5" t="str">
        <x:f>VLOOKUP(B3687,Sections!$A$5:$I$45,3,FALSE)</x:f>
        <x:v>2024-1</x:v>
      </x:c>
    </x:row>
    <x:row r="3688" ht="21" customHeight="1">
      <x:c r="A3688" s="3" t="str">
        <x:v>2201008</x:v>
      </x:c>
      <x:c r="B3688" s="3" t="str">
        <x:v>SEC037</x:v>
      </x:c>
      <x:c r="C3688" s="3" t="n">
        <x:v>9</x:v>
      </x:c>
      <x:c r="D3688" s="3" t="str">
        <x:v>present</x:v>
      </x:c>
      <x:c r="E3688" s="5" t="str">
        <x:f>VLOOKUP(B3688,Sections!$A$5:$I$45,3,FALSE)</x:f>
        <x:v>2024-1</x:v>
      </x:c>
    </x:row>
    <x:row r="3689" ht="21" customHeight="1">
      <x:c r="A3689" s="3" t="str">
        <x:v>2201008</x:v>
      </x:c>
      <x:c r="B3689" s="3" t="str">
        <x:v>SEC037</x:v>
      </x:c>
      <x:c r="C3689" s="3" t="n">
        <x:v>10</x:v>
      </x:c>
      <x:c r="D3689" s="3" t="str">
        <x:v>present</x:v>
      </x:c>
      <x:c r="E3689" s="5" t="str">
        <x:f>VLOOKUP(B3689,Sections!$A$5:$I$45,3,FALSE)</x:f>
        <x:v>2024-1</x:v>
      </x:c>
    </x:row>
    <x:row r="3690" ht="21" customHeight="1">
      <x:c r="A3690" s="3" t="str">
        <x:v>2201008</x:v>
      </x:c>
      <x:c r="B3690" s="3" t="str">
        <x:v>SEC037</x:v>
      </x:c>
      <x:c r="C3690" s="3" t="n">
        <x:v>11</x:v>
      </x:c>
      <x:c r="D3690" s="3" t="str">
        <x:v>late</x:v>
      </x:c>
      <x:c r="E3690" s="5" t="str">
        <x:f>VLOOKUP(B3690,Sections!$A$5:$I$45,3,FALSE)</x:f>
        <x:v>2024-1</x:v>
      </x:c>
    </x:row>
    <x:row r="3691" ht="21" customHeight="1">
      <x:c r="A3691" s="3" t="str">
        <x:v>2201008</x:v>
      </x:c>
      <x:c r="B3691" s="3" t="str">
        <x:v>SEC037</x:v>
      </x:c>
      <x:c r="C3691" s="3" t="n">
        <x:v>12</x:v>
      </x:c>
      <x:c r="D3691" s="3" t="str">
        <x:v>absent</x:v>
      </x:c>
      <x:c r="E3691" s="5" t="str">
        <x:f>VLOOKUP(B3691,Sections!$A$5:$I$45,3,FALSE)</x:f>
        <x:v>2024-1</x:v>
      </x:c>
    </x:row>
    <x:row r="3692" ht="21" customHeight="1">
      <x:c r="A3692" s="3" t="str">
        <x:v>2201008</x:v>
      </x:c>
      <x:c r="B3692" s="3" t="str">
        <x:v>SEC037</x:v>
      </x:c>
      <x:c r="C3692" s="3" t="n">
        <x:v>13</x:v>
      </x:c>
      <x:c r="D3692" s="3" t="str">
        <x:v>present</x:v>
      </x:c>
      <x:c r="E3692" s="5" t="str">
        <x:f>VLOOKUP(B3692,Sections!$A$5:$I$45,3,FALSE)</x:f>
        <x:v>2024-1</x:v>
      </x:c>
    </x:row>
    <x:row r="3693" ht="21" customHeight="1">
      <x:c r="A3693" s="3" t="str">
        <x:v>2201008</x:v>
      </x:c>
      <x:c r="B3693" s="3" t="str">
        <x:v>SEC037</x:v>
      </x:c>
      <x:c r="C3693" s="3" t="n">
        <x:v>14</x:v>
      </x:c>
      <x:c r="D3693" s="3" t="str">
        <x:v>present</x:v>
      </x:c>
      <x:c r="E3693" s="5" t="str">
        <x:f>VLOOKUP(B3693,Sections!$A$5:$I$45,3,FALSE)</x:f>
        <x:v>2024-1</x:v>
      </x:c>
    </x:row>
    <x:row r="3694" ht="21" customHeight="1">
      <x:c r="A3694" s="3" t="str">
        <x:v>2201008</x:v>
      </x:c>
      <x:c r="B3694" s="3" t="str">
        <x:v>SEC037</x:v>
      </x:c>
      <x:c r="C3694" s="3" t="n">
        <x:v>15</x:v>
      </x:c>
      <x:c r="D3694" s="3" t="str">
        <x:v>present</x:v>
      </x:c>
      <x:c r="E3694" s="5" t="str">
        <x:f>VLOOKUP(B3694,Sections!$A$5:$I$45,3,FALSE)</x:f>
        <x:v>2024-1</x:v>
      </x:c>
    </x:row>
    <x:row r="3695" ht="21" customHeight="1">
      <x:c r="A3695" s="3" t="str">
        <x:v>2201009</x:v>
      </x:c>
      <x:c r="B3695" s="3" t="str">
        <x:v>SEC037</x:v>
      </x:c>
      <x:c r="C3695" s="3" t="n">
        <x:v>1</x:v>
      </x:c>
      <x:c r="D3695" s="3" t="str">
        <x:v>present</x:v>
      </x:c>
      <x:c r="E3695" s="5" t="str">
        <x:f>VLOOKUP(B3695,Sections!$A$5:$I$45,3,FALSE)</x:f>
        <x:v>2024-1</x:v>
      </x:c>
    </x:row>
    <x:row r="3696" ht="21" customHeight="1">
      <x:c r="A3696" s="3" t="str">
        <x:v>2201009</x:v>
      </x:c>
      <x:c r="B3696" s="3" t="str">
        <x:v>SEC037</x:v>
      </x:c>
      <x:c r="C3696" s="3" t="n">
        <x:v>2</x:v>
      </x:c>
      <x:c r="D3696" s="3" t="str">
        <x:v>present</x:v>
      </x:c>
      <x:c r="E3696" s="5" t="str">
        <x:f>VLOOKUP(B3696,Sections!$A$5:$I$45,3,FALSE)</x:f>
        <x:v>2024-1</x:v>
      </x:c>
    </x:row>
    <x:row r="3697" ht="21" customHeight="1">
      <x:c r="A3697" s="3" t="str">
        <x:v>2201009</x:v>
      </x:c>
      <x:c r="B3697" s="3" t="str">
        <x:v>SEC037</x:v>
      </x:c>
      <x:c r="C3697" s="3" t="n">
        <x:v>3</x:v>
      </x:c>
      <x:c r="D3697" s="3" t="str">
        <x:v>present</x:v>
      </x:c>
      <x:c r="E3697" s="5" t="str">
        <x:f>VLOOKUP(B3697,Sections!$A$5:$I$45,3,FALSE)</x:f>
        <x:v>2024-1</x:v>
      </x:c>
    </x:row>
    <x:row r="3698" ht="21" customHeight="1">
      <x:c r="A3698" s="3" t="str">
        <x:v>2201009</x:v>
      </x:c>
      <x:c r="B3698" s="3" t="str">
        <x:v>SEC037</x:v>
      </x:c>
      <x:c r="C3698" s="3" t="n">
        <x:v>4</x:v>
      </x:c>
      <x:c r="D3698" s="3" t="str">
        <x:v>present</x:v>
      </x:c>
      <x:c r="E3698" s="5" t="str">
        <x:f>VLOOKUP(B3698,Sections!$A$5:$I$45,3,FALSE)</x:f>
        <x:v>2024-1</x:v>
      </x:c>
    </x:row>
    <x:row r="3699" ht="21" customHeight="1">
      <x:c r="A3699" s="3" t="str">
        <x:v>2201009</x:v>
      </x:c>
      <x:c r="B3699" s="3" t="str">
        <x:v>SEC037</x:v>
      </x:c>
      <x:c r="C3699" s="3" t="n">
        <x:v>5</x:v>
      </x:c>
      <x:c r="D3699" s="3" t="str">
        <x:v>present</x:v>
      </x:c>
      <x:c r="E3699" s="5" t="str">
        <x:f>VLOOKUP(B3699,Sections!$A$5:$I$45,3,FALSE)</x:f>
        <x:v>2024-1</x:v>
      </x:c>
    </x:row>
    <x:row r="3700" ht="21" customHeight="1">
      <x:c r="A3700" s="3" t="str">
        <x:v>2201009</x:v>
      </x:c>
      <x:c r="B3700" s="3" t="str">
        <x:v>SEC037</x:v>
      </x:c>
      <x:c r="C3700" s="3" t="n">
        <x:v>6</x:v>
      </x:c>
      <x:c r="D3700" s="3" t="str">
        <x:v>present</x:v>
      </x:c>
      <x:c r="E3700" s="5" t="str">
        <x:f>VLOOKUP(B3700,Sections!$A$5:$I$45,3,FALSE)</x:f>
        <x:v>2024-1</x:v>
      </x:c>
    </x:row>
    <x:row r="3701" ht="21" customHeight="1">
      <x:c r="A3701" s="3" t="str">
        <x:v>2201009</x:v>
      </x:c>
      <x:c r="B3701" s="3" t="str">
        <x:v>SEC037</x:v>
      </x:c>
      <x:c r="C3701" s="3" t="n">
        <x:v>7</x:v>
      </x:c>
      <x:c r="D3701" s="3" t="str">
        <x:v>present</x:v>
      </x:c>
      <x:c r="E3701" s="5" t="str">
        <x:f>VLOOKUP(B3701,Sections!$A$5:$I$45,3,FALSE)</x:f>
        <x:v>2024-1</x:v>
      </x:c>
    </x:row>
    <x:row r="3702" ht="21" customHeight="1">
      <x:c r="A3702" s="3" t="str">
        <x:v>2201009</x:v>
      </x:c>
      <x:c r="B3702" s="3" t="str">
        <x:v>SEC037</x:v>
      </x:c>
      <x:c r="C3702" s="3" t="n">
        <x:v>8</x:v>
      </x:c>
      <x:c r="D3702" s="3" t="str">
        <x:v>present</x:v>
      </x:c>
      <x:c r="E3702" s="5" t="str">
        <x:f>VLOOKUP(B3702,Sections!$A$5:$I$45,3,FALSE)</x:f>
        <x:v>2024-1</x:v>
      </x:c>
    </x:row>
    <x:row r="3703" ht="21" customHeight="1">
      <x:c r="A3703" s="3" t="str">
        <x:v>2201009</x:v>
      </x:c>
      <x:c r="B3703" s="3" t="str">
        <x:v>SEC037</x:v>
      </x:c>
      <x:c r="C3703" s="3" t="n">
        <x:v>9</x:v>
      </x:c>
      <x:c r="D3703" s="3" t="str">
        <x:v>present</x:v>
      </x:c>
      <x:c r="E3703" s="5" t="str">
        <x:f>VLOOKUP(B3703,Sections!$A$5:$I$45,3,FALSE)</x:f>
        <x:v>2024-1</x:v>
      </x:c>
    </x:row>
    <x:row r="3704" ht="21" customHeight="1">
      <x:c r="A3704" s="3" t="str">
        <x:v>2201009</x:v>
      </x:c>
      <x:c r="B3704" s="3" t="str">
        <x:v>SEC037</x:v>
      </x:c>
      <x:c r="C3704" s="3" t="n">
        <x:v>10</x:v>
      </x:c>
      <x:c r="D3704" s="3" t="str">
        <x:v>present</x:v>
      </x:c>
      <x:c r="E3704" s="5" t="str">
        <x:f>VLOOKUP(B3704,Sections!$A$5:$I$45,3,FALSE)</x:f>
        <x:v>2024-1</x:v>
      </x:c>
    </x:row>
    <x:row r="3705" ht="21" customHeight="1">
      <x:c r="A3705" s="3" t="str">
        <x:v>2201009</x:v>
      </x:c>
      <x:c r="B3705" s="3" t="str">
        <x:v>SEC037</x:v>
      </x:c>
      <x:c r="C3705" s="3" t="n">
        <x:v>11</x:v>
      </x:c>
      <x:c r="D3705" s="3" t="str">
        <x:v>present</x:v>
      </x:c>
      <x:c r="E3705" s="5" t="str">
        <x:f>VLOOKUP(B3705,Sections!$A$5:$I$45,3,FALSE)</x:f>
        <x:v>2024-1</x:v>
      </x:c>
    </x:row>
    <x:row r="3706" ht="21" customHeight="1">
      <x:c r="A3706" s="3" t="str">
        <x:v>2201009</x:v>
      </x:c>
      <x:c r="B3706" s="3" t="str">
        <x:v>SEC037</x:v>
      </x:c>
      <x:c r="C3706" s="3" t="n">
        <x:v>12</x:v>
      </x:c>
      <x:c r="D3706" s="3" t="str">
        <x:v>present</x:v>
      </x:c>
      <x:c r="E3706" s="5" t="str">
        <x:f>VLOOKUP(B3706,Sections!$A$5:$I$45,3,FALSE)</x:f>
        <x:v>2024-1</x:v>
      </x:c>
    </x:row>
    <x:row r="3707" ht="21" customHeight="1">
      <x:c r="A3707" s="3" t="str">
        <x:v>2201009</x:v>
      </x:c>
      <x:c r="B3707" s="3" t="str">
        <x:v>SEC037</x:v>
      </x:c>
      <x:c r="C3707" s="3" t="n">
        <x:v>13</x:v>
      </x:c>
      <x:c r="D3707" s="3" t="str">
        <x:v>present</x:v>
      </x:c>
      <x:c r="E3707" s="5" t="str">
        <x:f>VLOOKUP(B3707,Sections!$A$5:$I$45,3,FALSE)</x:f>
        <x:v>2024-1</x:v>
      </x:c>
    </x:row>
    <x:row r="3708" ht="21" customHeight="1">
      <x:c r="A3708" s="3" t="str">
        <x:v>2201009</x:v>
      </x:c>
      <x:c r="B3708" s="3" t="str">
        <x:v>SEC037</x:v>
      </x:c>
      <x:c r="C3708" s="3" t="n">
        <x:v>14</x:v>
      </x:c>
      <x:c r="D3708" s="3" t="str">
        <x:v>present</x:v>
      </x:c>
      <x:c r="E3708" s="5" t="str">
        <x:f>VLOOKUP(B3708,Sections!$A$5:$I$45,3,FALSE)</x:f>
        <x:v>2024-1</x:v>
      </x:c>
    </x:row>
    <x:row r="3709" ht="21" customHeight="1">
      <x:c r="A3709" s="3" t="str">
        <x:v>2201009</x:v>
      </x:c>
      <x:c r="B3709" s="3" t="str">
        <x:v>SEC037</x:v>
      </x:c>
      <x:c r="C3709" s="3" t="n">
        <x:v>15</x:v>
      </x:c>
      <x:c r="D3709" s="3" t="str">
        <x:v>present</x:v>
      </x:c>
      <x:c r="E3709" s="5" t="str">
        <x:f>VLOOKUP(B3709,Sections!$A$5:$I$45,3,FALSE)</x:f>
        <x:v>2024-1</x:v>
      </x:c>
    </x:row>
    <x:row r="3710" ht="21" customHeight="1">
      <x:c r="A3710" s="3" t="str">
        <x:v>2201010</x:v>
      </x:c>
      <x:c r="B3710" s="3" t="str">
        <x:v>SEC037</x:v>
      </x:c>
      <x:c r="C3710" s="3" t="n">
        <x:v>1</x:v>
      </x:c>
      <x:c r="D3710" s="3" t="str">
        <x:v>absent</x:v>
      </x:c>
      <x:c r="E3710" s="5" t="str">
        <x:f>VLOOKUP(B3710,Sections!$A$5:$I$45,3,FALSE)</x:f>
        <x:v>2024-1</x:v>
      </x:c>
    </x:row>
    <x:row r="3711" ht="21" customHeight="1">
      <x:c r="A3711" s="3" t="str">
        <x:v>2201010</x:v>
      </x:c>
      <x:c r="B3711" s="3" t="str">
        <x:v>SEC037</x:v>
      </x:c>
      <x:c r="C3711" s="3" t="n">
        <x:v>2</x:v>
      </x:c>
      <x:c r="D3711" s="3" t="str">
        <x:v>excused</x:v>
      </x:c>
      <x:c r="E3711" s="5" t="str">
        <x:f>VLOOKUP(B3711,Sections!$A$5:$I$45,3,FALSE)</x:f>
        <x:v>2024-1</x:v>
      </x:c>
    </x:row>
    <x:row r="3712" ht="21" customHeight="1">
      <x:c r="A3712" s="3" t="str">
        <x:v>2201010</x:v>
      </x:c>
      <x:c r="B3712" s="3" t="str">
        <x:v>SEC037</x:v>
      </x:c>
      <x:c r="C3712" s="3" t="n">
        <x:v>3</x:v>
      </x:c>
      <x:c r="D3712" s="3" t="str">
        <x:v>present</x:v>
      </x:c>
      <x:c r="E3712" s="5" t="str">
        <x:f>VLOOKUP(B3712,Sections!$A$5:$I$45,3,FALSE)</x:f>
        <x:v>2024-1</x:v>
      </x:c>
    </x:row>
    <x:row r="3713" ht="21" customHeight="1">
      <x:c r="A3713" s="3" t="str">
        <x:v>2201010</x:v>
      </x:c>
      <x:c r="B3713" s="3" t="str">
        <x:v>SEC037</x:v>
      </x:c>
      <x:c r="C3713" s="3" t="n">
        <x:v>4</x:v>
      </x:c>
      <x:c r="D3713" s="3" t="str">
        <x:v>late</x:v>
      </x:c>
      <x:c r="E3713" s="5" t="str">
        <x:f>VLOOKUP(B3713,Sections!$A$5:$I$45,3,FALSE)</x:f>
        <x:v>2024-1</x:v>
      </x:c>
    </x:row>
    <x:row r="3714" ht="21" customHeight="1">
      <x:c r="A3714" s="3" t="str">
        <x:v>2201010</x:v>
      </x:c>
      <x:c r="B3714" s="3" t="str">
        <x:v>SEC037</x:v>
      </x:c>
      <x:c r="C3714" s="3" t="n">
        <x:v>5</x:v>
      </x:c>
      <x:c r="D3714" s="3" t="str">
        <x:v>absent</x:v>
      </x:c>
      <x:c r="E3714" s="5" t="str">
        <x:f>VLOOKUP(B3714,Sections!$A$5:$I$45,3,FALSE)</x:f>
        <x:v>2024-1</x:v>
      </x:c>
    </x:row>
    <x:row r="3715" ht="21" customHeight="1">
      <x:c r="A3715" s="3" t="str">
        <x:v>2201010</x:v>
      </x:c>
      <x:c r="B3715" s="3" t="str">
        <x:v>SEC037</x:v>
      </x:c>
      <x:c r="C3715" s="3" t="n">
        <x:v>6</x:v>
      </x:c>
      <x:c r="D3715" s="3" t="str">
        <x:v>present</x:v>
      </x:c>
      <x:c r="E3715" s="5" t="str">
        <x:f>VLOOKUP(B3715,Sections!$A$5:$I$45,3,FALSE)</x:f>
        <x:v>2024-1</x:v>
      </x:c>
    </x:row>
    <x:row r="3716" ht="21" customHeight="1">
      <x:c r="A3716" s="3" t="str">
        <x:v>2201010</x:v>
      </x:c>
      <x:c r="B3716" s="3" t="str">
        <x:v>SEC037</x:v>
      </x:c>
      <x:c r="C3716" s="3" t="n">
        <x:v>7</x:v>
      </x:c>
      <x:c r="D3716" s="3" t="str">
        <x:v>present</x:v>
      </x:c>
      <x:c r="E3716" s="5" t="str">
        <x:f>VLOOKUP(B3716,Sections!$A$5:$I$45,3,FALSE)</x:f>
        <x:v>2024-1</x:v>
      </x:c>
    </x:row>
    <x:row r="3717" ht="21" customHeight="1">
      <x:c r="A3717" s="3" t="str">
        <x:v>2201010</x:v>
      </x:c>
      <x:c r="B3717" s="3" t="str">
        <x:v>SEC037</x:v>
      </x:c>
      <x:c r="C3717" s="3" t="n">
        <x:v>8</x:v>
      </x:c>
      <x:c r="D3717" s="3" t="str">
        <x:v>present</x:v>
      </x:c>
      <x:c r="E3717" s="5" t="str">
        <x:f>VLOOKUP(B3717,Sections!$A$5:$I$45,3,FALSE)</x:f>
        <x:v>2024-1</x:v>
      </x:c>
    </x:row>
    <x:row r="3718" ht="21" customHeight="1">
      <x:c r="A3718" s="3" t="str">
        <x:v>2201010</x:v>
      </x:c>
      <x:c r="B3718" s="3" t="str">
        <x:v>SEC037</x:v>
      </x:c>
      <x:c r="C3718" s="3" t="n">
        <x:v>9</x:v>
      </x:c>
      <x:c r="D3718" s="3" t="str">
        <x:v>present</x:v>
      </x:c>
      <x:c r="E3718" s="5" t="str">
        <x:f>VLOOKUP(B3718,Sections!$A$5:$I$45,3,FALSE)</x:f>
        <x:v>2024-1</x:v>
      </x:c>
    </x:row>
    <x:row r="3719" ht="21" customHeight="1">
      <x:c r="A3719" s="3" t="str">
        <x:v>2201010</x:v>
      </x:c>
      <x:c r="B3719" s="3" t="str">
        <x:v>SEC037</x:v>
      </x:c>
      <x:c r="C3719" s="3" t="n">
        <x:v>10</x:v>
      </x:c>
      <x:c r="D3719" s="3" t="str">
        <x:v>present</x:v>
      </x:c>
      <x:c r="E3719" s="5" t="str">
        <x:f>VLOOKUP(B3719,Sections!$A$5:$I$45,3,FALSE)</x:f>
        <x:v>2024-1</x:v>
      </x:c>
    </x:row>
    <x:row r="3720" ht="21" customHeight="1">
      <x:c r="A3720" s="3" t="str">
        <x:v>2201010</x:v>
      </x:c>
      <x:c r="B3720" s="3" t="str">
        <x:v>SEC037</x:v>
      </x:c>
      <x:c r="C3720" s="3" t="n">
        <x:v>11</x:v>
      </x:c>
      <x:c r="D3720" s="3" t="str">
        <x:v>present</x:v>
      </x:c>
      <x:c r="E3720" s="5" t="str">
        <x:f>VLOOKUP(B3720,Sections!$A$5:$I$45,3,FALSE)</x:f>
        <x:v>2024-1</x:v>
      </x:c>
    </x:row>
    <x:row r="3721" ht="21" customHeight="1">
      <x:c r="A3721" s="3" t="str">
        <x:v>2201010</x:v>
      </x:c>
      <x:c r="B3721" s="3" t="str">
        <x:v>SEC037</x:v>
      </x:c>
      <x:c r="C3721" s="3" t="n">
        <x:v>12</x:v>
      </x:c>
      <x:c r="D3721" s="3" t="str">
        <x:v>present</x:v>
      </x:c>
      <x:c r="E3721" s="5" t="str">
        <x:f>VLOOKUP(B3721,Sections!$A$5:$I$45,3,FALSE)</x:f>
        <x:v>2024-1</x:v>
      </x:c>
    </x:row>
    <x:row r="3722" ht="21" customHeight="1">
      <x:c r="A3722" s="3" t="str">
        <x:v>2201010</x:v>
      </x:c>
      <x:c r="B3722" s="3" t="str">
        <x:v>SEC037</x:v>
      </x:c>
      <x:c r="C3722" s="3" t="n">
        <x:v>13</x:v>
      </x:c>
      <x:c r="D3722" s="3" t="str">
        <x:v>present</x:v>
      </x:c>
      <x:c r="E3722" s="5" t="str">
        <x:f>VLOOKUP(B3722,Sections!$A$5:$I$45,3,FALSE)</x:f>
        <x:v>2024-1</x:v>
      </x:c>
    </x:row>
    <x:row r="3723" ht="21" customHeight="1">
      <x:c r="A3723" s="3" t="str">
        <x:v>2201010</x:v>
      </x:c>
      <x:c r="B3723" s="3" t="str">
        <x:v>SEC037</x:v>
      </x:c>
      <x:c r="C3723" s="3" t="n">
        <x:v>14</x:v>
      </x:c>
      <x:c r="D3723" s="3" t="str">
        <x:v>present</x:v>
      </x:c>
      <x:c r="E3723" s="5" t="str">
        <x:f>VLOOKUP(B3723,Sections!$A$5:$I$45,3,FALSE)</x:f>
        <x:v>2024-1</x:v>
      </x:c>
    </x:row>
    <x:row r="3724" ht="21" customHeight="1">
      <x:c r="A3724" s="3" t="str">
        <x:v>2201010</x:v>
      </x:c>
      <x:c r="B3724" s="3" t="str">
        <x:v>SEC037</x:v>
      </x:c>
      <x:c r="C3724" s="3" t="n">
        <x:v>15</x:v>
      </x:c>
      <x:c r="D3724" s="3" t="str">
        <x:v>present</x:v>
      </x:c>
      <x:c r="E3724" s="5" t="str">
        <x:f>VLOOKUP(B3724,Sections!$A$5:$I$45,3,FALSE)</x:f>
        <x:v>2024-1</x:v>
      </x:c>
    </x:row>
    <x:row r="3725" ht="21" customHeight="1">
      <x:c r="A3725" s="3" t="str">
        <x:v>2201011</x:v>
      </x:c>
      <x:c r="B3725" s="3" t="str">
        <x:v>SEC038</x:v>
      </x:c>
      <x:c r="C3725" s="3" t="n">
        <x:v>1</x:v>
      </x:c>
      <x:c r="D3725" s="3" t="str">
        <x:v>present</x:v>
      </x:c>
      <x:c r="E3725" s="5" t="str">
        <x:f>VLOOKUP(B3725,Sections!$A$5:$I$45,3,FALSE)</x:f>
        <x:v>2024-1</x:v>
      </x:c>
    </x:row>
    <x:row r="3726" ht="21" customHeight="1">
      <x:c r="A3726" s="3" t="str">
        <x:v>2201011</x:v>
      </x:c>
      <x:c r="B3726" s="3" t="str">
        <x:v>SEC038</x:v>
      </x:c>
      <x:c r="C3726" s="3" t="n">
        <x:v>2</x:v>
      </x:c>
      <x:c r="D3726" s="3" t="str">
        <x:v>late</x:v>
      </x:c>
      <x:c r="E3726" s="5" t="str">
        <x:f>VLOOKUP(B3726,Sections!$A$5:$I$45,3,FALSE)</x:f>
        <x:v>2024-1</x:v>
      </x:c>
    </x:row>
    <x:row r="3727" ht="21" customHeight="1">
      <x:c r="A3727" s="3" t="str">
        <x:v>2201011</x:v>
      </x:c>
      <x:c r="B3727" s="3" t="str">
        <x:v>SEC038</x:v>
      </x:c>
      <x:c r="C3727" s="3" t="n">
        <x:v>3</x:v>
      </x:c>
      <x:c r="D3727" s="3" t="str">
        <x:v>present</x:v>
      </x:c>
      <x:c r="E3727" s="5" t="str">
        <x:f>VLOOKUP(B3727,Sections!$A$5:$I$45,3,FALSE)</x:f>
        <x:v>2024-1</x:v>
      </x:c>
    </x:row>
    <x:row r="3728" ht="21" customHeight="1">
      <x:c r="A3728" s="3" t="str">
        <x:v>2201011</x:v>
      </x:c>
      <x:c r="B3728" s="3" t="str">
        <x:v>SEC038</x:v>
      </x:c>
      <x:c r="C3728" s="3" t="n">
        <x:v>4</x:v>
      </x:c>
      <x:c r="D3728" s="3" t="str">
        <x:v>present</x:v>
      </x:c>
      <x:c r="E3728" s="5" t="str">
        <x:f>VLOOKUP(B3728,Sections!$A$5:$I$45,3,FALSE)</x:f>
        <x:v>2024-1</x:v>
      </x:c>
    </x:row>
    <x:row r="3729" ht="21" customHeight="1">
      <x:c r="A3729" s="3" t="str">
        <x:v>2201011</x:v>
      </x:c>
      <x:c r="B3729" s="3" t="str">
        <x:v>SEC038</x:v>
      </x:c>
      <x:c r="C3729" s="3" t="n">
        <x:v>5</x:v>
      </x:c>
      <x:c r="D3729" s="3" t="str">
        <x:v>present</x:v>
      </x:c>
      <x:c r="E3729" s="5" t="str">
        <x:f>VLOOKUP(B3729,Sections!$A$5:$I$45,3,FALSE)</x:f>
        <x:v>2024-1</x:v>
      </x:c>
    </x:row>
    <x:row r="3730" ht="21" customHeight="1">
      <x:c r="A3730" s="3" t="str">
        <x:v>2201011</x:v>
      </x:c>
      <x:c r="B3730" s="3" t="str">
        <x:v>SEC038</x:v>
      </x:c>
      <x:c r="C3730" s="3" t="n">
        <x:v>6</x:v>
      </x:c>
      <x:c r="D3730" s="3" t="str">
        <x:v>present</x:v>
      </x:c>
      <x:c r="E3730" s="5" t="str">
        <x:f>VLOOKUP(B3730,Sections!$A$5:$I$45,3,FALSE)</x:f>
        <x:v>2024-1</x:v>
      </x:c>
    </x:row>
    <x:row r="3731" ht="21" customHeight="1">
      <x:c r="A3731" s="3" t="str">
        <x:v>2201011</x:v>
      </x:c>
      <x:c r="B3731" s="3" t="str">
        <x:v>SEC038</x:v>
      </x:c>
      <x:c r="C3731" s="3" t="n">
        <x:v>7</x:v>
      </x:c>
      <x:c r="D3731" s="3" t="str">
        <x:v>present</x:v>
      </x:c>
      <x:c r="E3731" s="5" t="str">
        <x:f>VLOOKUP(B3731,Sections!$A$5:$I$45,3,FALSE)</x:f>
        <x:v>2024-1</x:v>
      </x:c>
    </x:row>
    <x:row r="3732" ht="21" customHeight="1">
      <x:c r="A3732" s="3" t="str">
        <x:v>2201011</x:v>
      </x:c>
      <x:c r="B3732" s="3" t="str">
        <x:v>SEC038</x:v>
      </x:c>
      <x:c r="C3732" s="3" t="n">
        <x:v>8</x:v>
      </x:c>
      <x:c r="D3732" s="3" t="str">
        <x:v>present</x:v>
      </x:c>
      <x:c r="E3732" s="5" t="str">
        <x:f>VLOOKUP(B3732,Sections!$A$5:$I$45,3,FALSE)</x:f>
        <x:v>2024-1</x:v>
      </x:c>
    </x:row>
    <x:row r="3733" ht="21" customHeight="1">
      <x:c r="A3733" s="3" t="str">
        <x:v>2201011</x:v>
      </x:c>
      <x:c r="B3733" s="3" t="str">
        <x:v>SEC038</x:v>
      </x:c>
      <x:c r="C3733" s="3" t="n">
        <x:v>9</x:v>
      </x:c>
      <x:c r="D3733" s="3" t="str">
        <x:v>present</x:v>
      </x:c>
      <x:c r="E3733" s="5" t="str">
        <x:f>VLOOKUP(B3733,Sections!$A$5:$I$45,3,FALSE)</x:f>
        <x:v>2024-1</x:v>
      </x:c>
    </x:row>
    <x:row r="3734" ht="21" customHeight="1">
      <x:c r="A3734" s="3" t="str">
        <x:v>2201011</x:v>
      </x:c>
      <x:c r="B3734" s="3" t="str">
        <x:v>SEC038</x:v>
      </x:c>
      <x:c r="C3734" s="3" t="n">
        <x:v>10</x:v>
      </x:c>
      <x:c r="D3734" s="3" t="str">
        <x:v>present</x:v>
      </x:c>
      <x:c r="E3734" s="5" t="str">
        <x:f>VLOOKUP(B3734,Sections!$A$5:$I$45,3,FALSE)</x:f>
        <x:v>2024-1</x:v>
      </x:c>
    </x:row>
    <x:row r="3735" ht="21" customHeight="1">
      <x:c r="A3735" s="3" t="str">
        <x:v>2201011</x:v>
      </x:c>
      <x:c r="B3735" s="3" t="str">
        <x:v>SEC038</x:v>
      </x:c>
      <x:c r="C3735" s="3" t="n">
        <x:v>11</x:v>
      </x:c>
      <x:c r="D3735" s="3" t="str">
        <x:v>present</x:v>
      </x:c>
      <x:c r="E3735" s="5" t="str">
        <x:f>VLOOKUP(B3735,Sections!$A$5:$I$45,3,FALSE)</x:f>
        <x:v>2024-1</x:v>
      </x:c>
    </x:row>
    <x:row r="3736" ht="21" customHeight="1">
      <x:c r="A3736" s="3" t="str">
        <x:v>2201011</x:v>
      </x:c>
      <x:c r="B3736" s="3" t="str">
        <x:v>SEC038</x:v>
      </x:c>
      <x:c r="C3736" s="3" t="n">
        <x:v>12</x:v>
      </x:c>
      <x:c r="D3736" s="3" t="str">
        <x:v>present</x:v>
      </x:c>
      <x:c r="E3736" s="5" t="str">
        <x:f>VLOOKUP(B3736,Sections!$A$5:$I$45,3,FALSE)</x:f>
        <x:v>2024-1</x:v>
      </x:c>
    </x:row>
    <x:row r="3737" ht="21" customHeight="1">
      <x:c r="A3737" s="3" t="str">
        <x:v>2201011</x:v>
      </x:c>
      <x:c r="B3737" s="3" t="str">
        <x:v>SEC038</x:v>
      </x:c>
      <x:c r="C3737" s="3" t="n">
        <x:v>13</x:v>
      </x:c>
      <x:c r="D3737" s="3" t="str">
        <x:v>present</x:v>
      </x:c>
      <x:c r="E3737" s="5" t="str">
        <x:f>VLOOKUP(B3737,Sections!$A$5:$I$45,3,FALSE)</x:f>
        <x:v>2024-1</x:v>
      </x:c>
    </x:row>
    <x:row r="3738" ht="21" customHeight="1">
      <x:c r="A3738" s="3" t="str">
        <x:v>2201011</x:v>
      </x:c>
      <x:c r="B3738" s="3" t="str">
        <x:v>SEC038</x:v>
      </x:c>
      <x:c r="C3738" s="3" t="n">
        <x:v>14</x:v>
      </x:c>
      <x:c r="D3738" s="3" t="str">
        <x:v>present</x:v>
      </x:c>
      <x:c r="E3738" s="5" t="str">
        <x:f>VLOOKUP(B3738,Sections!$A$5:$I$45,3,FALSE)</x:f>
        <x:v>2024-1</x:v>
      </x:c>
    </x:row>
    <x:row r="3739" ht="21" customHeight="1">
      <x:c r="A3739" s="3" t="str">
        <x:v>2201011</x:v>
      </x:c>
      <x:c r="B3739" s="3" t="str">
        <x:v>SEC038</x:v>
      </x:c>
      <x:c r="C3739" s="3" t="n">
        <x:v>15</x:v>
      </x:c>
      <x:c r="D3739" s="3" t="str">
        <x:v>present</x:v>
      </x:c>
      <x:c r="E3739" s="5" t="str">
        <x:f>VLOOKUP(B3739,Sections!$A$5:$I$45,3,FALSE)</x:f>
        <x:v>2024-1</x:v>
      </x:c>
    </x:row>
    <x:row r="3740" ht="21" customHeight="1">
      <x:c r="A3740" s="3" t="str">
        <x:v>2201012</x:v>
      </x:c>
      <x:c r="B3740" s="3" t="str">
        <x:v>SEC038</x:v>
      </x:c>
      <x:c r="C3740" s="3" t="n">
        <x:v>1</x:v>
      </x:c>
      <x:c r="D3740" s="3" t="str">
        <x:v>present</x:v>
      </x:c>
      <x:c r="E3740" s="5" t="str">
        <x:f>VLOOKUP(B3740,Sections!$A$5:$I$45,3,FALSE)</x:f>
        <x:v>2024-1</x:v>
      </x:c>
    </x:row>
    <x:row r="3741" ht="21" customHeight="1">
      <x:c r="A3741" s="3" t="str">
        <x:v>2201012</x:v>
      </x:c>
      <x:c r="B3741" s="3" t="str">
        <x:v>SEC038</x:v>
      </x:c>
      <x:c r="C3741" s="3" t="n">
        <x:v>2</x:v>
      </x:c>
      <x:c r="D3741" s="3" t="str">
        <x:v>present</x:v>
      </x:c>
      <x:c r="E3741" s="5" t="str">
        <x:f>VLOOKUP(B3741,Sections!$A$5:$I$45,3,FALSE)</x:f>
        <x:v>2024-1</x:v>
      </x:c>
    </x:row>
    <x:row r="3742" ht="21" customHeight="1">
      <x:c r="A3742" s="3" t="str">
        <x:v>2201012</x:v>
      </x:c>
      <x:c r="B3742" s="3" t="str">
        <x:v>SEC038</x:v>
      </x:c>
      <x:c r="C3742" s="3" t="n">
        <x:v>3</x:v>
      </x:c>
      <x:c r="D3742" s="3" t="str">
        <x:v>present</x:v>
      </x:c>
      <x:c r="E3742" s="5" t="str">
        <x:f>VLOOKUP(B3742,Sections!$A$5:$I$45,3,FALSE)</x:f>
        <x:v>2024-1</x:v>
      </x:c>
    </x:row>
    <x:row r="3743" ht="21" customHeight="1">
      <x:c r="A3743" s="3" t="str">
        <x:v>2201012</x:v>
      </x:c>
      <x:c r="B3743" s="3" t="str">
        <x:v>SEC038</x:v>
      </x:c>
      <x:c r="C3743" s="3" t="n">
        <x:v>4</x:v>
      </x:c>
      <x:c r="D3743" s="3" t="str">
        <x:v>present</x:v>
      </x:c>
      <x:c r="E3743" s="5" t="str">
        <x:f>VLOOKUP(B3743,Sections!$A$5:$I$45,3,FALSE)</x:f>
        <x:v>2024-1</x:v>
      </x:c>
    </x:row>
    <x:row r="3744" ht="21" customHeight="1">
      <x:c r="A3744" s="3" t="str">
        <x:v>2201012</x:v>
      </x:c>
      <x:c r="B3744" s="3" t="str">
        <x:v>SEC038</x:v>
      </x:c>
      <x:c r="C3744" s="3" t="n">
        <x:v>5</x:v>
      </x:c>
      <x:c r="D3744" s="3" t="str">
        <x:v>present</x:v>
      </x:c>
      <x:c r="E3744" s="5" t="str">
        <x:f>VLOOKUP(B3744,Sections!$A$5:$I$45,3,FALSE)</x:f>
        <x:v>2024-1</x:v>
      </x:c>
    </x:row>
    <x:row r="3745" ht="21" customHeight="1">
      <x:c r="A3745" s="3" t="str">
        <x:v>2201012</x:v>
      </x:c>
      <x:c r="B3745" s="3" t="str">
        <x:v>SEC038</x:v>
      </x:c>
      <x:c r="C3745" s="3" t="n">
        <x:v>6</x:v>
      </x:c>
      <x:c r="D3745" s="3" t="str">
        <x:v>present</x:v>
      </x:c>
      <x:c r="E3745" s="5" t="str">
        <x:f>VLOOKUP(B3745,Sections!$A$5:$I$45,3,FALSE)</x:f>
        <x:v>2024-1</x:v>
      </x:c>
    </x:row>
    <x:row r="3746" ht="21" customHeight="1">
      <x:c r="A3746" s="3" t="str">
        <x:v>2201012</x:v>
      </x:c>
      <x:c r="B3746" s="3" t="str">
        <x:v>SEC038</x:v>
      </x:c>
      <x:c r="C3746" s="3" t="n">
        <x:v>7</x:v>
      </x:c>
      <x:c r="D3746" s="3" t="str">
        <x:v>present</x:v>
      </x:c>
      <x:c r="E3746" s="5" t="str">
        <x:f>VLOOKUP(B3746,Sections!$A$5:$I$45,3,FALSE)</x:f>
        <x:v>2024-1</x:v>
      </x:c>
    </x:row>
    <x:row r="3747" ht="21" customHeight="1">
      <x:c r="A3747" s="3" t="str">
        <x:v>2201012</x:v>
      </x:c>
      <x:c r="B3747" s="3" t="str">
        <x:v>SEC038</x:v>
      </x:c>
      <x:c r="C3747" s="3" t="n">
        <x:v>8</x:v>
      </x:c>
      <x:c r="D3747" s="3" t="str">
        <x:v>present</x:v>
      </x:c>
      <x:c r="E3747" s="5" t="str">
        <x:f>VLOOKUP(B3747,Sections!$A$5:$I$45,3,FALSE)</x:f>
        <x:v>2024-1</x:v>
      </x:c>
    </x:row>
    <x:row r="3748" ht="21" customHeight="1">
      <x:c r="A3748" s="3" t="str">
        <x:v>2201012</x:v>
      </x:c>
      <x:c r="B3748" s="3" t="str">
        <x:v>SEC038</x:v>
      </x:c>
      <x:c r="C3748" s="3" t="n">
        <x:v>9</x:v>
      </x:c>
      <x:c r="D3748" s="3" t="str">
        <x:v>present</x:v>
      </x:c>
      <x:c r="E3748" s="5" t="str">
        <x:f>VLOOKUP(B3748,Sections!$A$5:$I$45,3,FALSE)</x:f>
        <x:v>2024-1</x:v>
      </x:c>
    </x:row>
    <x:row r="3749" ht="21" customHeight="1">
      <x:c r="A3749" s="3" t="str">
        <x:v>2201012</x:v>
      </x:c>
      <x:c r="B3749" s="3" t="str">
        <x:v>SEC038</x:v>
      </x:c>
      <x:c r="C3749" s="3" t="n">
        <x:v>10</x:v>
      </x:c>
      <x:c r="D3749" s="3" t="str">
        <x:v>present</x:v>
      </x:c>
      <x:c r="E3749" s="5" t="str">
        <x:f>VLOOKUP(B3749,Sections!$A$5:$I$45,3,FALSE)</x:f>
        <x:v>2024-1</x:v>
      </x:c>
    </x:row>
    <x:row r="3750" ht="21" customHeight="1">
      <x:c r="A3750" s="3" t="str">
        <x:v>2201012</x:v>
      </x:c>
      <x:c r="B3750" s="3" t="str">
        <x:v>SEC038</x:v>
      </x:c>
      <x:c r="C3750" s="3" t="n">
        <x:v>11</x:v>
      </x:c>
      <x:c r="D3750" s="3" t="str">
        <x:v>present</x:v>
      </x:c>
      <x:c r="E3750" s="5" t="str">
        <x:f>VLOOKUP(B3750,Sections!$A$5:$I$45,3,FALSE)</x:f>
        <x:v>2024-1</x:v>
      </x:c>
    </x:row>
    <x:row r="3751" ht="21" customHeight="1">
      <x:c r="A3751" s="3" t="str">
        <x:v>2201012</x:v>
      </x:c>
      <x:c r="B3751" s="3" t="str">
        <x:v>SEC038</x:v>
      </x:c>
      <x:c r="C3751" s="3" t="n">
        <x:v>12</x:v>
      </x:c>
      <x:c r="D3751" s="3" t="str">
        <x:v>present</x:v>
      </x:c>
      <x:c r="E3751" s="5" t="str">
        <x:f>VLOOKUP(B3751,Sections!$A$5:$I$45,3,FALSE)</x:f>
        <x:v>2024-1</x:v>
      </x:c>
    </x:row>
    <x:row r="3752" ht="21" customHeight="1">
      <x:c r="A3752" s="3" t="str">
        <x:v>2201012</x:v>
      </x:c>
      <x:c r="B3752" s="3" t="str">
        <x:v>SEC038</x:v>
      </x:c>
      <x:c r="C3752" s="3" t="n">
        <x:v>13</x:v>
      </x:c>
      <x:c r="D3752" s="3" t="str">
        <x:v>late</x:v>
      </x:c>
      <x:c r="E3752" s="5" t="str">
        <x:f>VLOOKUP(B3752,Sections!$A$5:$I$45,3,FALSE)</x:f>
        <x:v>2024-1</x:v>
      </x:c>
    </x:row>
    <x:row r="3753" ht="21" customHeight="1">
      <x:c r="A3753" s="3" t="str">
        <x:v>2201012</x:v>
      </x:c>
      <x:c r="B3753" s="3" t="str">
        <x:v>SEC038</x:v>
      </x:c>
      <x:c r="C3753" s="3" t="n">
        <x:v>14</x:v>
      </x:c>
      <x:c r="D3753" s="3" t="str">
        <x:v>present</x:v>
      </x:c>
      <x:c r="E3753" s="5" t="str">
        <x:f>VLOOKUP(B3753,Sections!$A$5:$I$45,3,FALSE)</x:f>
        <x:v>2024-1</x:v>
      </x:c>
    </x:row>
    <x:row r="3754" ht="21" customHeight="1">
      <x:c r="A3754" s="3" t="str">
        <x:v>2201012</x:v>
      </x:c>
      <x:c r="B3754" s="3" t="str">
        <x:v>SEC038</x:v>
      </x:c>
      <x:c r="C3754" s="3" t="n">
        <x:v>15</x:v>
      </x:c>
      <x:c r="D3754" s="3" t="str">
        <x:v>present</x:v>
      </x:c>
      <x:c r="E3754" s="5" t="str">
        <x:f>VLOOKUP(B3754,Sections!$A$5:$I$45,3,FALSE)</x:f>
        <x:v>2024-1</x:v>
      </x:c>
    </x:row>
    <x:row r="3755" ht="21" customHeight="1">
      <x:c r="A3755" s="3" t="str">
        <x:v>2201013</x:v>
      </x:c>
      <x:c r="B3755" s="3" t="str">
        <x:v>SEC038</x:v>
      </x:c>
      <x:c r="C3755" s="3" t="n">
        <x:v>1</x:v>
      </x:c>
      <x:c r="D3755" s="3" t="str">
        <x:v>present</x:v>
      </x:c>
      <x:c r="E3755" s="5" t="str">
        <x:f>VLOOKUP(B3755,Sections!$A$5:$I$45,3,FALSE)</x:f>
        <x:v>2024-1</x:v>
      </x:c>
    </x:row>
    <x:row r="3756" ht="21" customHeight="1">
      <x:c r="A3756" s="3" t="str">
        <x:v>2201013</x:v>
      </x:c>
      <x:c r="B3756" s="3" t="str">
        <x:v>SEC038</x:v>
      </x:c>
      <x:c r="C3756" s="3" t="n">
        <x:v>2</x:v>
      </x:c>
      <x:c r="D3756" s="3" t="str">
        <x:v>present</x:v>
      </x:c>
      <x:c r="E3756" s="5" t="str">
        <x:f>VLOOKUP(B3756,Sections!$A$5:$I$45,3,FALSE)</x:f>
        <x:v>2024-1</x:v>
      </x:c>
    </x:row>
    <x:row r="3757" ht="21" customHeight="1">
      <x:c r="A3757" s="3" t="str">
        <x:v>2201013</x:v>
      </x:c>
      <x:c r="B3757" s="3" t="str">
        <x:v>SEC038</x:v>
      </x:c>
      <x:c r="C3757" s="3" t="n">
        <x:v>3</x:v>
      </x:c>
      <x:c r="D3757" s="3" t="str">
        <x:v>present</x:v>
      </x:c>
      <x:c r="E3757" s="5" t="str">
        <x:f>VLOOKUP(B3757,Sections!$A$5:$I$45,3,FALSE)</x:f>
        <x:v>2024-1</x:v>
      </x:c>
    </x:row>
    <x:row r="3758" ht="21" customHeight="1">
      <x:c r="A3758" s="3" t="str">
        <x:v>2201013</x:v>
      </x:c>
      <x:c r="B3758" s="3" t="str">
        <x:v>SEC038</x:v>
      </x:c>
      <x:c r="C3758" s="3" t="n">
        <x:v>4</x:v>
      </x:c>
      <x:c r="D3758" s="3" t="str">
        <x:v>present</x:v>
      </x:c>
      <x:c r="E3758" s="5" t="str">
        <x:f>VLOOKUP(B3758,Sections!$A$5:$I$45,3,FALSE)</x:f>
        <x:v>2024-1</x:v>
      </x:c>
    </x:row>
    <x:row r="3759" ht="21" customHeight="1">
      <x:c r="A3759" s="3" t="str">
        <x:v>2201013</x:v>
      </x:c>
      <x:c r="B3759" s="3" t="str">
        <x:v>SEC038</x:v>
      </x:c>
      <x:c r="C3759" s="3" t="n">
        <x:v>5</x:v>
      </x:c>
      <x:c r="D3759" s="3" t="str">
        <x:v>present</x:v>
      </x:c>
      <x:c r="E3759" s="5" t="str">
        <x:f>VLOOKUP(B3759,Sections!$A$5:$I$45,3,FALSE)</x:f>
        <x:v>2024-1</x:v>
      </x:c>
    </x:row>
    <x:row r="3760" ht="21" customHeight="1">
      <x:c r="A3760" s="3" t="str">
        <x:v>2201013</x:v>
      </x:c>
      <x:c r="B3760" s="3" t="str">
        <x:v>SEC038</x:v>
      </x:c>
      <x:c r="C3760" s="3" t="n">
        <x:v>6</x:v>
      </x:c>
      <x:c r="D3760" s="3" t="str">
        <x:v>present</x:v>
      </x:c>
      <x:c r="E3760" s="5" t="str">
        <x:f>VLOOKUP(B3760,Sections!$A$5:$I$45,3,FALSE)</x:f>
        <x:v>2024-1</x:v>
      </x:c>
    </x:row>
    <x:row r="3761" ht="21" customHeight="1">
      <x:c r="A3761" s="3" t="str">
        <x:v>2201013</x:v>
      </x:c>
      <x:c r="B3761" s="3" t="str">
        <x:v>SEC038</x:v>
      </x:c>
      <x:c r="C3761" s="3" t="n">
        <x:v>7</x:v>
      </x:c>
      <x:c r="D3761" s="3" t="str">
        <x:v>present</x:v>
      </x:c>
      <x:c r="E3761" s="5" t="str">
        <x:f>VLOOKUP(B3761,Sections!$A$5:$I$45,3,FALSE)</x:f>
        <x:v>2024-1</x:v>
      </x:c>
    </x:row>
    <x:row r="3762" ht="21" customHeight="1">
      <x:c r="A3762" s="3" t="str">
        <x:v>2201013</x:v>
      </x:c>
      <x:c r="B3762" s="3" t="str">
        <x:v>SEC038</x:v>
      </x:c>
      <x:c r="C3762" s="3" t="n">
        <x:v>8</x:v>
      </x:c>
      <x:c r="D3762" s="3" t="str">
        <x:v>present</x:v>
      </x:c>
      <x:c r="E3762" s="5" t="str">
        <x:f>VLOOKUP(B3762,Sections!$A$5:$I$45,3,FALSE)</x:f>
        <x:v>2024-1</x:v>
      </x:c>
    </x:row>
    <x:row r="3763" ht="21" customHeight="1">
      <x:c r="A3763" s="3" t="str">
        <x:v>2201013</x:v>
      </x:c>
      <x:c r="B3763" s="3" t="str">
        <x:v>SEC038</x:v>
      </x:c>
      <x:c r="C3763" s="3" t="n">
        <x:v>9</x:v>
      </x:c>
      <x:c r="D3763" s="3" t="str">
        <x:v>present</x:v>
      </x:c>
      <x:c r="E3763" s="5" t="str">
        <x:f>VLOOKUP(B3763,Sections!$A$5:$I$45,3,FALSE)</x:f>
        <x:v>2024-1</x:v>
      </x:c>
    </x:row>
    <x:row r="3764" ht="21" customHeight="1">
      <x:c r="A3764" s="3" t="str">
        <x:v>2201013</x:v>
      </x:c>
      <x:c r="B3764" s="3" t="str">
        <x:v>SEC038</x:v>
      </x:c>
      <x:c r="C3764" s="3" t="n">
        <x:v>10</x:v>
      </x:c>
      <x:c r="D3764" s="3" t="str">
        <x:v>present</x:v>
      </x:c>
      <x:c r="E3764" s="5" t="str">
        <x:f>VLOOKUP(B3764,Sections!$A$5:$I$45,3,FALSE)</x:f>
        <x:v>2024-1</x:v>
      </x:c>
    </x:row>
    <x:row r="3765" ht="21" customHeight="1">
      <x:c r="A3765" s="3" t="str">
        <x:v>2201013</x:v>
      </x:c>
      <x:c r="B3765" s="3" t="str">
        <x:v>SEC038</x:v>
      </x:c>
      <x:c r="C3765" s="3" t="n">
        <x:v>11</x:v>
      </x:c>
      <x:c r="D3765" s="3" t="str">
        <x:v>present</x:v>
      </x:c>
      <x:c r="E3765" s="5" t="str">
        <x:f>VLOOKUP(B3765,Sections!$A$5:$I$45,3,FALSE)</x:f>
        <x:v>2024-1</x:v>
      </x:c>
    </x:row>
    <x:row r="3766" ht="21" customHeight="1">
      <x:c r="A3766" s="3" t="str">
        <x:v>2201013</x:v>
      </x:c>
      <x:c r="B3766" s="3" t="str">
        <x:v>SEC038</x:v>
      </x:c>
      <x:c r="C3766" s="3" t="n">
        <x:v>12</x:v>
      </x:c>
      <x:c r="D3766" s="3" t="str">
        <x:v>present</x:v>
      </x:c>
      <x:c r="E3766" s="5" t="str">
        <x:f>VLOOKUP(B3766,Sections!$A$5:$I$45,3,FALSE)</x:f>
        <x:v>2024-1</x:v>
      </x:c>
    </x:row>
    <x:row r="3767" ht="21" customHeight="1">
      <x:c r="A3767" s="3" t="str">
        <x:v>2201013</x:v>
      </x:c>
      <x:c r="B3767" s="3" t="str">
        <x:v>SEC038</x:v>
      </x:c>
      <x:c r="C3767" s="3" t="n">
        <x:v>13</x:v>
      </x:c>
      <x:c r="D3767" s="3" t="str">
        <x:v>absent</x:v>
      </x:c>
      <x:c r="E3767" s="5" t="str">
        <x:f>VLOOKUP(B3767,Sections!$A$5:$I$45,3,FALSE)</x:f>
        <x:v>2024-1</x:v>
      </x:c>
    </x:row>
    <x:row r="3768" ht="21" customHeight="1">
      <x:c r="A3768" s="3" t="str">
        <x:v>2201013</x:v>
      </x:c>
      <x:c r="B3768" s="3" t="str">
        <x:v>SEC038</x:v>
      </x:c>
      <x:c r="C3768" s="3" t="n">
        <x:v>14</x:v>
      </x:c>
      <x:c r="D3768" s="3" t="str">
        <x:v>present</x:v>
      </x:c>
      <x:c r="E3768" s="5" t="str">
        <x:f>VLOOKUP(B3768,Sections!$A$5:$I$45,3,FALSE)</x:f>
        <x:v>2024-1</x:v>
      </x:c>
    </x:row>
    <x:row r="3769" ht="21" customHeight="1">
      <x:c r="A3769" s="3" t="str">
        <x:v>2201013</x:v>
      </x:c>
      <x:c r="B3769" s="3" t="str">
        <x:v>SEC038</x:v>
      </x:c>
      <x:c r="C3769" s="3" t="n">
        <x:v>15</x:v>
      </x:c>
      <x:c r="D3769" s="3" t="str">
        <x:v>present</x:v>
      </x:c>
      <x:c r="E3769" s="5" t="str">
        <x:f>VLOOKUP(B3769,Sections!$A$5:$I$45,3,FALSE)</x:f>
        <x:v>2024-1</x:v>
      </x:c>
    </x:row>
    <x:row r="3770" ht="21" customHeight="1">
      <x:c r="A3770" s="3" t="str">
        <x:v>2201014</x:v>
      </x:c>
      <x:c r="B3770" s="3" t="str">
        <x:v>SEC038</x:v>
      </x:c>
      <x:c r="C3770" s="3" t="n">
        <x:v>1</x:v>
      </x:c>
      <x:c r="D3770" s="3" t="str">
        <x:v>absent</x:v>
      </x:c>
      <x:c r="E3770" s="5" t="str">
        <x:f>VLOOKUP(B3770,Sections!$A$5:$I$45,3,FALSE)</x:f>
        <x:v>2024-1</x:v>
      </x:c>
    </x:row>
    <x:row r="3771" ht="21" customHeight="1">
      <x:c r="A3771" s="3" t="str">
        <x:v>2201014</x:v>
      </x:c>
      <x:c r="B3771" s="3" t="str">
        <x:v>SEC038</x:v>
      </x:c>
      <x:c r="C3771" s="3" t="n">
        <x:v>2</x:v>
      </x:c>
      <x:c r="D3771" s="3" t="str">
        <x:v>present</x:v>
      </x:c>
      <x:c r="E3771" s="5" t="str">
        <x:f>VLOOKUP(B3771,Sections!$A$5:$I$45,3,FALSE)</x:f>
        <x:v>2024-1</x:v>
      </x:c>
    </x:row>
    <x:row r="3772" ht="21" customHeight="1">
      <x:c r="A3772" s="3" t="str">
        <x:v>2201014</x:v>
      </x:c>
      <x:c r="B3772" s="3" t="str">
        <x:v>SEC038</x:v>
      </x:c>
      <x:c r="C3772" s="3" t="n">
        <x:v>3</x:v>
      </x:c>
      <x:c r="D3772" s="3" t="str">
        <x:v>late</x:v>
      </x:c>
      <x:c r="E3772" s="5" t="str">
        <x:f>VLOOKUP(B3772,Sections!$A$5:$I$45,3,FALSE)</x:f>
        <x:v>2024-1</x:v>
      </x:c>
    </x:row>
    <x:row r="3773" ht="21" customHeight="1">
      <x:c r="A3773" s="3" t="str">
        <x:v>2201014</x:v>
      </x:c>
      <x:c r="B3773" s="3" t="str">
        <x:v>SEC038</x:v>
      </x:c>
      <x:c r="C3773" s="3" t="n">
        <x:v>4</x:v>
      </x:c>
      <x:c r="D3773" s="3" t="str">
        <x:v>present</x:v>
      </x:c>
      <x:c r="E3773" s="5" t="str">
        <x:f>VLOOKUP(B3773,Sections!$A$5:$I$45,3,FALSE)</x:f>
        <x:v>2024-1</x:v>
      </x:c>
    </x:row>
    <x:row r="3774" ht="21" customHeight="1">
      <x:c r="A3774" s="3" t="str">
        <x:v>2201014</x:v>
      </x:c>
      <x:c r="B3774" s="3" t="str">
        <x:v>SEC038</x:v>
      </x:c>
      <x:c r="C3774" s="3" t="n">
        <x:v>5</x:v>
      </x:c>
      <x:c r="D3774" s="3" t="str">
        <x:v>present</x:v>
      </x:c>
      <x:c r="E3774" s="5" t="str">
        <x:f>VLOOKUP(B3774,Sections!$A$5:$I$45,3,FALSE)</x:f>
        <x:v>2024-1</x:v>
      </x:c>
    </x:row>
    <x:row r="3775" ht="21" customHeight="1">
      <x:c r="A3775" s="3" t="str">
        <x:v>2201014</x:v>
      </x:c>
      <x:c r="B3775" s="3" t="str">
        <x:v>SEC038</x:v>
      </x:c>
      <x:c r="C3775" s="3" t="n">
        <x:v>6</x:v>
      </x:c>
      <x:c r="D3775" s="3" t="str">
        <x:v>present</x:v>
      </x:c>
      <x:c r="E3775" s="5" t="str">
        <x:f>VLOOKUP(B3775,Sections!$A$5:$I$45,3,FALSE)</x:f>
        <x:v>2024-1</x:v>
      </x:c>
    </x:row>
    <x:row r="3776" ht="21" customHeight="1">
      <x:c r="A3776" s="3" t="str">
        <x:v>2201014</x:v>
      </x:c>
      <x:c r="B3776" s="3" t="str">
        <x:v>SEC038</x:v>
      </x:c>
      <x:c r="C3776" s="3" t="n">
        <x:v>7</x:v>
      </x:c>
      <x:c r="D3776" s="3" t="str">
        <x:v>present</x:v>
      </x:c>
      <x:c r="E3776" s="5" t="str">
        <x:f>VLOOKUP(B3776,Sections!$A$5:$I$45,3,FALSE)</x:f>
        <x:v>2024-1</x:v>
      </x:c>
    </x:row>
    <x:row r="3777" ht="21" customHeight="1">
      <x:c r="A3777" s="3" t="str">
        <x:v>2201014</x:v>
      </x:c>
      <x:c r="B3777" s="3" t="str">
        <x:v>SEC038</x:v>
      </x:c>
      <x:c r="C3777" s="3" t="n">
        <x:v>8</x:v>
      </x:c>
      <x:c r="D3777" s="3" t="str">
        <x:v>present</x:v>
      </x:c>
      <x:c r="E3777" s="5" t="str">
        <x:f>VLOOKUP(B3777,Sections!$A$5:$I$45,3,FALSE)</x:f>
        <x:v>2024-1</x:v>
      </x:c>
    </x:row>
    <x:row r="3778" ht="21" customHeight="1">
      <x:c r="A3778" s="3" t="str">
        <x:v>2201014</x:v>
      </x:c>
      <x:c r="B3778" s="3" t="str">
        <x:v>SEC038</x:v>
      </x:c>
      <x:c r="C3778" s="3" t="n">
        <x:v>9</x:v>
      </x:c>
      <x:c r="D3778" s="3" t="str">
        <x:v>present</x:v>
      </x:c>
      <x:c r="E3778" s="5" t="str">
        <x:f>VLOOKUP(B3778,Sections!$A$5:$I$45,3,FALSE)</x:f>
        <x:v>2024-1</x:v>
      </x:c>
    </x:row>
    <x:row r="3779" ht="21" customHeight="1">
      <x:c r="A3779" s="3" t="str">
        <x:v>2201014</x:v>
      </x:c>
      <x:c r="B3779" s="3" t="str">
        <x:v>SEC038</x:v>
      </x:c>
      <x:c r="C3779" s="3" t="n">
        <x:v>10</x:v>
      </x:c>
      <x:c r="D3779" s="3" t="str">
        <x:v>late</x:v>
      </x:c>
      <x:c r="E3779" s="5" t="str">
        <x:f>VLOOKUP(B3779,Sections!$A$5:$I$45,3,FALSE)</x:f>
        <x:v>2024-1</x:v>
      </x:c>
    </x:row>
    <x:row r="3780" ht="21" customHeight="1">
      <x:c r="A3780" s="3" t="str">
        <x:v>2201014</x:v>
      </x:c>
      <x:c r="B3780" s="3" t="str">
        <x:v>SEC038</x:v>
      </x:c>
      <x:c r="C3780" s="3" t="n">
        <x:v>11</x:v>
      </x:c>
      <x:c r="D3780" s="3" t="str">
        <x:v>present</x:v>
      </x:c>
      <x:c r="E3780" s="5" t="str">
        <x:f>VLOOKUP(B3780,Sections!$A$5:$I$45,3,FALSE)</x:f>
        <x:v>2024-1</x:v>
      </x:c>
    </x:row>
    <x:row r="3781" ht="21" customHeight="1">
      <x:c r="A3781" s="3" t="str">
        <x:v>2201014</x:v>
      </x:c>
      <x:c r="B3781" s="3" t="str">
        <x:v>SEC038</x:v>
      </x:c>
      <x:c r="C3781" s="3" t="n">
        <x:v>12</x:v>
      </x:c>
      <x:c r="D3781" s="3" t="str">
        <x:v>present</x:v>
      </x:c>
      <x:c r="E3781" s="5" t="str">
        <x:f>VLOOKUP(B3781,Sections!$A$5:$I$45,3,FALSE)</x:f>
        <x:v>2024-1</x:v>
      </x:c>
    </x:row>
    <x:row r="3782" ht="21" customHeight="1">
      <x:c r="A3782" s="3" t="str">
        <x:v>2201014</x:v>
      </x:c>
      <x:c r="B3782" s="3" t="str">
        <x:v>SEC038</x:v>
      </x:c>
      <x:c r="C3782" s="3" t="n">
        <x:v>13</x:v>
      </x:c>
      <x:c r="D3782" s="3" t="str">
        <x:v>present</x:v>
      </x:c>
      <x:c r="E3782" s="5" t="str">
        <x:f>VLOOKUP(B3782,Sections!$A$5:$I$45,3,FALSE)</x:f>
        <x:v>2024-1</x:v>
      </x:c>
    </x:row>
    <x:row r="3783" ht="21" customHeight="1">
      <x:c r="A3783" s="3" t="str">
        <x:v>2201014</x:v>
      </x:c>
      <x:c r="B3783" s="3" t="str">
        <x:v>SEC038</x:v>
      </x:c>
      <x:c r="C3783" s="3" t="n">
        <x:v>14</x:v>
      </x:c>
      <x:c r="D3783" s="3" t="str">
        <x:v>present</x:v>
      </x:c>
      <x:c r="E3783" s="5" t="str">
        <x:f>VLOOKUP(B3783,Sections!$A$5:$I$45,3,FALSE)</x:f>
        <x:v>2024-1</x:v>
      </x:c>
    </x:row>
    <x:row r="3784" ht="21" customHeight="1">
      <x:c r="A3784" s="3" t="str">
        <x:v>2201014</x:v>
      </x:c>
      <x:c r="B3784" s="3" t="str">
        <x:v>SEC038</x:v>
      </x:c>
      <x:c r="C3784" s="3" t="n">
        <x:v>15</x:v>
      </x:c>
      <x:c r="D3784" s="3" t="str">
        <x:v>present</x:v>
      </x:c>
      <x:c r="E3784" s="5" t="str">
        <x:f>VLOOKUP(B3784,Sections!$A$5:$I$45,3,FALSE)</x:f>
        <x:v>2024-1</x:v>
      </x:c>
    </x:row>
    <x:row r="3785" ht="21" customHeight="1">
      <x:c r="A3785" s="3" t="str">
        <x:v>2201015</x:v>
      </x:c>
      <x:c r="B3785" s="3" t="str">
        <x:v>SEC038</x:v>
      </x:c>
      <x:c r="C3785" s="3" t="n">
        <x:v>1</x:v>
      </x:c>
      <x:c r="D3785" s="3" t="str">
        <x:v>absent</x:v>
      </x:c>
      <x:c r="E3785" s="5" t="str">
        <x:f>VLOOKUP(B3785,Sections!$A$5:$I$45,3,FALSE)</x:f>
        <x:v>2024-1</x:v>
      </x:c>
    </x:row>
    <x:row r="3786" ht="21" customHeight="1">
      <x:c r="A3786" s="3" t="str">
        <x:v>2201015</x:v>
      </x:c>
      <x:c r="B3786" s="3" t="str">
        <x:v>SEC038</x:v>
      </x:c>
      <x:c r="C3786" s="3" t="n">
        <x:v>2</x:v>
      </x:c>
      <x:c r="D3786" s="3" t="str">
        <x:v>late</x:v>
      </x:c>
      <x:c r="E3786" s="5" t="str">
        <x:f>VLOOKUP(B3786,Sections!$A$5:$I$45,3,FALSE)</x:f>
        <x:v>2024-1</x:v>
      </x:c>
    </x:row>
    <x:row r="3787" ht="21" customHeight="1">
      <x:c r="A3787" s="3" t="str">
        <x:v>2201015</x:v>
      </x:c>
      <x:c r="B3787" s="3" t="str">
        <x:v>SEC038</x:v>
      </x:c>
      <x:c r="C3787" s="3" t="n">
        <x:v>3</x:v>
      </x:c>
      <x:c r="D3787" s="3" t="str">
        <x:v>present</x:v>
      </x:c>
      <x:c r="E3787" s="5" t="str">
        <x:f>VLOOKUP(B3787,Sections!$A$5:$I$45,3,FALSE)</x:f>
        <x:v>2024-1</x:v>
      </x:c>
    </x:row>
    <x:row r="3788" ht="21" customHeight="1">
      <x:c r="A3788" s="3" t="str">
        <x:v>2201015</x:v>
      </x:c>
      <x:c r="B3788" s="3" t="str">
        <x:v>SEC038</x:v>
      </x:c>
      <x:c r="C3788" s="3" t="n">
        <x:v>4</x:v>
      </x:c>
      <x:c r="D3788" s="3" t="str">
        <x:v>absent</x:v>
      </x:c>
      <x:c r="E3788" s="5" t="str">
        <x:f>VLOOKUP(B3788,Sections!$A$5:$I$45,3,FALSE)</x:f>
        <x:v>2024-1</x:v>
      </x:c>
    </x:row>
    <x:row r="3789" ht="21" customHeight="1">
      <x:c r="A3789" s="3" t="str">
        <x:v>2201015</x:v>
      </x:c>
      <x:c r="B3789" s="3" t="str">
        <x:v>SEC038</x:v>
      </x:c>
      <x:c r="C3789" s="3" t="n">
        <x:v>5</x:v>
      </x:c>
      <x:c r="D3789" s="3" t="str">
        <x:v>present</x:v>
      </x:c>
      <x:c r="E3789" s="5" t="str">
        <x:f>VLOOKUP(B3789,Sections!$A$5:$I$45,3,FALSE)</x:f>
        <x:v>2024-1</x:v>
      </x:c>
    </x:row>
    <x:row r="3790" ht="21" customHeight="1">
      <x:c r="A3790" s="3" t="str">
        <x:v>2201015</x:v>
      </x:c>
      <x:c r="B3790" s="3" t="str">
        <x:v>SEC038</x:v>
      </x:c>
      <x:c r="C3790" s="3" t="n">
        <x:v>6</x:v>
      </x:c>
      <x:c r="D3790" s="3" t="str">
        <x:v>absent</x:v>
      </x:c>
      <x:c r="E3790" s="5" t="str">
        <x:f>VLOOKUP(B3790,Sections!$A$5:$I$45,3,FALSE)</x:f>
        <x:v>2024-1</x:v>
      </x:c>
    </x:row>
    <x:row r="3791" ht="21" customHeight="1">
      <x:c r="A3791" s="3" t="str">
        <x:v>2201015</x:v>
      </x:c>
      <x:c r="B3791" s="3" t="str">
        <x:v>SEC038</x:v>
      </x:c>
      <x:c r="C3791" s="3" t="n">
        <x:v>7</x:v>
      </x:c>
      <x:c r="D3791" s="3" t="str">
        <x:v>present</x:v>
      </x:c>
      <x:c r="E3791" s="5" t="str">
        <x:f>VLOOKUP(B3791,Sections!$A$5:$I$45,3,FALSE)</x:f>
        <x:v>2024-1</x:v>
      </x:c>
    </x:row>
    <x:row r="3792" ht="21" customHeight="1">
      <x:c r="A3792" s="3" t="str">
        <x:v>2201015</x:v>
      </x:c>
      <x:c r="B3792" s="3" t="str">
        <x:v>SEC038</x:v>
      </x:c>
      <x:c r="C3792" s="3" t="n">
        <x:v>8</x:v>
      </x:c>
      <x:c r="D3792" s="3" t="str">
        <x:v>present</x:v>
      </x:c>
      <x:c r="E3792" s="5" t="str">
        <x:f>VLOOKUP(B3792,Sections!$A$5:$I$45,3,FALSE)</x:f>
        <x:v>2024-1</x:v>
      </x:c>
    </x:row>
    <x:row r="3793" ht="21" customHeight="1">
      <x:c r="A3793" s="3" t="str">
        <x:v>2201015</x:v>
      </x:c>
      <x:c r="B3793" s="3" t="str">
        <x:v>SEC038</x:v>
      </x:c>
      <x:c r="C3793" s="3" t="n">
        <x:v>9</x:v>
      </x:c>
      <x:c r="D3793" s="3" t="str">
        <x:v>present</x:v>
      </x:c>
      <x:c r="E3793" s="5" t="str">
        <x:f>VLOOKUP(B3793,Sections!$A$5:$I$45,3,FALSE)</x:f>
        <x:v>2024-1</x:v>
      </x:c>
    </x:row>
    <x:row r="3794" ht="21" customHeight="1">
      <x:c r="A3794" s="3" t="str">
        <x:v>2201015</x:v>
      </x:c>
      <x:c r="B3794" s="3" t="str">
        <x:v>SEC038</x:v>
      </x:c>
      <x:c r="C3794" s="3" t="n">
        <x:v>10</x:v>
      </x:c>
      <x:c r="D3794" s="3" t="str">
        <x:v>present</x:v>
      </x:c>
      <x:c r="E3794" s="5" t="str">
        <x:f>VLOOKUP(B3794,Sections!$A$5:$I$45,3,FALSE)</x:f>
        <x:v>2024-1</x:v>
      </x:c>
    </x:row>
    <x:row r="3795" ht="21" customHeight="1">
      <x:c r="A3795" s="3" t="str">
        <x:v>2201015</x:v>
      </x:c>
      <x:c r="B3795" s="3" t="str">
        <x:v>SEC038</x:v>
      </x:c>
      <x:c r="C3795" s="3" t="n">
        <x:v>11</x:v>
      </x:c>
      <x:c r="D3795" s="3" t="str">
        <x:v>present</x:v>
      </x:c>
      <x:c r="E3795" s="5" t="str">
        <x:f>VLOOKUP(B3795,Sections!$A$5:$I$45,3,FALSE)</x:f>
        <x:v>2024-1</x:v>
      </x:c>
    </x:row>
    <x:row r="3796" ht="21" customHeight="1">
      <x:c r="A3796" s="3" t="str">
        <x:v>2201015</x:v>
      </x:c>
      <x:c r="B3796" s="3" t="str">
        <x:v>SEC038</x:v>
      </x:c>
      <x:c r="C3796" s="3" t="n">
        <x:v>12</x:v>
      </x:c>
      <x:c r="D3796" s="3" t="str">
        <x:v>present</x:v>
      </x:c>
      <x:c r="E3796" s="5" t="str">
        <x:f>VLOOKUP(B3796,Sections!$A$5:$I$45,3,FALSE)</x:f>
        <x:v>2024-1</x:v>
      </x:c>
    </x:row>
    <x:row r="3797" ht="21" customHeight="1">
      <x:c r="A3797" s="3" t="str">
        <x:v>2201015</x:v>
      </x:c>
      <x:c r="B3797" s="3" t="str">
        <x:v>SEC038</x:v>
      </x:c>
      <x:c r="C3797" s="3" t="n">
        <x:v>13</x:v>
      </x:c>
      <x:c r="D3797" s="3" t="str">
        <x:v>excused</x:v>
      </x:c>
      <x:c r="E3797" s="5" t="str">
        <x:f>VLOOKUP(B3797,Sections!$A$5:$I$45,3,FALSE)</x:f>
        <x:v>2024-1</x:v>
      </x:c>
    </x:row>
    <x:row r="3798" ht="21" customHeight="1">
      <x:c r="A3798" s="3" t="str">
        <x:v>2201015</x:v>
      </x:c>
      <x:c r="B3798" s="3" t="str">
        <x:v>SEC038</x:v>
      </x:c>
      <x:c r="C3798" s="3" t="n">
        <x:v>14</x:v>
      </x:c>
      <x:c r="D3798" s="3" t="str">
        <x:v>absent</x:v>
      </x:c>
      <x:c r="E3798" s="5" t="str">
        <x:f>VLOOKUP(B3798,Sections!$A$5:$I$45,3,FALSE)</x:f>
        <x:v>2024-1</x:v>
      </x:c>
    </x:row>
    <x:row r="3799" ht="21" customHeight="1">
      <x:c r="A3799" s="3" t="str">
        <x:v>2201015</x:v>
      </x:c>
      <x:c r="B3799" s="3" t="str">
        <x:v>SEC038</x:v>
      </x:c>
      <x:c r="C3799" s="3" t="n">
        <x:v>15</x:v>
      </x:c>
      <x:c r="D3799" s="3" t="str">
        <x:v>present</x:v>
      </x:c>
      <x:c r="E3799" s="5" t="str">
        <x:f>VLOOKUP(B3799,Sections!$A$5:$I$45,3,FALSE)</x:f>
        <x:v>2024-1</x:v>
      </x:c>
    </x:row>
    <x:row r="3800" ht="21" customHeight="1">
      <x:c r="A3800" s="3" t="str">
        <x:v>2201016</x:v>
      </x:c>
      <x:c r="B3800" s="3" t="str">
        <x:v>SEC038</x:v>
      </x:c>
      <x:c r="C3800" s="3" t="n">
        <x:v>1</x:v>
      </x:c>
      <x:c r="D3800" s="3" t="str">
        <x:v>present</x:v>
      </x:c>
      <x:c r="E3800" s="5" t="str">
        <x:f>VLOOKUP(B3800,Sections!$A$5:$I$45,3,FALSE)</x:f>
        <x:v>2024-1</x:v>
      </x:c>
    </x:row>
    <x:row r="3801" ht="21" customHeight="1">
      <x:c r="A3801" s="3" t="str">
        <x:v>2201016</x:v>
      </x:c>
      <x:c r="B3801" s="3" t="str">
        <x:v>SEC038</x:v>
      </x:c>
      <x:c r="C3801" s="3" t="n">
        <x:v>2</x:v>
      </x:c>
      <x:c r="D3801" s="3" t="str">
        <x:v>present</x:v>
      </x:c>
      <x:c r="E3801" s="5" t="str">
        <x:f>VLOOKUP(B3801,Sections!$A$5:$I$45,3,FALSE)</x:f>
        <x:v>2024-1</x:v>
      </x:c>
    </x:row>
    <x:row r="3802" ht="21" customHeight="1">
      <x:c r="A3802" s="3" t="str">
        <x:v>2201016</x:v>
      </x:c>
      <x:c r="B3802" s="3" t="str">
        <x:v>SEC038</x:v>
      </x:c>
      <x:c r="C3802" s="3" t="n">
        <x:v>3</x:v>
      </x:c>
      <x:c r="D3802" s="3" t="str">
        <x:v>present</x:v>
      </x:c>
      <x:c r="E3802" s="5" t="str">
        <x:f>VLOOKUP(B3802,Sections!$A$5:$I$45,3,FALSE)</x:f>
        <x:v>2024-1</x:v>
      </x:c>
    </x:row>
    <x:row r="3803" ht="21" customHeight="1">
      <x:c r="A3803" s="3" t="str">
        <x:v>2201016</x:v>
      </x:c>
      <x:c r="B3803" s="3" t="str">
        <x:v>SEC038</x:v>
      </x:c>
      <x:c r="C3803" s="3" t="n">
        <x:v>4</x:v>
      </x:c>
      <x:c r="D3803" s="3" t="str">
        <x:v>late</x:v>
      </x:c>
      <x:c r="E3803" s="5" t="str">
        <x:f>VLOOKUP(B3803,Sections!$A$5:$I$45,3,FALSE)</x:f>
        <x:v>2024-1</x:v>
      </x:c>
    </x:row>
    <x:row r="3804" ht="21" customHeight="1">
      <x:c r="A3804" s="3" t="str">
        <x:v>2201016</x:v>
      </x:c>
      <x:c r="B3804" s="3" t="str">
        <x:v>SEC038</x:v>
      </x:c>
      <x:c r="C3804" s="3" t="n">
        <x:v>5</x:v>
      </x:c>
      <x:c r="D3804" s="3" t="str">
        <x:v>present</x:v>
      </x:c>
      <x:c r="E3804" s="5" t="str">
        <x:f>VLOOKUP(B3804,Sections!$A$5:$I$45,3,FALSE)</x:f>
        <x:v>2024-1</x:v>
      </x:c>
    </x:row>
    <x:row r="3805" ht="21" customHeight="1">
      <x:c r="A3805" s="3" t="str">
        <x:v>2201016</x:v>
      </x:c>
      <x:c r="B3805" s="3" t="str">
        <x:v>SEC038</x:v>
      </x:c>
      <x:c r="C3805" s="3" t="n">
        <x:v>6</x:v>
      </x:c>
      <x:c r="D3805" s="3" t="str">
        <x:v>present</x:v>
      </x:c>
      <x:c r="E3805" s="5" t="str">
        <x:f>VLOOKUP(B3805,Sections!$A$5:$I$45,3,FALSE)</x:f>
        <x:v>2024-1</x:v>
      </x:c>
    </x:row>
    <x:row r="3806" ht="21" customHeight="1">
      <x:c r="A3806" s="3" t="str">
        <x:v>2201016</x:v>
      </x:c>
      <x:c r="B3806" s="3" t="str">
        <x:v>SEC038</x:v>
      </x:c>
      <x:c r="C3806" s="3" t="n">
        <x:v>7</x:v>
      </x:c>
      <x:c r="D3806" s="3" t="str">
        <x:v>present</x:v>
      </x:c>
      <x:c r="E3806" s="5" t="str">
        <x:f>VLOOKUP(B3806,Sections!$A$5:$I$45,3,FALSE)</x:f>
        <x:v>2024-1</x:v>
      </x:c>
    </x:row>
    <x:row r="3807" ht="21" customHeight="1">
      <x:c r="A3807" s="3" t="str">
        <x:v>2201016</x:v>
      </x:c>
      <x:c r="B3807" s="3" t="str">
        <x:v>SEC038</x:v>
      </x:c>
      <x:c r="C3807" s="3" t="n">
        <x:v>8</x:v>
      </x:c>
      <x:c r="D3807" s="3" t="str">
        <x:v>late</x:v>
      </x:c>
      <x:c r="E3807" s="5" t="str">
        <x:f>VLOOKUP(B3807,Sections!$A$5:$I$45,3,FALSE)</x:f>
        <x:v>2024-1</x:v>
      </x:c>
    </x:row>
    <x:row r="3808" ht="21" customHeight="1">
      <x:c r="A3808" s="3" t="str">
        <x:v>2201016</x:v>
      </x:c>
      <x:c r="B3808" s="3" t="str">
        <x:v>SEC038</x:v>
      </x:c>
      <x:c r="C3808" s="3" t="n">
        <x:v>9</x:v>
      </x:c>
      <x:c r="D3808" s="3" t="str">
        <x:v>present</x:v>
      </x:c>
      <x:c r="E3808" s="5" t="str">
        <x:f>VLOOKUP(B3808,Sections!$A$5:$I$45,3,FALSE)</x:f>
        <x:v>2024-1</x:v>
      </x:c>
    </x:row>
    <x:row r="3809" ht="21" customHeight="1">
      <x:c r="A3809" s="3" t="str">
        <x:v>2201016</x:v>
      </x:c>
      <x:c r="B3809" s="3" t="str">
        <x:v>SEC038</x:v>
      </x:c>
      <x:c r="C3809" s="3" t="n">
        <x:v>10</x:v>
      </x:c>
      <x:c r="D3809" s="3" t="str">
        <x:v>present</x:v>
      </x:c>
      <x:c r="E3809" s="5" t="str">
        <x:f>VLOOKUP(B3809,Sections!$A$5:$I$45,3,FALSE)</x:f>
        <x:v>2024-1</x:v>
      </x:c>
    </x:row>
    <x:row r="3810" ht="21" customHeight="1">
      <x:c r="A3810" s="3" t="str">
        <x:v>2201016</x:v>
      </x:c>
      <x:c r="B3810" s="3" t="str">
        <x:v>SEC038</x:v>
      </x:c>
      <x:c r="C3810" s="3" t="n">
        <x:v>11</x:v>
      </x:c>
      <x:c r="D3810" s="3" t="str">
        <x:v>present</x:v>
      </x:c>
      <x:c r="E3810" s="5" t="str">
        <x:f>VLOOKUP(B3810,Sections!$A$5:$I$45,3,FALSE)</x:f>
        <x:v>2024-1</x:v>
      </x:c>
    </x:row>
    <x:row r="3811" ht="21" customHeight="1">
      <x:c r="A3811" s="3" t="str">
        <x:v>2201016</x:v>
      </x:c>
      <x:c r="B3811" s="3" t="str">
        <x:v>SEC038</x:v>
      </x:c>
      <x:c r="C3811" s="3" t="n">
        <x:v>12</x:v>
      </x:c>
      <x:c r="D3811" s="3" t="str">
        <x:v>present</x:v>
      </x:c>
      <x:c r="E3811" s="5" t="str">
        <x:f>VLOOKUP(B3811,Sections!$A$5:$I$45,3,FALSE)</x:f>
        <x:v>2024-1</x:v>
      </x:c>
    </x:row>
    <x:row r="3812" ht="21" customHeight="1">
      <x:c r="A3812" s="3" t="str">
        <x:v>2201016</x:v>
      </x:c>
      <x:c r="B3812" s="3" t="str">
        <x:v>SEC038</x:v>
      </x:c>
      <x:c r="C3812" s="3" t="n">
        <x:v>13</x:v>
      </x:c>
      <x:c r="D3812" s="3" t="str">
        <x:v>present</x:v>
      </x:c>
      <x:c r="E3812" s="5" t="str">
        <x:f>VLOOKUP(B3812,Sections!$A$5:$I$45,3,FALSE)</x:f>
        <x:v>2024-1</x:v>
      </x:c>
    </x:row>
    <x:row r="3813" ht="21" customHeight="1">
      <x:c r="A3813" s="3" t="str">
        <x:v>2201016</x:v>
      </x:c>
      <x:c r="B3813" s="3" t="str">
        <x:v>SEC038</x:v>
      </x:c>
      <x:c r="C3813" s="3" t="n">
        <x:v>14</x:v>
      </x:c>
      <x:c r="D3813" s="3" t="str">
        <x:v>present</x:v>
      </x:c>
      <x:c r="E3813" s="5" t="str">
        <x:f>VLOOKUP(B3813,Sections!$A$5:$I$45,3,FALSE)</x:f>
        <x:v>2024-1</x:v>
      </x:c>
    </x:row>
    <x:row r="3814" ht="21" customHeight="1">
      <x:c r="A3814" s="3" t="str">
        <x:v>2201016</x:v>
      </x:c>
      <x:c r="B3814" s="3" t="str">
        <x:v>SEC038</x:v>
      </x:c>
      <x:c r="C3814" s="3" t="n">
        <x:v>15</x:v>
      </x:c>
      <x:c r="D3814" s="3" t="str">
        <x:v>present</x:v>
      </x:c>
      <x:c r="E3814" s="5" t="str">
        <x:f>VLOOKUP(B3814,Sections!$A$5:$I$45,3,FALSE)</x:f>
        <x:v>2024-1</x:v>
      </x:c>
    </x:row>
    <x:row r="3815" ht="21" customHeight="1">
      <x:c r="A3815" s="3" t="str">
        <x:v>2201017</x:v>
      </x:c>
      <x:c r="B3815" s="3" t="str">
        <x:v>SEC038</x:v>
      </x:c>
      <x:c r="C3815" s="3" t="n">
        <x:v>1</x:v>
      </x:c>
      <x:c r="D3815" s="3" t="str">
        <x:v>present</x:v>
      </x:c>
      <x:c r="E3815" s="5" t="str">
        <x:f>VLOOKUP(B3815,Sections!$A$5:$I$45,3,FALSE)</x:f>
        <x:v>2024-1</x:v>
      </x:c>
    </x:row>
    <x:row r="3816" ht="21" customHeight="1">
      <x:c r="A3816" s="3" t="str">
        <x:v>2201017</x:v>
      </x:c>
      <x:c r="B3816" s="3" t="str">
        <x:v>SEC038</x:v>
      </x:c>
      <x:c r="C3816" s="3" t="n">
        <x:v>2</x:v>
      </x:c>
      <x:c r="D3816" s="3" t="str">
        <x:v>present</x:v>
      </x:c>
      <x:c r="E3816" s="5" t="str">
        <x:f>VLOOKUP(B3816,Sections!$A$5:$I$45,3,FALSE)</x:f>
        <x:v>2024-1</x:v>
      </x:c>
    </x:row>
    <x:row r="3817" ht="21" customHeight="1">
      <x:c r="A3817" s="3" t="str">
        <x:v>2201017</x:v>
      </x:c>
      <x:c r="B3817" s="3" t="str">
        <x:v>SEC038</x:v>
      </x:c>
      <x:c r="C3817" s="3" t="n">
        <x:v>3</x:v>
      </x:c>
      <x:c r="D3817" s="3" t="str">
        <x:v>present</x:v>
      </x:c>
      <x:c r="E3817" s="5" t="str">
        <x:f>VLOOKUP(B3817,Sections!$A$5:$I$45,3,FALSE)</x:f>
        <x:v>2024-1</x:v>
      </x:c>
    </x:row>
    <x:row r="3818" ht="21" customHeight="1">
      <x:c r="A3818" s="3" t="str">
        <x:v>2201017</x:v>
      </x:c>
      <x:c r="B3818" s="3" t="str">
        <x:v>SEC038</x:v>
      </x:c>
      <x:c r="C3818" s="3" t="n">
        <x:v>4</x:v>
      </x:c>
      <x:c r="D3818" s="3" t="str">
        <x:v>present</x:v>
      </x:c>
      <x:c r="E3818" s="5" t="str">
        <x:f>VLOOKUP(B3818,Sections!$A$5:$I$45,3,FALSE)</x:f>
        <x:v>2024-1</x:v>
      </x:c>
    </x:row>
    <x:row r="3819" ht="21" customHeight="1">
      <x:c r="A3819" s="3" t="str">
        <x:v>2201017</x:v>
      </x:c>
      <x:c r="B3819" s="3" t="str">
        <x:v>SEC038</x:v>
      </x:c>
      <x:c r="C3819" s="3" t="n">
        <x:v>5</x:v>
      </x:c>
      <x:c r="D3819" s="3" t="str">
        <x:v>present</x:v>
      </x:c>
      <x:c r="E3819" s="5" t="str">
        <x:f>VLOOKUP(B3819,Sections!$A$5:$I$45,3,FALSE)</x:f>
        <x:v>2024-1</x:v>
      </x:c>
    </x:row>
    <x:row r="3820" ht="21" customHeight="1">
      <x:c r="A3820" s="3" t="str">
        <x:v>2201017</x:v>
      </x:c>
      <x:c r="B3820" s="3" t="str">
        <x:v>SEC038</x:v>
      </x:c>
      <x:c r="C3820" s="3" t="n">
        <x:v>6</x:v>
      </x:c>
      <x:c r="D3820" s="3" t="str">
        <x:v>present</x:v>
      </x:c>
      <x:c r="E3820" s="5" t="str">
        <x:f>VLOOKUP(B3820,Sections!$A$5:$I$45,3,FALSE)</x:f>
        <x:v>2024-1</x:v>
      </x:c>
    </x:row>
    <x:row r="3821" ht="21" customHeight="1">
      <x:c r="A3821" s="3" t="str">
        <x:v>2201017</x:v>
      </x:c>
      <x:c r="B3821" s="3" t="str">
        <x:v>SEC038</x:v>
      </x:c>
      <x:c r="C3821" s="3" t="n">
        <x:v>7</x:v>
      </x:c>
      <x:c r="D3821" s="3" t="str">
        <x:v>present</x:v>
      </x:c>
      <x:c r="E3821" s="5" t="str">
        <x:f>VLOOKUP(B3821,Sections!$A$5:$I$45,3,FALSE)</x:f>
        <x:v>2024-1</x:v>
      </x:c>
    </x:row>
    <x:row r="3822" ht="21" customHeight="1">
      <x:c r="A3822" s="3" t="str">
        <x:v>2201017</x:v>
      </x:c>
      <x:c r="B3822" s="3" t="str">
        <x:v>SEC038</x:v>
      </x:c>
      <x:c r="C3822" s="3" t="n">
        <x:v>8</x:v>
      </x:c>
      <x:c r="D3822" s="3" t="str">
        <x:v>late</x:v>
      </x:c>
      <x:c r="E3822" s="5" t="str">
        <x:f>VLOOKUP(B3822,Sections!$A$5:$I$45,3,FALSE)</x:f>
        <x:v>2024-1</x:v>
      </x:c>
    </x:row>
    <x:row r="3823" ht="21" customHeight="1">
      <x:c r="A3823" s="3" t="str">
        <x:v>2201017</x:v>
      </x:c>
      <x:c r="B3823" s="3" t="str">
        <x:v>SEC038</x:v>
      </x:c>
      <x:c r="C3823" s="3" t="n">
        <x:v>9</x:v>
      </x:c>
      <x:c r="D3823" s="3" t="str">
        <x:v>present</x:v>
      </x:c>
      <x:c r="E3823" s="5" t="str">
        <x:f>VLOOKUP(B3823,Sections!$A$5:$I$45,3,FALSE)</x:f>
        <x:v>2024-1</x:v>
      </x:c>
    </x:row>
    <x:row r="3824" ht="21" customHeight="1">
      <x:c r="A3824" s="3" t="str">
        <x:v>2201017</x:v>
      </x:c>
      <x:c r="B3824" s="3" t="str">
        <x:v>SEC038</x:v>
      </x:c>
      <x:c r="C3824" s="3" t="n">
        <x:v>10</x:v>
      </x:c>
      <x:c r="D3824" s="3" t="str">
        <x:v>present</x:v>
      </x:c>
      <x:c r="E3824" s="5" t="str">
        <x:f>VLOOKUP(B3824,Sections!$A$5:$I$45,3,FALSE)</x:f>
        <x:v>2024-1</x:v>
      </x:c>
    </x:row>
    <x:row r="3825" ht="21" customHeight="1">
      <x:c r="A3825" s="3" t="str">
        <x:v>2201017</x:v>
      </x:c>
      <x:c r="B3825" s="3" t="str">
        <x:v>SEC038</x:v>
      </x:c>
      <x:c r="C3825" s="3" t="n">
        <x:v>11</x:v>
      </x:c>
      <x:c r="D3825" s="3" t="str">
        <x:v>present</x:v>
      </x:c>
      <x:c r="E3825" s="5" t="str">
        <x:f>VLOOKUP(B3825,Sections!$A$5:$I$45,3,FALSE)</x:f>
        <x:v>2024-1</x:v>
      </x:c>
    </x:row>
    <x:row r="3826" ht="21" customHeight="1">
      <x:c r="A3826" s="3" t="str">
        <x:v>2201017</x:v>
      </x:c>
      <x:c r="B3826" s="3" t="str">
        <x:v>SEC038</x:v>
      </x:c>
      <x:c r="C3826" s="3" t="n">
        <x:v>12</x:v>
      </x:c>
      <x:c r="D3826" s="3" t="str">
        <x:v>present</x:v>
      </x:c>
      <x:c r="E3826" s="5" t="str">
        <x:f>VLOOKUP(B3826,Sections!$A$5:$I$45,3,FALSE)</x:f>
        <x:v>2024-1</x:v>
      </x:c>
    </x:row>
    <x:row r="3827" ht="21" customHeight="1">
      <x:c r="A3827" s="3" t="str">
        <x:v>2201017</x:v>
      </x:c>
      <x:c r="B3827" s="3" t="str">
        <x:v>SEC038</x:v>
      </x:c>
      <x:c r="C3827" s="3" t="n">
        <x:v>13</x:v>
      </x:c>
      <x:c r="D3827" s="3" t="str">
        <x:v>present</x:v>
      </x:c>
      <x:c r="E3827" s="5" t="str">
        <x:f>VLOOKUP(B3827,Sections!$A$5:$I$45,3,FALSE)</x:f>
        <x:v>2024-1</x:v>
      </x:c>
    </x:row>
    <x:row r="3828" ht="21" customHeight="1">
      <x:c r="A3828" s="3" t="str">
        <x:v>2201017</x:v>
      </x:c>
      <x:c r="B3828" s="3" t="str">
        <x:v>SEC038</x:v>
      </x:c>
      <x:c r="C3828" s="3" t="n">
        <x:v>14</x:v>
      </x:c>
      <x:c r="D3828" s="3" t="str">
        <x:v>present</x:v>
      </x:c>
      <x:c r="E3828" s="5" t="str">
        <x:f>VLOOKUP(B3828,Sections!$A$5:$I$45,3,FALSE)</x:f>
        <x:v>2024-1</x:v>
      </x:c>
    </x:row>
    <x:row r="3829" ht="21" customHeight="1">
      <x:c r="A3829" s="3" t="str">
        <x:v>2201017</x:v>
      </x:c>
      <x:c r="B3829" s="3" t="str">
        <x:v>SEC038</x:v>
      </x:c>
      <x:c r="C3829" s="3" t="n">
        <x:v>15</x:v>
      </x:c>
      <x:c r="D3829" s="3" t="str">
        <x:v>present</x:v>
      </x:c>
      <x:c r="E3829" s="5" t="str">
        <x:f>VLOOKUP(B3829,Sections!$A$5:$I$45,3,FALSE)</x:f>
        <x:v>2024-1</x:v>
      </x:c>
    </x:row>
    <x:row r="3830" ht="21" customHeight="1">
      <x:c r="A3830" s="3" t="str">
        <x:v>2201018</x:v>
      </x:c>
      <x:c r="B3830" s="3" t="str">
        <x:v>SEC038</x:v>
      </x:c>
      <x:c r="C3830" s="3" t="n">
        <x:v>1</x:v>
      </x:c>
      <x:c r="D3830" s="3" t="str">
        <x:v>present</x:v>
      </x:c>
      <x:c r="E3830" s="5" t="str">
        <x:f>VLOOKUP(B3830,Sections!$A$5:$I$45,3,FALSE)</x:f>
        <x:v>2024-1</x:v>
      </x:c>
    </x:row>
    <x:row r="3831" ht="21" customHeight="1">
      <x:c r="A3831" s="3" t="str">
        <x:v>2201018</x:v>
      </x:c>
      <x:c r="B3831" s="3" t="str">
        <x:v>SEC038</x:v>
      </x:c>
      <x:c r="C3831" s="3" t="n">
        <x:v>2</x:v>
      </x:c>
      <x:c r="D3831" s="3" t="str">
        <x:v>present</x:v>
      </x:c>
      <x:c r="E3831" s="5" t="str">
        <x:f>VLOOKUP(B3831,Sections!$A$5:$I$45,3,FALSE)</x:f>
        <x:v>2024-1</x:v>
      </x:c>
    </x:row>
    <x:row r="3832" ht="21" customHeight="1">
      <x:c r="A3832" s="3" t="str">
        <x:v>2201018</x:v>
      </x:c>
      <x:c r="B3832" s="3" t="str">
        <x:v>SEC038</x:v>
      </x:c>
      <x:c r="C3832" s="3" t="n">
        <x:v>3</x:v>
      </x:c>
      <x:c r="D3832" s="3" t="str">
        <x:v>present</x:v>
      </x:c>
      <x:c r="E3832" s="5" t="str">
        <x:f>VLOOKUP(B3832,Sections!$A$5:$I$45,3,FALSE)</x:f>
        <x:v>2024-1</x:v>
      </x:c>
    </x:row>
    <x:row r="3833" ht="21" customHeight="1">
      <x:c r="A3833" s="3" t="str">
        <x:v>2201018</x:v>
      </x:c>
      <x:c r="B3833" s="3" t="str">
        <x:v>SEC038</x:v>
      </x:c>
      <x:c r="C3833" s="3" t="n">
        <x:v>4</x:v>
      </x:c>
      <x:c r="D3833" s="3" t="str">
        <x:v>present</x:v>
      </x:c>
      <x:c r="E3833" s="5" t="str">
        <x:f>VLOOKUP(B3833,Sections!$A$5:$I$45,3,FALSE)</x:f>
        <x:v>2024-1</x:v>
      </x:c>
    </x:row>
    <x:row r="3834" ht="21" customHeight="1">
      <x:c r="A3834" s="3" t="str">
        <x:v>2201018</x:v>
      </x:c>
      <x:c r="B3834" s="3" t="str">
        <x:v>SEC038</x:v>
      </x:c>
      <x:c r="C3834" s="3" t="n">
        <x:v>5</x:v>
      </x:c>
      <x:c r="D3834" s="3" t="str">
        <x:v>present</x:v>
      </x:c>
      <x:c r="E3834" s="5" t="str">
        <x:f>VLOOKUP(B3834,Sections!$A$5:$I$45,3,FALSE)</x:f>
        <x:v>2024-1</x:v>
      </x:c>
    </x:row>
    <x:row r="3835" ht="21" customHeight="1">
      <x:c r="A3835" s="3" t="str">
        <x:v>2201018</x:v>
      </x:c>
      <x:c r="B3835" s="3" t="str">
        <x:v>SEC038</x:v>
      </x:c>
      <x:c r="C3835" s="3" t="n">
        <x:v>6</x:v>
      </x:c>
      <x:c r="D3835" s="3" t="str">
        <x:v>present</x:v>
      </x:c>
      <x:c r="E3835" s="5" t="str">
        <x:f>VLOOKUP(B3835,Sections!$A$5:$I$45,3,FALSE)</x:f>
        <x:v>2024-1</x:v>
      </x:c>
    </x:row>
    <x:row r="3836" ht="21" customHeight="1">
      <x:c r="A3836" s="3" t="str">
        <x:v>2201018</x:v>
      </x:c>
      <x:c r="B3836" s="3" t="str">
        <x:v>SEC038</x:v>
      </x:c>
      <x:c r="C3836" s="3" t="n">
        <x:v>7</x:v>
      </x:c>
      <x:c r="D3836" s="3" t="str">
        <x:v>present</x:v>
      </x:c>
      <x:c r="E3836" s="5" t="str">
        <x:f>VLOOKUP(B3836,Sections!$A$5:$I$45,3,FALSE)</x:f>
        <x:v>2024-1</x:v>
      </x:c>
    </x:row>
    <x:row r="3837" ht="21" customHeight="1">
      <x:c r="A3837" s="3" t="str">
        <x:v>2201018</x:v>
      </x:c>
      <x:c r="B3837" s="3" t="str">
        <x:v>SEC038</x:v>
      </x:c>
      <x:c r="C3837" s="3" t="n">
        <x:v>8</x:v>
      </x:c>
      <x:c r="D3837" s="3" t="str">
        <x:v>present</x:v>
      </x:c>
      <x:c r="E3837" s="5" t="str">
        <x:f>VLOOKUP(B3837,Sections!$A$5:$I$45,3,FALSE)</x:f>
        <x:v>2024-1</x:v>
      </x:c>
    </x:row>
    <x:row r="3838" ht="21" customHeight="1">
      <x:c r="A3838" s="3" t="str">
        <x:v>2201018</x:v>
      </x:c>
      <x:c r="B3838" s="3" t="str">
        <x:v>SEC038</x:v>
      </x:c>
      <x:c r="C3838" s="3" t="n">
        <x:v>9</x:v>
      </x:c>
      <x:c r="D3838" s="3" t="str">
        <x:v>present</x:v>
      </x:c>
      <x:c r="E3838" s="5" t="str">
        <x:f>VLOOKUP(B3838,Sections!$A$5:$I$45,3,FALSE)</x:f>
        <x:v>2024-1</x:v>
      </x:c>
    </x:row>
    <x:row r="3839" ht="21" customHeight="1">
      <x:c r="A3839" s="3" t="str">
        <x:v>2201018</x:v>
      </x:c>
      <x:c r="B3839" s="3" t="str">
        <x:v>SEC038</x:v>
      </x:c>
      <x:c r="C3839" s="3" t="n">
        <x:v>10</x:v>
      </x:c>
      <x:c r="D3839" s="3" t="str">
        <x:v>absent</x:v>
      </x:c>
      <x:c r="E3839" s="5" t="str">
        <x:f>VLOOKUP(B3839,Sections!$A$5:$I$45,3,FALSE)</x:f>
        <x:v>2024-1</x:v>
      </x:c>
    </x:row>
    <x:row r="3840" ht="21" customHeight="1">
      <x:c r="A3840" s="3" t="str">
        <x:v>2201018</x:v>
      </x:c>
      <x:c r="B3840" s="3" t="str">
        <x:v>SEC038</x:v>
      </x:c>
      <x:c r="C3840" s="3" t="n">
        <x:v>11</x:v>
      </x:c>
      <x:c r="D3840" s="3" t="str">
        <x:v>present</x:v>
      </x:c>
      <x:c r="E3840" s="5" t="str">
        <x:f>VLOOKUP(B3840,Sections!$A$5:$I$45,3,FALSE)</x:f>
        <x:v>2024-1</x:v>
      </x:c>
    </x:row>
    <x:row r="3841" ht="21" customHeight="1">
      <x:c r="A3841" s="3" t="str">
        <x:v>2201018</x:v>
      </x:c>
      <x:c r="B3841" s="3" t="str">
        <x:v>SEC038</x:v>
      </x:c>
      <x:c r="C3841" s="3" t="n">
        <x:v>12</x:v>
      </x:c>
      <x:c r="D3841" s="3" t="str">
        <x:v>present</x:v>
      </x:c>
      <x:c r="E3841" s="5" t="str">
        <x:f>VLOOKUP(B3841,Sections!$A$5:$I$45,3,FALSE)</x:f>
        <x:v>2024-1</x:v>
      </x:c>
    </x:row>
    <x:row r="3842" ht="21" customHeight="1">
      <x:c r="A3842" s="3" t="str">
        <x:v>2201018</x:v>
      </x:c>
      <x:c r="B3842" s="3" t="str">
        <x:v>SEC038</x:v>
      </x:c>
      <x:c r="C3842" s="3" t="n">
        <x:v>13</x:v>
      </x:c>
      <x:c r="D3842" s="3" t="str">
        <x:v>absent</x:v>
      </x:c>
      <x:c r="E3842" s="5" t="str">
        <x:f>VLOOKUP(B3842,Sections!$A$5:$I$45,3,FALSE)</x:f>
        <x:v>2024-1</x:v>
      </x:c>
    </x:row>
    <x:row r="3843" ht="21" customHeight="1">
      <x:c r="A3843" s="3" t="str">
        <x:v>2201018</x:v>
      </x:c>
      <x:c r="B3843" s="3" t="str">
        <x:v>SEC038</x:v>
      </x:c>
      <x:c r="C3843" s="3" t="n">
        <x:v>14</x:v>
      </x:c>
      <x:c r="D3843" s="3" t="str">
        <x:v>excused</x:v>
      </x:c>
      <x:c r="E3843" s="5" t="str">
        <x:f>VLOOKUP(B3843,Sections!$A$5:$I$45,3,FALSE)</x:f>
        <x:v>2024-1</x:v>
      </x:c>
    </x:row>
    <x:row r="3844" ht="21" customHeight="1">
      <x:c r="A3844" s="3" t="str">
        <x:v>2201018</x:v>
      </x:c>
      <x:c r="B3844" s="3" t="str">
        <x:v>SEC038</x:v>
      </x:c>
      <x:c r="C3844" s="3" t="n">
        <x:v>15</x:v>
      </x:c>
      <x:c r="D3844" s="3" t="str">
        <x:v>present</x:v>
      </x:c>
      <x:c r="E3844" s="5" t="str">
        <x:f>VLOOKUP(B3844,Sections!$A$5:$I$45,3,FALSE)</x:f>
        <x:v>2024-1</x:v>
      </x:c>
    </x:row>
    <x:row r="3845" ht="21" customHeight="1">
      <x:c r="A3845" s="3" t="str">
        <x:v>2201019</x:v>
      </x:c>
      <x:c r="B3845" s="3" t="str">
        <x:v>SEC038</x:v>
      </x:c>
      <x:c r="C3845" s="3" t="n">
        <x:v>1</x:v>
      </x:c>
      <x:c r="D3845" s="3" t="str">
        <x:v>present</x:v>
      </x:c>
      <x:c r="E3845" s="5" t="str">
        <x:f>VLOOKUP(B3845,Sections!$A$5:$I$45,3,FALSE)</x:f>
        <x:v>2024-1</x:v>
      </x:c>
    </x:row>
    <x:row r="3846" ht="21" customHeight="1">
      <x:c r="A3846" s="3" t="str">
        <x:v>2201019</x:v>
      </x:c>
      <x:c r="B3846" s="3" t="str">
        <x:v>SEC038</x:v>
      </x:c>
      <x:c r="C3846" s="3" t="n">
        <x:v>2</x:v>
      </x:c>
      <x:c r="D3846" s="3" t="str">
        <x:v>present</x:v>
      </x:c>
      <x:c r="E3846" s="5" t="str">
        <x:f>VLOOKUP(B3846,Sections!$A$5:$I$45,3,FALSE)</x:f>
        <x:v>2024-1</x:v>
      </x:c>
    </x:row>
    <x:row r="3847" ht="21" customHeight="1">
      <x:c r="A3847" s="3" t="str">
        <x:v>2201019</x:v>
      </x:c>
      <x:c r="B3847" s="3" t="str">
        <x:v>SEC038</x:v>
      </x:c>
      <x:c r="C3847" s="3" t="n">
        <x:v>3</x:v>
      </x:c>
      <x:c r="D3847" s="3" t="str">
        <x:v>present</x:v>
      </x:c>
      <x:c r="E3847" s="5" t="str">
        <x:f>VLOOKUP(B3847,Sections!$A$5:$I$45,3,FALSE)</x:f>
        <x:v>2024-1</x:v>
      </x:c>
    </x:row>
    <x:row r="3848" ht="21" customHeight="1">
      <x:c r="A3848" s="3" t="str">
        <x:v>2201019</x:v>
      </x:c>
      <x:c r="B3848" s="3" t="str">
        <x:v>SEC038</x:v>
      </x:c>
      <x:c r="C3848" s="3" t="n">
        <x:v>4</x:v>
      </x:c>
      <x:c r="D3848" s="3" t="str">
        <x:v>present</x:v>
      </x:c>
      <x:c r="E3848" s="5" t="str">
        <x:f>VLOOKUP(B3848,Sections!$A$5:$I$45,3,FALSE)</x:f>
        <x:v>2024-1</x:v>
      </x:c>
    </x:row>
    <x:row r="3849" ht="21" customHeight="1">
      <x:c r="A3849" s="3" t="str">
        <x:v>2201019</x:v>
      </x:c>
      <x:c r="B3849" s="3" t="str">
        <x:v>SEC038</x:v>
      </x:c>
      <x:c r="C3849" s="3" t="n">
        <x:v>5</x:v>
      </x:c>
      <x:c r="D3849" s="3" t="str">
        <x:v>present</x:v>
      </x:c>
      <x:c r="E3849" s="5" t="str">
        <x:f>VLOOKUP(B3849,Sections!$A$5:$I$45,3,FALSE)</x:f>
        <x:v>2024-1</x:v>
      </x:c>
    </x:row>
    <x:row r="3850" ht="21" customHeight="1">
      <x:c r="A3850" s="3" t="str">
        <x:v>2201019</x:v>
      </x:c>
      <x:c r="B3850" s="3" t="str">
        <x:v>SEC038</x:v>
      </x:c>
      <x:c r="C3850" s="3" t="n">
        <x:v>6</x:v>
      </x:c>
      <x:c r="D3850" s="3" t="str">
        <x:v>present</x:v>
      </x:c>
      <x:c r="E3850" s="5" t="str">
        <x:f>VLOOKUP(B3850,Sections!$A$5:$I$45,3,FALSE)</x:f>
        <x:v>2024-1</x:v>
      </x:c>
    </x:row>
    <x:row r="3851" ht="21" customHeight="1">
      <x:c r="A3851" s="3" t="str">
        <x:v>2201019</x:v>
      </x:c>
      <x:c r="B3851" s="3" t="str">
        <x:v>SEC038</x:v>
      </x:c>
      <x:c r="C3851" s="3" t="n">
        <x:v>7</x:v>
      </x:c>
      <x:c r="D3851" s="3" t="str">
        <x:v>present</x:v>
      </x:c>
      <x:c r="E3851" s="5" t="str">
        <x:f>VLOOKUP(B3851,Sections!$A$5:$I$45,3,FALSE)</x:f>
        <x:v>2024-1</x:v>
      </x:c>
    </x:row>
    <x:row r="3852" ht="21" customHeight="1">
      <x:c r="A3852" s="3" t="str">
        <x:v>2201019</x:v>
      </x:c>
      <x:c r="B3852" s="3" t="str">
        <x:v>SEC038</x:v>
      </x:c>
      <x:c r="C3852" s="3" t="n">
        <x:v>8</x:v>
      </x:c>
      <x:c r="D3852" s="3" t="str">
        <x:v>present</x:v>
      </x:c>
      <x:c r="E3852" s="5" t="str">
        <x:f>VLOOKUP(B3852,Sections!$A$5:$I$45,3,FALSE)</x:f>
        <x:v>2024-1</x:v>
      </x:c>
    </x:row>
    <x:row r="3853" ht="21" customHeight="1">
      <x:c r="A3853" s="3" t="str">
        <x:v>2201019</x:v>
      </x:c>
      <x:c r="B3853" s="3" t="str">
        <x:v>SEC038</x:v>
      </x:c>
      <x:c r="C3853" s="3" t="n">
        <x:v>9</x:v>
      </x:c>
      <x:c r="D3853" s="3" t="str">
        <x:v>present</x:v>
      </x:c>
      <x:c r="E3853" s="5" t="str">
        <x:f>VLOOKUP(B3853,Sections!$A$5:$I$45,3,FALSE)</x:f>
        <x:v>2024-1</x:v>
      </x:c>
    </x:row>
    <x:row r="3854" ht="21" customHeight="1">
      <x:c r="A3854" s="3" t="str">
        <x:v>2201019</x:v>
      </x:c>
      <x:c r="B3854" s="3" t="str">
        <x:v>SEC038</x:v>
      </x:c>
      <x:c r="C3854" s="3" t="n">
        <x:v>10</x:v>
      </x:c>
      <x:c r="D3854" s="3" t="str">
        <x:v>present</x:v>
      </x:c>
      <x:c r="E3854" s="5" t="str">
        <x:f>VLOOKUP(B3854,Sections!$A$5:$I$45,3,FALSE)</x:f>
        <x:v>2024-1</x:v>
      </x:c>
    </x:row>
    <x:row r="3855" ht="21" customHeight="1">
      <x:c r="A3855" s="3" t="str">
        <x:v>2201019</x:v>
      </x:c>
      <x:c r="B3855" s="3" t="str">
        <x:v>SEC038</x:v>
      </x:c>
      <x:c r="C3855" s="3" t="n">
        <x:v>11</x:v>
      </x:c>
      <x:c r="D3855" s="3" t="str">
        <x:v>present</x:v>
      </x:c>
      <x:c r="E3855" s="5" t="str">
        <x:f>VLOOKUP(B3855,Sections!$A$5:$I$45,3,FALSE)</x:f>
        <x:v>2024-1</x:v>
      </x:c>
    </x:row>
    <x:row r="3856" ht="21" customHeight="1">
      <x:c r="A3856" s="3" t="str">
        <x:v>2201019</x:v>
      </x:c>
      <x:c r="B3856" s="3" t="str">
        <x:v>SEC038</x:v>
      </x:c>
      <x:c r="C3856" s="3" t="n">
        <x:v>12</x:v>
      </x:c>
      <x:c r="D3856" s="3" t="str">
        <x:v>present</x:v>
      </x:c>
      <x:c r="E3856" s="5" t="str">
        <x:f>VLOOKUP(B3856,Sections!$A$5:$I$45,3,FALSE)</x:f>
        <x:v>2024-1</x:v>
      </x:c>
    </x:row>
    <x:row r="3857" ht="21" customHeight="1">
      <x:c r="A3857" s="3" t="str">
        <x:v>2201019</x:v>
      </x:c>
      <x:c r="B3857" s="3" t="str">
        <x:v>SEC038</x:v>
      </x:c>
      <x:c r="C3857" s="3" t="n">
        <x:v>13</x:v>
      </x:c>
      <x:c r="D3857" s="3" t="str">
        <x:v>present</x:v>
      </x:c>
      <x:c r="E3857" s="5" t="str">
        <x:f>VLOOKUP(B3857,Sections!$A$5:$I$45,3,FALSE)</x:f>
        <x:v>2024-1</x:v>
      </x:c>
    </x:row>
    <x:row r="3858" ht="21" customHeight="1">
      <x:c r="A3858" s="3" t="str">
        <x:v>2201019</x:v>
      </x:c>
      <x:c r="B3858" s="3" t="str">
        <x:v>SEC038</x:v>
      </x:c>
      <x:c r="C3858" s="3" t="n">
        <x:v>14</x:v>
      </x:c>
      <x:c r="D3858" s="3" t="str">
        <x:v>present</x:v>
      </x:c>
      <x:c r="E3858" s="5" t="str">
        <x:f>VLOOKUP(B3858,Sections!$A$5:$I$45,3,FALSE)</x:f>
        <x:v>2024-1</x:v>
      </x:c>
    </x:row>
    <x:row r="3859" ht="21" customHeight="1">
      <x:c r="A3859" s="3" t="str">
        <x:v>2201019</x:v>
      </x:c>
      <x:c r="B3859" s="3" t="str">
        <x:v>SEC038</x:v>
      </x:c>
      <x:c r="C3859" s="3" t="n">
        <x:v>15</x:v>
      </x:c>
      <x:c r="D3859" s="3" t="str">
        <x:v>present</x:v>
      </x:c>
      <x:c r="E3859" s="5" t="str">
        <x:f>VLOOKUP(B3859,Sections!$A$5:$I$45,3,FALSE)</x:f>
        <x:v>2024-1</x:v>
      </x:c>
    </x:row>
    <x:row r="3860" ht="21" customHeight="1">
      <x:c r="A3860" s="3" t="str">
        <x:v>2201020</x:v>
      </x:c>
      <x:c r="B3860" s="3" t="str">
        <x:v>SEC038</x:v>
      </x:c>
      <x:c r="C3860" s="3" t="n">
        <x:v>1</x:v>
      </x:c>
      <x:c r="D3860" s="3" t="str">
        <x:v>present</x:v>
      </x:c>
      <x:c r="E3860" s="5" t="str">
        <x:f>VLOOKUP(B3860,Sections!$A$5:$I$45,3,FALSE)</x:f>
        <x:v>2024-1</x:v>
      </x:c>
    </x:row>
    <x:row r="3861" ht="21" customHeight="1">
      <x:c r="A3861" s="3" t="str">
        <x:v>2201020</x:v>
      </x:c>
      <x:c r="B3861" s="3" t="str">
        <x:v>SEC038</x:v>
      </x:c>
      <x:c r="C3861" s="3" t="n">
        <x:v>2</x:v>
      </x:c>
      <x:c r="D3861" s="3" t="str">
        <x:v>late</x:v>
      </x:c>
      <x:c r="E3861" s="5" t="str">
        <x:f>VLOOKUP(B3861,Sections!$A$5:$I$45,3,FALSE)</x:f>
        <x:v>2024-1</x:v>
      </x:c>
    </x:row>
    <x:row r="3862" ht="21" customHeight="1">
      <x:c r="A3862" s="3" t="str">
        <x:v>2201020</x:v>
      </x:c>
      <x:c r="B3862" s="3" t="str">
        <x:v>SEC038</x:v>
      </x:c>
      <x:c r="C3862" s="3" t="n">
        <x:v>3</x:v>
      </x:c>
      <x:c r="D3862" s="3" t="str">
        <x:v>absent</x:v>
      </x:c>
      <x:c r="E3862" s="5" t="str">
        <x:f>VLOOKUP(B3862,Sections!$A$5:$I$45,3,FALSE)</x:f>
        <x:v>2024-1</x:v>
      </x:c>
    </x:row>
    <x:row r="3863" ht="21" customHeight="1">
      <x:c r="A3863" s="3" t="str">
        <x:v>2201020</x:v>
      </x:c>
      <x:c r="B3863" s="3" t="str">
        <x:v>SEC038</x:v>
      </x:c>
      <x:c r="C3863" s="3" t="n">
        <x:v>4</x:v>
      </x:c>
      <x:c r="D3863" s="3" t="str">
        <x:v>late</x:v>
      </x:c>
      <x:c r="E3863" s="5" t="str">
        <x:f>VLOOKUP(B3863,Sections!$A$5:$I$45,3,FALSE)</x:f>
        <x:v>2024-1</x:v>
      </x:c>
    </x:row>
    <x:row r="3864" ht="21" customHeight="1">
      <x:c r="A3864" s="3" t="str">
        <x:v>2201020</x:v>
      </x:c>
      <x:c r="B3864" s="3" t="str">
        <x:v>SEC038</x:v>
      </x:c>
      <x:c r="C3864" s="3" t="n">
        <x:v>5</x:v>
      </x:c>
      <x:c r="D3864" s="3" t="str">
        <x:v>absent</x:v>
      </x:c>
      <x:c r="E3864" s="5" t="str">
        <x:f>VLOOKUP(B3864,Sections!$A$5:$I$45,3,FALSE)</x:f>
        <x:v>2024-1</x:v>
      </x:c>
    </x:row>
    <x:row r="3865" ht="21" customHeight="1">
      <x:c r="A3865" s="3" t="str">
        <x:v>2201020</x:v>
      </x:c>
      <x:c r="B3865" s="3" t="str">
        <x:v>SEC038</x:v>
      </x:c>
      <x:c r="C3865" s="3" t="n">
        <x:v>6</x:v>
      </x:c>
      <x:c r="D3865" s="3" t="str">
        <x:v>present</x:v>
      </x:c>
      <x:c r="E3865" s="5" t="str">
        <x:f>VLOOKUP(B3865,Sections!$A$5:$I$45,3,FALSE)</x:f>
        <x:v>2024-1</x:v>
      </x:c>
    </x:row>
    <x:row r="3866" ht="21" customHeight="1">
      <x:c r="A3866" s="3" t="str">
        <x:v>2201020</x:v>
      </x:c>
      <x:c r="B3866" s="3" t="str">
        <x:v>SEC038</x:v>
      </x:c>
      <x:c r="C3866" s="3" t="n">
        <x:v>7</x:v>
      </x:c>
      <x:c r="D3866" s="3" t="str">
        <x:v>present</x:v>
      </x:c>
      <x:c r="E3866" s="5" t="str">
        <x:f>VLOOKUP(B3866,Sections!$A$5:$I$45,3,FALSE)</x:f>
        <x:v>2024-1</x:v>
      </x:c>
    </x:row>
    <x:row r="3867" ht="21" customHeight="1">
      <x:c r="A3867" s="3" t="str">
        <x:v>2201020</x:v>
      </x:c>
      <x:c r="B3867" s="3" t="str">
        <x:v>SEC038</x:v>
      </x:c>
      <x:c r="C3867" s="3" t="n">
        <x:v>8</x:v>
      </x:c>
      <x:c r="D3867" s="3" t="str">
        <x:v>absent</x:v>
      </x:c>
      <x:c r="E3867" s="5" t="str">
        <x:f>VLOOKUP(B3867,Sections!$A$5:$I$45,3,FALSE)</x:f>
        <x:v>2024-1</x:v>
      </x:c>
    </x:row>
    <x:row r="3868" ht="21" customHeight="1">
      <x:c r="A3868" s="3" t="str">
        <x:v>2201020</x:v>
      </x:c>
      <x:c r="B3868" s="3" t="str">
        <x:v>SEC038</x:v>
      </x:c>
      <x:c r="C3868" s="3" t="n">
        <x:v>9</x:v>
      </x:c>
      <x:c r="D3868" s="3" t="str">
        <x:v>present</x:v>
      </x:c>
      <x:c r="E3868" s="5" t="str">
        <x:f>VLOOKUP(B3868,Sections!$A$5:$I$45,3,FALSE)</x:f>
        <x:v>2024-1</x:v>
      </x:c>
    </x:row>
    <x:row r="3869" ht="21" customHeight="1">
      <x:c r="A3869" s="3" t="str">
        <x:v>2201020</x:v>
      </x:c>
      <x:c r="B3869" s="3" t="str">
        <x:v>SEC038</x:v>
      </x:c>
      <x:c r="C3869" s="3" t="n">
        <x:v>10</x:v>
      </x:c>
      <x:c r="D3869" s="3" t="str">
        <x:v>present</x:v>
      </x:c>
      <x:c r="E3869" s="5" t="str">
        <x:f>VLOOKUP(B3869,Sections!$A$5:$I$45,3,FALSE)</x:f>
        <x:v>2024-1</x:v>
      </x:c>
    </x:row>
    <x:row r="3870" ht="21" customHeight="1">
      <x:c r="A3870" s="3" t="str">
        <x:v>2201020</x:v>
      </x:c>
      <x:c r="B3870" s="3" t="str">
        <x:v>SEC038</x:v>
      </x:c>
      <x:c r="C3870" s="3" t="n">
        <x:v>11</x:v>
      </x:c>
      <x:c r="D3870" s="3" t="str">
        <x:v>present</x:v>
      </x:c>
      <x:c r="E3870" s="5" t="str">
        <x:f>VLOOKUP(B3870,Sections!$A$5:$I$45,3,FALSE)</x:f>
        <x:v>2024-1</x:v>
      </x:c>
    </x:row>
    <x:row r="3871" ht="21" customHeight="1">
      <x:c r="A3871" s="3" t="str">
        <x:v>2201020</x:v>
      </x:c>
      <x:c r="B3871" s="3" t="str">
        <x:v>SEC038</x:v>
      </x:c>
      <x:c r="C3871" s="3" t="n">
        <x:v>12</x:v>
      </x:c>
      <x:c r="D3871" s="3" t="str">
        <x:v>present</x:v>
      </x:c>
      <x:c r="E3871" s="5" t="str">
        <x:f>VLOOKUP(B3871,Sections!$A$5:$I$45,3,FALSE)</x:f>
        <x:v>2024-1</x:v>
      </x:c>
    </x:row>
    <x:row r="3872" ht="21" customHeight="1">
      <x:c r="A3872" s="3" t="str">
        <x:v>2201020</x:v>
      </x:c>
      <x:c r="B3872" s="3" t="str">
        <x:v>SEC038</x:v>
      </x:c>
      <x:c r="C3872" s="3" t="n">
        <x:v>13</x:v>
      </x:c>
      <x:c r="D3872" s="3" t="str">
        <x:v>absent</x:v>
      </x:c>
      <x:c r="E3872" s="5" t="str">
        <x:f>VLOOKUP(B3872,Sections!$A$5:$I$45,3,FALSE)</x:f>
        <x:v>2024-1</x:v>
      </x:c>
    </x:row>
    <x:row r="3873" ht="21" customHeight="1">
      <x:c r="A3873" s="3" t="str">
        <x:v>2201020</x:v>
      </x:c>
      <x:c r="B3873" s="3" t="str">
        <x:v>SEC038</x:v>
      </x:c>
      <x:c r="C3873" s="3" t="n">
        <x:v>14</x:v>
      </x:c>
      <x:c r="D3873" s="3" t="str">
        <x:v>absent</x:v>
      </x:c>
      <x:c r="E3873" s="5" t="str">
        <x:f>VLOOKUP(B3873,Sections!$A$5:$I$45,3,FALSE)</x:f>
        <x:v>2024-1</x:v>
      </x:c>
    </x:row>
    <x:row r="3874" ht="21" customHeight="1">
      <x:c r="A3874" s="3" t="str">
        <x:v>2201020</x:v>
      </x:c>
      <x:c r="B3874" s="3" t="str">
        <x:v>SEC038</x:v>
      </x:c>
      <x:c r="C3874" s="3" t="n">
        <x:v>15</x:v>
      </x:c>
      <x:c r="D3874" s="3" t="str">
        <x:v>present</x:v>
      </x:c>
      <x:c r="E3874" s="5" t="str">
        <x:f>VLOOKUP(B3874,Sections!$A$5:$I$45,3,FALSE)</x:f>
        <x:v>2024-1</x:v>
      </x:c>
    </x:row>
    <x:row r="3875" ht="21" customHeight="1">
      <x:c r="A3875" s="3" t="str">
        <x:v>2202010</x:v>
      </x:c>
      <x:c r="B3875" s="3" t="str">
        <x:v>SEC039</x:v>
      </x:c>
      <x:c r="C3875" s="3" t="n">
        <x:v>1</x:v>
      </x:c>
      <x:c r="D3875" s="3" t="str">
        <x:v>present</x:v>
      </x:c>
      <x:c r="E3875" s="5" t="str">
        <x:f>VLOOKUP(B3875,Sections!$A$5:$I$45,3,FALSE)</x:f>
        <x:v>2025-1</x:v>
      </x:c>
    </x:row>
    <x:row r="3876" ht="21" customHeight="1">
      <x:c r="A3876" s="3" t="str">
        <x:v>2202010</x:v>
      </x:c>
      <x:c r="B3876" s="3" t="str">
        <x:v>SEC039</x:v>
      </x:c>
      <x:c r="C3876" s="3" t="n">
        <x:v>2</x:v>
      </x:c>
      <x:c r="D3876" s="3" t="str">
        <x:v>present</x:v>
      </x:c>
      <x:c r="E3876" s="5" t="str">
        <x:f>VLOOKUP(B3876,Sections!$A$5:$I$45,3,FALSE)</x:f>
        <x:v>2025-1</x:v>
      </x:c>
    </x:row>
    <x:row r="3877" ht="21" customHeight="1">
      <x:c r="A3877" s="3" t="str">
        <x:v>2202010</x:v>
      </x:c>
      <x:c r="B3877" s="3" t="str">
        <x:v>SEC039</x:v>
      </x:c>
      <x:c r="C3877" s="3" t="n">
        <x:v>3</x:v>
      </x:c>
      <x:c r="D3877" s="3" t="str">
        <x:v>present</x:v>
      </x:c>
      <x:c r="E3877" s="5" t="str">
        <x:f>VLOOKUP(B3877,Sections!$A$5:$I$45,3,FALSE)</x:f>
        <x:v>2025-1</x:v>
      </x:c>
    </x:row>
    <x:row r="3878" ht="21" customHeight="1">
      <x:c r="A3878" s="3" t="str">
        <x:v>2202010</x:v>
      </x:c>
      <x:c r="B3878" s="3" t="str">
        <x:v>SEC039</x:v>
      </x:c>
      <x:c r="C3878" s="3" t="n">
        <x:v>4</x:v>
      </x:c>
      <x:c r="D3878" s="3" t="str">
        <x:v>absent</x:v>
      </x:c>
      <x:c r="E3878" s="5" t="str">
        <x:f>VLOOKUP(B3878,Sections!$A$5:$I$45,3,FALSE)</x:f>
        <x:v>2025-1</x:v>
      </x:c>
    </x:row>
    <x:row r="3879" ht="21" customHeight="1">
      <x:c r="A3879" s="3" t="str">
        <x:v>2202010</x:v>
      </x:c>
      <x:c r="B3879" s="3" t="str">
        <x:v>SEC039</x:v>
      </x:c>
      <x:c r="C3879" s="3" t="n">
        <x:v>5</x:v>
      </x:c>
      <x:c r="D3879" s="3" t="str">
        <x:v>present</x:v>
      </x:c>
      <x:c r="E3879" s="5" t="str">
        <x:f>VLOOKUP(B3879,Sections!$A$5:$I$45,3,FALSE)</x:f>
        <x:v>2025-1</x:v>
      </x:c>
    </x:row>
    <x:row r="3880" ht="21" customHeight="1">
      <x:c r="A3880" s="3" t="str">
        <x:v>2202010</x:v>
      </x:c>
      <x:c r="B3880" s="3" t="str">
        <x:v>SEC039</x:v>
      </x:c>
      <x:c r="C3880" s="3" t="n">
        <x:v>6</x:v>
      </x:c>
      <x:c r="D3880" s="3" t="str">
        <x:v>present</x:v>
      </x:c>
      <x:c r="E3880" s="5" t="str">
        <x:f>VLOOKUP(B3880,Sections!$A$5:$I$45,3,FALSE)</x:f>
        <x:v>2025-1</x:v>
      </x:c>
    </x:row>
    <x:row r="3881" ht="21" customHeight="1">
      <x:c r="A3881" s="3" t="str">
        <x:v>2202010</x:v>
      </x:c>
      <x:c r="B3881" s="3" t="str">
        <x:v>SEC039</x:v>
      </x:c>
      <x:c r="C3881" s="3" t="n">
        <x:v>7</x:v>
      </x:c>
      <x:c r="D3881" s="3" t="str">
        <x:v>late</x:v>
      </x:c>
      <x:c r="E3881" s="5" t="str">
        <x:f>VLOOKUP(B3881,Sections!$A$5:$I$45,3,FALSE)</x:f>
        <x:v>2025-1</x:v>
      </x:c>
    </x:row>
    <x:row r="3882" ht="21" customHeight="1">
      <x:c r="A3882" s="3" t="str">
        <x:v>2202010</x:v>
      </x:c>
      <x:c r="B3882" s="3" t="str">
        <x:v>SEC039</x:v>
      </x:c>
      <x:c r="C3882" s="3" t="n">
        <x:v>8</x:v>
      </x:c>
      <x:c r="D3882" s="3" t="str">
        <x:v>present</x:v>
      </x:c>
      <x:c r="E3882" s="5" t="str">
        <x:f>VLOOKUP(B3882,Sections!$A$5:$I$45,3,FALSE)</x:f>
        <x:v>2025-1</x:v>
      </x:c>
    </x:row>
    <x:row r="3883" ht="21" customHeight="1">
      <x:c r="A3883" s="3" t="str">
        <x:v>2202010</x:v>
      </x:c>
      <x:c r="B3883" s="3" t="str">
        <x:v>SEC039</x:v>
      </x:c>
      <x:c r="C3883" s="3" t="n">
        <x:v>9</x:v>
      </x:c>
      <x:c r="D3883" s="3" t="str">
        <x:v>late</x:v>
      </x:c>
      <x:c r="E3883" s="5" t="str">
        <x:f>VLOOKUP(B3883,Sections!$A$5:$I$45,3,FALSE)</x:f>
        <x:v>2025-1</x:v>
      </x:c>
    </x:row>
    <x:row r="3884" ht="21" customHeight="1">
      <x:c r="A3884" s="3" t="str">
        <x:v>2202010</x:v>
      </x:c>
      <x:c r="B3884" s="3" t="str">
        <x:v>SEC039</x:v>
      </x:c>
      <x:c r="C3884" s="3" t="n">
        <x:v>10</x:v>
      </x:c>
      <x:c r="D3884" s="3" t="str">
        <x:v>present</x:v>
      </x:c>
      <x:c r="E3884" s="5" t="str">
        <x:f>VLOOKUP(B3884,Sections!$A$5:$I$45,3,FALSE)</x:f>
        <x:v>2025-1</x:v>
      </x:c>
    </x:row>
    <x:row r="3885" ht="21" customHeight="1">
      <x:c r="A3885" s="3" t="str">
        <x:v>2202010</x:v>
      </x:c>
      <x:c r="B3885" s="3" t="str">
        <x:v>SEC039</x:v>
      </x:c>
      <x:c r="C3885" s="3" t="n">
        <x:v>11</x:v>
      </x:c>
      <x:c r="D3885" s="3" t="str">
        <x:v>present</x:v>
      </x:c>
      <x:c r="E3885" s="5" t="str">
        <x:f>VLOOKUP(B3885,Sections!$A$5:$I$45,3,FALSE)</x:f>
        <x:v>2025-1</x:v>
      </x:c>
    </x:row>
    <x:row r="3886" ht="21" customHeight="1">
      <x:c r="A3886" s="3" t="str">
        <x:v>2202010</x:v>
      </x:c>
      <x:c r="B3886" s="3" t="str">
        <x:v>SEC039</x:v>
      </x:c>
      <x:c r="C3886" s="3" t="n">
        <x:v>12</x:v>
      </x:c>
      <x:c r="D3886" s="3" t="str">
        <x:v>present</x:v>
      </x:c>
      <x:c r="E3886" s="5" t="str">
        <x:f>VLOOKUP(B3886,Sections!$A$5:$I$45,3,FALSE)</x:f>
        <x:v>2025-1</x:v>
      </x:c>
    </x:row>
    <x:row r="3887" ht="21" customHeight="1">
      <x:c r="A3887" s="3" t="str">
        <x:v>2202010</x:v>
      </x:c>
      <x:c r="B3887" s="3" t="str">
        <x:v>SEC039</x:v>
      </x:c>
      <x:c r="C3887" s="3" t="n">
        <x:v>13</x:v>
      </x:c>
      <x:c r="D3887" s="3" t="str">
        <x:v>absent</x:v>
      </x:c>
      <x:c r="E3887" s="5" t="str">
        <x:f>VLOOKUP(B3887,Sections!$A$5:$I$45,3,FALSE)</x:f>
        <x:v>2025-1</x:v>
      </x:c>
    </x:row>
    <x:row r="3888" ht="21" customHeight="1">
      <x:c r="A3888" s="3" t="str">
        <x:v>2202010</x:v>
      </x:c>
      <x:c r="B3888" s="3" t="str">
        <x:v>SEC039</x:v>
      </x:c>
      <x:c r="C3888" s="3" t="n">
        <x:v>14</x:v>
      </x:c>
      <x:c r="D3888" s="3" t="str">
        <x:v>present</x:v>
      </x:c>
      <x:c r="E3888" s="5" t="str">
        <x:f>VLOOKUP(B3888,Sections!$A$5:$I$45,3,FALSE)</x:f>
        <x:v>2025-1</x:v>
      </x:c>
    </x:row>
    <x:row r="3889" ht="21" customHeight="1">
      <x:c r="A3889" s="3" t="str">
        <x:v>2202010</x:v>
      </x:c>
      <x:c r="B3889" s="3" t="str">
        <x:v>SEC039</x:v>
      </x:c>
      <x:c r="C3889" s="3" t="n">
        <x:v>15</x:v>
      </x:c>
      <x:c r="D3889" s="3" t="str">
        <x:v>present</x:v>
      </x:c>
      <x:c r="E3889" s="5" t="str">
        <x:f>VLOOKUP(B3889,Sections!$A$5:$I$45,3,FALSE)</x:f>
        <x:v>2025-1</x:v>
      </x:c>
    </x:row>
    <x:row r="3890" ht="21" customHeight="1">
      <x:c r="A3890" s="3" t="str">
        <x:v>2202020</x:v>
      </x:c>
      <x:c r="B3890" s="3" t="str">
        <x:v>SEC040</x:v>
      </x:c>
      <x:c r="C3890" s="3" t="n">
        <x:v>1</x:v>
      </x:c>
      <x:c r="D3890" s="3" t="str">
        <x:v>present</x:v>
      </x:c>
      <x:c r="E3890" s="5" t="str">
        <x:f>VLOOKUP(B3890,Sections!$A$5:$I$45,3,FALSE)</x:f>
        <x:v>2025-1</x:v>
      </x:c>
    </x:row>
    <x:row r="3891" ht="21" customHeight="1">
      <x:c r="A3891" s="3" t="str">
        <x:v>2202020</x:v>
      </x:c>
      <x:c r="B3891" s="3" t="str">
        <x:v>SEC040</x:v>
      </x:c>
      <x:c r="C3891" s="3" t="n">
        <x:v>2</x:v>
      </x:c>
      <x:c r="D3891" s="3" t="str">
        <x:v>present</x:v>
      </x:c>
      <x:c r="E3891" s="5" t="str">
        <x:f>VLOOKUP(B3891,Sections!$A$5:$I$45,3,FALSE)</x:f>
        <x:v>2025-1</x:v>
      </x:c>
    </x:row>
    <x:row r="3892" ht="21" customHeight="1">
      <x:c r="A3892" s="3" t="str">
        <x:v>2202020</x:v>
      </x:c>
      <x:c r="B3892" s="3" t="str">
        <x:v>SEC040</x:v>
      </x:c>
      <x:c r="C3892" s="3" t="n">
        <x:v>3</x:v>
      </x:c>
      <x:c r="D3892" s="3" t="str">
        <x:v>absent</x:v>
      </x:c>
      <x:c r="E3892" s="5" t="str">
        <x:f>VLOOKUP(B3892,Sections!$A$5:$I$45,3,FALSE)</x:f>
        <x:v>2025-1</x:v>
      </x:c>
    </x:row>
    <x:row r="3893" ht="21" customHeight="1">
      <x:c r="A3893" s="3" t="str">
        <x:v>2202020</x:v>
      </x:c>
      <x:c r="B3893" s="3" t="str">
        <x:v>SEC040</x:v>
      </x:c>
      <x:c r="C3893" s="3" t="n">
        <x:v>4</x:v>
      </x:c>
      <x:c r="D3893" s="3" t="str">
        <x:v>present</x:v>
      </x:c>
      <x:c r="E3893" s="5" t="str">
        <x:f>VLOOKUP(B3893,Sections!$A$5:$I$45,3,FALSE)</x:f>
        <x:v>2025-1</x:v>
      </x:c>
    </x:row>
    <x:row r="3894" ht="21" customHeight="1">
      <x:c r="A3894" s="3" t="str">
        <x:v>2202020</x:v>
      </x:c>
      <x:c r="B3894" s="3" t="str">
        <x:v>SEC040</x:v>
      </x:c>
      <x:c r="C3894" s="3" t="n">
        <x:v>5</x:v>
      </x:c>
      <x:c r="D3894" s="3" t="str">
        <x:v>present</x:v>
      </x:c>
      <x:c r="E3894" s="5" t="str">
        <x:f>VLOOKUP(B3894,Sections!$A$5:$I$45,3,FALSE)</x:f>
        <x:v>2025-1</x:v>
      </x:c>
    </x:row>
    <x:row r="3895" ht="21" customHeight="1">
      <x:c r="A3895" s="3" t="str">
        <x:v>2202020</x:v>
      </x:c>
      <x:c r="B3895" s="3" t="str">
        <x:v>SEC040</x:v>
      </x:c>
      <x:c r="C3895" s="3" t="n">
        <x:v>6</x:v>
      </x:c>
      <x:c r="D3895" s="3" t="str">
        <x:v>present</x:v>
      </x:c>
      <x:c r="E3895" s="5" t="str">
        <x:f>VLOOKUP(B3895,Sections!$A$5:$I$45,3,FALSE)</x:f>
        <x:v>2025-1</x:v>
      </x:c>
    </x:row>
    <x:row r="3896" ht="21" customHeight="1">
      <x:c r="A3896" s="3" t="str">
        <x:v>2202020</x:v>
      </x:c>
      <x:c r="B3896" s="3" t="str">
        <x:v>SEC040</x:v>
      </x:c>
      <x:c r="C3896" s="3" t="n">
        <x:v>7</x:v>
      </x:c>
      <x:c r="D3896" s="3" t="str">
        <x:v>present</x:v>
      </x:c>
      <x:c r="E3896" s="5" t="str">
        <x:f>VLOOKUP(B3896,Sections!$A$5:$I$45,3,FALSE)</x:f>
        <x:v>2025-1</x:v>
      </x:c>
    </x:row>
    <x:row r="3897" ht="21" customHeight="1">
      <x:c r="A3897" s="3" t="str">
        <x:v>2202020</x:v>
      </x:c>
      <x:c r="B3897" s="3" t="str">
        <x:v>SEC040</x:v>
      </x:c>
      <x:c r="C3897" s="3" t="n">
        <x:v>8</x:v>
      </x:c>
      <x:c r="D3897" s="3" t="str">
        <x:v>present</x:v>
      </x:c>
      <x:c r="E3897" s="5" t="str">
        <x:f>VLOOKUP(B3897,Sections!$A$5:$I$45,3,FALSE)</x:f>
        <x:v>2025-1</x:v>
      </x:c>
    </x:row>
    <x:row r="3898" ht="21" customHeight="1">
      <x:c r="A3898" s="3" t="str">
        <x:v>2202020</x:v>
      </x:c>
      <x:c r="B3898" s="3" t="str">
        <x:v>SEC040</x:v>
      </x:c>
      <x:c r="C3898" s="3" t="n">
        <x:v>9</x:v>
      </x:c>
      <x:c r="D3898" s="3" t="str">
        <x:v>absent</x:v>
      </x:c>
      <x:c r="E3898" s="5" t="str">
        <x:f>VLOOKUP(B3898,Sections!$A$5:$I$45,3,FALSE)</x:f>
        <x:v>2025-1</x:v>
      </x:c>
    </x:row>
    <x:row r="3899" ht="21" customHeight="1">
      <x:c r="A3899" s="3" t="str">
        <x:v>2202020</x:v>
      </x:c>
      <x:c r="B3899" s="3" t="str">
        <x:v>SEC040</x:v>
      </x:c>
      <x:c r="C3899" s="3" t="n">
        <x:v>10</x:v>
      </x:c>
      <x:c r="D3899" s="3" t="str">
        <x:v>present</x:v>
      </x:c>
      <x:c r="E3899" s="5" t="str">
        <x:f>VLOOKUP(B3899,Sections!$A$5:$I$45,3,FALSE)</x:f>
        <x:v>2025-1</x:v>
      </x:c>
    </x:row>
    <x:row r="3900" ht="21" customHeight="1">
      <x:c r="A3900" s="3" t="str">
        <x:v>2202020</x:v>
      </x:c>
      <x:c r="B3900" s="3" t="str">
        <x:v>SEC040</x:v>
      </x:c>
      <x:c r="C3900" s="3" t="n">
        <x:v>11</x:v>
      </x:c>
      <x:c r="D3900" s="3" t="str">
        <x:v>absent</x:v>
      </x:c>
      <x:c r="E3900" s="5" t="str">
        <x:f>VLOOKUP(B3900,Sections!$A$5:$I$45,3,FALSE)</x:f>
        <x:v>2025-1</x:v>
      </x:c>
    </x:row>
    <x:row r="3901" ht="21" customHeight="1">
      <x:c r="A3901" s="3" t="str">
        <x:v>2202020</x:v>
      </x:c>
      <x:c r="B3901" s="3" t="str">
        <x:v>SEC040</x:v>
      </x:c>
      <x:c r="C3901" s="3" t="n">
        <x:v>12</x:v>
      </x:c>
      <x:c r="D3901" s="3" t="str">
        <x:v>absent</x:v>
      </x:c>
      <x:c r="E3901" s="5" t="str">
        <x:f>VLOOKUP(B3901,Sections!$A$5:$I$45,3,FALSE)</x:f>
        <x:v>2025-1</x:v>
      </x:c>
    </x:row>
    <x:row r="3902" ht="21" customHeight="1">
      <x:c r="A3902" s="3" t="str">
        <x:v>2202020</x:v>
      </x:c>
      <x:c r="B3902" s="3" t="str">
        <x:v>SEC040</x:v>
      </x:c>
      <x:c r="C3902" s="3" t="n">
        <x:v>13</x:v>
      </x:c>
      <x:c r="D3902" s="3" t="str">
        <x:v>present</x:v>
      </x:c>
      <x:c r="E3902" s="5" t="str">
        <x:f>VLOOKUP(B3902,Sections!$A$5:$I$45,3,FALSE)</x:f>
        <x:v>2025-1</x:v>
      </x:c>
    </x:row>
    <x:row r="3903" ht="21" customHeight="1">
      <x:c r="A3903" s="3" t="str">
        <x:v>2202020</x:v>
      </x:c>
      <x:c r="B3903" s="3" t="str">
        <x:v>SEC040</x:v>
      </x:c>
      <x:c r="C3903" s="3" t="n">
        <x:v>14</x:v>
      </x:c>
      <x:c r="D3903" s="3" t="str">
        <x:v>absent</x:v>
      </x:c>
      <x:c r="E3903" s="5" t="str">
        <x:f>VLOOKUP(B3903,Sections!$A$5:$I$45,3,FALSE)</x:f>
        <x:v>2025-1</x:v>
      </x:c>
    </x:row>
    <x:row r="3904" ht="21" customHeight="1">
      <x:c r="A3904" s="3" t="str">
        <x:v>2202020</x:v>
      </x:c>
      <x:c r="B3904" s="3" t="str">
        <x:v>SEC040</x:v>
      </x:c>
      <x:c r="C3904" s="3" t="n">
        <x:v>15</x:v>
      </x:c>
      <x:c r="D3904" s="3" t="str">
        <x:v>absent</x:v>
      </x:c>
      <x:c r="E3904" s="5" t="str">
        <x:f>VLOOKUP(B3904,Sections!$A$5:$I$45,3,FALSE)</x:f>
        <x:v>2025-1</x:v>
      </x:c>
    </x:row>
    <x:row r="3905" ht="21" customHeight="1">
      <x:c r="A3905" s="3" t="str">
        <x:v>2201010</x:v>
      </x:c>
      <x:c r="B3905" s="3" t="str">
        <x:v>SEC041</x:v>
      </x:c>
      <x:c r="C3905" s="3" t="n">
        <x:v>1</x:v>
      </x:c>
      <x:c r="D3905" s="3" t="str">
        <x:v>absent</x:v>
      </x:c>
      <x:c r="E3905" s="5" t="str">
        <x:f>VLOOKUP(B3905,Sections!$A$5:$I$45,3,FALSE)</x:f>
        <x:v>2025-1</x:v>
      </x:c>
    </x:row>
    <x:row r="3906" ht="21" customHeight="1">
      <x:c r="A3906" s="3" t="str">
        <x:v>2201010</x:v>
      </x:c>
      <x:c r="B3906" s="3" t="str">
        <x:v>SEC041</x:v>
      </x:c>
      <x:c r="C3906" s="3" t="n">
        <x:v>2</x:v>
      </x:c>
      <x:c r="D3906" s="3" t="str">
        <x:v>absent</x:v>
      </x:c>
      <x:c r="E3906" s="5" t="str">
        <x:f>VLOOKUP(B3906,Sections!$A$5:$I$45,3,FALSE)</x:f>
        <x:v>2025-1</x:v>
      </x:c>
    </x:row>
    <x:row r="3907" ht="21" customHeight="1">
      <x:c r="A3907" s="3" t="str">
        <x:v>2201010</x:v>
      </x:c>
      <x:c r="B3907" s="3" t="str">
        <x:v>SEC041</x:v>
      </x:c>
      <x:c r="C3907" s="3" t="n">
        <x:v>3</x:v>
      </x:c>
      <x:c r="D3907" s="3" t="str">
        <x:v>present</x:v>
      </x:c>
      <x:c r="E3907" s="5" t="str">
        <x:f>VLOOKUP(B3907,Sections!$A$5:$I$45,3,FALSE)</x:f>
        <x:v>2025-1</x:v>
      </x:c>
    </x:row>
    <x:row r="3908" ht="21" customHeight="1">
      <x:c r="A3908" s="3" t="str">
        <x:v>2201010</x:v>
      </x:c>
      <x:c r="B3908" s="3" t="str">
        <x:v>SEC041</x:v>
      </x:c>
      <x:c r="C3908" s="3" t="n">
        <x:v>4</x:v>
      </x:c>
      <x:c r="D3908" s="3" t="str">
        <x:v>present</x:v>
      </x:c>
      <x:c r="E3908" s="5" t="str">
        <x:f>VLOOKUP(B3908,Sections!$A$5:$I$45,3,FALSE)</x:f>
        <x:v>2025-1</x:v>
      </x:c>
    </x:row>
    <x:row r="3909" ht="21" customHeight="1">
      <x:c r="A3909" s="3" t="str">
        <x:v>2201010</x:v>
      </x:c>
      <x:c r="B3909" s="3" t="str">
        <x:v>SEC041</x:v>
      </x:c>
      <x:c r="C3909" s="3" t="n">
        <x:v>5</x:v>
      </x:c>
      <x:c r="D3909" s="3" t="str">
        <x:v>present</x:v>
      </x:c>
      <x:c r="E3909" s="5" t="str">
        <x:f>VLOOKUP(B3909,Sections!$A$5:$I$45,3,FALSE)</x:f>
        <x:v>2025-1</x:v>
      </x:c>
    </x:row>
    <x:row r="3910" ht="21" customHeight="1">
      <x:c r="A3910" s="3" t="str">
        <x:v>2201010</x:v>
      </x:c>
      <x:c r="B3910" s="3" t="str">
        <x:v>SEC041</x:v>
      </x:c>
      <x:c r="C3910" s="3" t="n">
        <x:v>6</x:v>
      </x:c>
      <x:c r="D3910" s="3" t="str">
        <x:v>absent</x:v>
      </x:c>
      <x:c r="E3910" s="5" t="str">
        <x:f>VLOOKUP(B3910,Sections!$A$5:$I$45,3,FALSE)</x:f>
        <x:v>2025-1</x:v>
      </x:c>
    </x:row>
    <x:row r="3911" ht="21" customHeight="1">
      <x:c r="A3911" s="3" t="str">
        <x:v>2201010</x:v>
      </x:c>
      <x:c r="B3911" s="3" t="str">
        <x:v>SEC041</x:v>
      </x:c>
      <x:c r="C3911" s="3" t="n">
        <x:v>7</x:v>
      </x:c>
      <x:c r="D3911" s="3" t="str">
        <x:v>present</x:v>
      </x:c>
      <x:c r="E3911" s="5" t="str">
        <x:f>VLOOKUP(B3911,Sections!$A$5:$I$45,3,FALSE)</x:f>
        <x:v>2025-1</x:v>
      </x:c>
    </x:row>
    <x:row r="3912" ht="21" customHeight="1">
      <x:c r="A3912" s="3" t="str">
        <x:v>2201010</x:v>
      </x:c>
      <x:c r="B3912" s="3" t="str">
        <x:v>SEC041</x:v>
      </x:c>
      <x:c r="C3912" s="3" t="n">
        <x:v>8</x:v>
      </x:c>
      <x:c r="D3912" s="3" t="str">
        <x:v>present</x:v>
      </x:c>
      <x:c r="E3912" s="5" t="str">
        <x:f>VLOOKUP(B3912,Sections!$A$5:$I$45,3,FALSE)</x:f>
        <x:v>2025-1</x:v>
      </x:c>
    </x:row>
    <x:row r="3913" ht="21" customHeight="1">
      <x:c r="A3913" s="3" t="str">
        <x:v>2201010</x:v>
      </x:c>
      <x:c r="B3913" s="3" t="str">
        <x:v>SEC041</x:v>
      </x:c>
      <x:c r="C3913" s="3" t="n">
        <x:v>9</x:v>
      </x:c>
      <x:c r="D3913" s="3" t="str">
        <x:v>present</x:v>
      </x:c>
      <x:c r="E3913" s="5" t="str">
        <x:f>VLOOKUP(B3913,Sections!$A$5:$I$45,3,FALSE)</x:f>
        <x:v>2025-1</x:v>
      </x:c>
    </x:row>
    <x:row r="3914" ht="21" customHeight="1">
      <x:c r="A3914" s="3" t="str">
        <x:v>2201010</x:v>
      </x:c>
      <x:c r="B3914" s="3" t="str">
        <x:v>SEC041</x:v>
      </x:c>
      <x:c r="C3914" s="3" t="n">
        <x:v>10</x:v>
      </x:c>
      <x:c r="D3914" s="3" t="str">
        <x:v>absent</x:v>
      </x:c>
      <x:c r="E3914" s="5" t="str">
        <x:f>VLOOKUP(B3914,Sections!$A$5:$I$45,3,FALSE)</x:f>
        <x:v>2025-1</x:v>
      </x:c>
    </x:row>
    <x:row r="3915" ht="21" customHeight="1">
      <x:c r="A3915" s="3" t="str">
        <x:v>2201010</x:v>
      </x:c>
      <x:c r="B3915" s="3" t="str">
        <x:v>SEC041</x:v>
      </x:c>
      <x:c r="C3915" s="3" t="n">
        <x:v>11</x:v>
      </x:c>
      <x:c r="D3915" s="3" t="str">
        <x:v>present</x:v>
      </x:c>
      <x:c r="E3915" s="5" t="str">
        <x:f>VLOOKUP(B3915,Sections!$A$5:$I$45,3,FALSE)</x:f>
        <x:v>2025-1</x:v>
      </x:c>
    </x:row>
    <x:row r="3916" ht="21" customHeight="1">
      <x:c r="A3916" s="3" t="str">
        <x:v>2201010</x:v>
      </x:c>
      <x:c r="B3916" s="3" t="str">
        <x:v>SEC041</x:v>
      </x:c>
      <x:c r="C3916" s="3" t="n">
        <x:v>12</x:v>
      </x:c>
      <x:c r="D3916" s="3" t="str">
        <x:v>present</x:v>
      </x:c>
      <x:c r="E3916" s="5" t="str">
        <x:f>VLOOKUP(B3916,Sections!$A$5:$I$45,3,FALSE)</x:f>
        <x:v>2025-1</x:v>
      </x:c>
    </x:row>
    <x:row r="3917" ht="21" customHeight="1">
      <x:c r="A3917" s="3" t="str">
        <x:v>2201010</x:v>
      </x:c>
      <x:c r="B3917" s="3" t="str">
        <x:v>SEC041</x:v>
      </x:c>
      <x:c r="C3917" s="3" t="n">
        <x:v>13</x:v>
      </x:c>
      <x:c r="D3917" s="3" t="str">
        <x:v>late</x:v>
      </x:c>
      <x:c r="E3917" s="5" t="str">
        <x:f>VLOOKUP(B3917,Sections!$A$5:$I$45,3,FALSE)</x:f>
        <x:v>2025-1</x:v>
      </x:c>
    </x:row>
    <x:row r="3918" ht="21" customHeight="1">
      <x:c r="A3918" s="3" t="str">
        <x:v>2201010</x:v>
      </x:c>
      <x:c r="B3918" s="3" t="str">
        <x:v>SEC041</x:v>
      </x:c>
      <x:c r="C3918" s="3" t="n">
        <x:v>14</x:v>
      </x:c>
      <x:c r="D3918" s="3" t="str">
        <x:v>present</x:v>
      </x:c>
      <x:c r="E3918" s="5" t="str">
        <x:f>VLOOKUP(B3918,Sections!$A$5:$I$45,3,FALSE)</x:f>
        <x:v>2025-1</x:v>
      </x:c>
    </x:row>
    <x:row r="3919" ht="21" customHeight="1">
      <x:c r="A3919" s="3" t="str">
        <x:v>2201010</x:v>
      </x:c>
      <x:c r="B3919" s="3" t="str">
        <x:v>SEC041</x:v>
      </x:c>
      <x:c r="C3919" s="3" t="n">
        <x:v>15</x:v>
      </x:c>
      <x:c r="D3919" s="3" t="str">
        <x:v>absent</x:v>
      </x:c>
      <x:c r="E3919" s="5" t="str">
        <x:f>VLOOKUP(B3919,Sections!$A$5:$I$45,3,FALSE)</x:f>
        <x:v>2025-1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</x:cols>
  <x:sheetData>
    <x:row r="1">
      <x:c r="A1" s="1" t="str">
        <x:v>Conduct</x:v>
      </x:c>
    </x:row>
    <x:row r="2">
      <x:c r="A2" t="str">
        <x:v>2c4110a:mcp-academic/data/sample/conduct.csv</x:v>
      </x:c>
    </x:row>
    <x:row r="3">
      <x:c r="A3" t="str">
        <x:v>CSV values start on row 5. Blue inputs, black calculations. Sources and hashes: reference-manifest.json.</x:v>
      </x:c>
    </x:row>
    <x:row r="4" ht="21" customHeight="1">
      <x:c r="A4" s="7" t="str">
        <x:v>student_id</x:v>
      </x:c>
      <x:c r="B4" s="7" t="str">
        <x:v>semester</x:v>
      </x:c>
      <x:c r="C4" s="7" t="str">
        <x:v>score</x:v>
      </x:c>
    </x:row>
    <x:row r="5" ht="21" customHeight="1">
      <x:c r="A5" s="3" t="str">
        <x:v>2201001</x:v>
      </x:c>
      <x:c r="B5" s="3" t="str">
        <x:v>2024-1</x:v>
      </x:c>
      <x:c r="C5" s="3" t="n">
        <x:v>92</x:v>
      </x:c>
    </x:row>
    <x:row r="6" ht="21" customHeight="1">
      <x:c r="A6" s="3" t="str">
        <x:v>2201001</x:v>
      </x:c>
      <x:c r="B6" s="3" t="str">
        <x:v>2024-2</x:v>
      </x:c>
      <x:c r="C6" s="3" t="n">
        <x:v>87</x:v>
      </x:c>
    </x:row>
    <x:row r="7" ht="21" customHeight="1">
      <x:c r="A7" s="3" t="str">
        <x:v>2201001</x:v>
      </x:c>
      <x:c r="B7" s="3" t="str">
        <x:v>2025-1</x:v>
      </x:c>
      <x:c r="C7" s="3" t="n">
        <x:v>78</x:v>
      </x:c>
    </x:row>
    <x:row r="8" ht="21" customHeight="1">
      <x:c r="A8" s="3" t="str">
        <x:v>2201002</x:v>
      </x:c>
      <x:c r="B8" s="3" t="str">
        <x:v>2024-1</x:v>
      </x:c>
      <x:c r="C8" s="3" t="n">
        <x:v>79</x:v>
      </x:c>
    </x:row>
    <x:row r="9" ht="21" customHeight="1">
      <x:c r="A9" s="3" t="str">
        <x:v>2201002</x:v>
      </x:c>
      <x:c r="B9" s="3" t="str">
        <x:v>2024-2</x:v>
      </x:c>
      <x:c r="C9" s="3" t="n">
        <x:v>81</x:v>
      </x:c>
    </x:row>
    <x:row r="10" ht="21" customHeight="1">
      <x:c r="A10" s="3" t="str">
        <x:v>2201002</x:v>
      </x:c>
      <x:c r="B10" s="3" t="str">
        <x:v>2025-1</x:v>
      </x:c>
      <x:c r="C10" s="3" t="n">
        <x:v>96</x:v>
      </x:c>
    </x:row>
    <x:row r="11" ht="21" customHeight="1">
      <x:c r="A11" s="3" t="str">
        <x:v>2201003</x:v>
      </x:c>
      <x:c r="B11" s="3" t="str">
        <x:v>2024-1</x:v>
      </x:c>
      <x:c r="C11" s="3" t="n">
        <x:v>70</x:v>
      </x:c>
    </x:row>
    <x:row r="12" ht="21" customHeight="1">
      <x:c r="A12" s="3" t="str">
        <x:v>2201003</x:v>
      </x:c>
      <x:c r="B12" s="3" t="str">
        <x:v>2024-2</x:v>
      </x:c>
      <x:c r="C12" s="3" t="n">
        <x:v>71</x:v>
      </x:c>
    </x:row>
    <x:row r="13" ht="21" customHeight="1">
      <x:c r="A13" s="3" t="str">
        <x:v>2201003</x:v>
      </x:c>
      <x:c r="B13" s="3" t="str">
        <x:v>2025-1</x:v>
      </x:c>
      <x:c r="C13" s="3" t="n">
        <x:v>87</x:v>
      </x:c>
    </x:row>
    <x:row r="14" ht="21" customHeight="1">
      <x:c r="A14" s="3" t="str">
        <x:v>2201004</x:v>
      </x:c>
      <x:c r="B14" s="3" t="str">
        <x:v>2024-1</x:v>
      </x:c>
      <x:c r="C14" s="3" t="n">
        <x:v>78</x:v>
      </x:c>
    </x:row>
    <x:row r="15" ht="21" customHeight="1">
      <x:c r="A15" s="3" t="str">
        <x:v>2201004</x:v>
      </x:c>
      <x:c r="B15" s="3" t="str">
        <x:v>2024-2</x:v>
      </x:c>
      <x:c r="C15" s="3" t="n">
        <x:v>86</x:v>
      </x:c>
    </x:row>
    <x:row r="16" ht="21" customHeight="1">
      <x:c r="A16" s="3" t="str">
        <x:v>2201004</x:v>
      </x:c>
      <x:c r="B16" s="3" t="str">
        <x:v>2025-1</x:v>
      </x:c>
      <x:c r="C16" s="3" t="n">
        <x:v>94</x:v>
      </x:c>
    </x:row>
    <x:row r="17" ht="21" customHeight="1">
      <x:c r="A17" s="3" t="str">
        <x:v>2201005</x:v>
      </x:c>
      <x:c r="B17" s="3" t="str">
        <x:v>2024-1</x:v>
      </x:c>
      <x:c r="C17" s="3" t="n">
        <x:v>50</x:v>
      </x:c>
    </x:row>
    <x:row r="18" ht="21" customHeight="1">
      <x:c r="A18" s="3" t="str">
        <x:v>2201005</x:v>
      </x:c>
      <x:c r="B18" s="3" t="str">
        <x:v>2024-2</x:v>
      </x:c>
      <x:c r="C18" s="3" t="n">
        <x:v>57</x:v>
      </x:c>
    </x:row>
    <x:row r="19" ht="21" customHeight="1">
      <x:c r="A19" s="3" t="str">
        <x:v>2201005</x:v>
      </x:c>
      <x:c r="B19" s="3" t="str">
        <x:v>2025-1</x:v>
      </x:c>
      <x:c r="C19" s="3" t="n">
        <x:v>53</x:v>
      </x:c>
    </x:row>
    <x:row r="20" ht="21" customHeight="1">
      <x:c r="A20" s="3" t="str">
        <x:v>2201006</x:v>
      </x:c>
      <x:c r="B20" s="3" t="str">
        <x:v>2024-1</x:v>
      </x:c>
      <x:c r="C20" s="3" t="n">
        <x:v>68</x:v>
      </x:c>
    </x:row>
    <x:row r="21" ht="21" customHeight="1">
      <x:c r="A21" s="3" t="str">
        <x:v>2201006</x:v>
      </x:c>
      <x:c r="B21" s="3" t="str">
        <x:v>2024-2</x:v>
      </x:c>
      <x:c r="C21" s="3" t="n">
        <x:v>72</x:v>
      </x:c>
    </x:row>
    <x:row r="22" ht="21" customHeight="1">
      <x:c r="A22" s="3" t="str">
        <x:v>2201006</x:v>
      </x:c>
      <x:c r="B22" s="3" t="str">
        <x:v>2025-1</x:v>
      </x:c>
      <x:c r="C22" s="3" t="n">
        <x:v>93</x:v>
      </x:c>
    </x:row>
    <x:row r="23" ht="21" customHeight="1">
      <x:c r="A23" s="3" t="str">
        <x:v>2201007</x:v>
      </x:c>
      <x:c r="B23" s="3" t="str">
        <x:v>2024-1</x:v>
      </x:c>
      <x:c r="C23" s="3" t="n">
        <x:v>87</x:v>
      </x:c>
    </x:row>
    <x:row r="24" ht="21" customHeight="1">
      <x:c r="A24" s="3" t="str">
        <x:v>2201007</x:v>
      </x:c>
      <x:c r="B24" s="3" t="str">
        <x:v>2024-2</x:v>
      </x:c>
      <x:c r="C24" s="3" t="n">
        <x:v>89</x:v>
      </x:c>
    </x:row>
    <x:row r="25" ht="21" customHeight="1">
      <x:c r="A25" s="3" t="str">
        <x:v>2201007</x:v>
      </x:c>
      <x:c r="B25" s="3" t="str">
        <x:v>2025-1</x:v>
      </x:c>
      <x:c r="C25" s="3" t="n">
        <x:v>79</x:v>
      </x:c>
    </x:row>
    <x:row r="26" ht="21" customHeight="1">
      <x:c r="A26" s="3" t="str">
        <x:v>2201008</x:v>
      </x:c>
      <x:c r="B26" s="3" t="str">
        <x:v>2024-1</x:v>
      </x:c>
      <x:c r="C26" s="3" t="n">
        <x:v>88</x:v>
      </x:c>
    </x:row>
    <x:row r="27" ht="21" customHeight="1">
      <x:c r="A27" s="3" t="str">
        <x:v>2201008</x:v>
      </x:c>
      <x:c r="B27" s="3" t="str">
        <x:v>2024-2</x:v>
      </x:c>
      <x:c r="C27" s="3" t="n">
        <x:v>96</x:v>
      </x:c>
    </x:row>
    <x:row r="28" ht="21" customHeight="1">
      <x:c r="A28" s="3" t="str">
        <x:v>2201008</x:v>
      </x:c>
      <x:c r="B28" s="3" t="str">
        <x:v>2025-1</x:v>
      </x:c>
      <x:c r="C28" s="3" t="n">
        <x:v>68</x:v>
      </x:c>
    </x:row>
    <x:row r="29" ht="21" customHeight="1">
      <x:c r="A29" s="3" t="str">
        <x:v>2201009</x:v>
      </x:c>
      <x:c r="B29" s="3" t="str">
        <x:v>2024-1</x:v>
      </x:c>
      <x:c r="C29" s="3" t="n">
        <x:v>93</x:v>
      </x:c>
    </x:row>
    <x:row r="30" ht="21" customHeight="1">
      <x:c r="A30" s="3" t="str">
        <x:v>2201009</x:v>
      </x:c>
      <x:c r="B30" s="3" t="str">
        <x:v>2024-2</x:v>
      </x:c>
      <x:c r="C30" s="3" t="n">
        <x:v>88</x:v>
      </x:c>
    </x:row>
    <x:row r="31" ht="21" customHeight="1">
      <x:c r="A31" s="3" t="str">
        <x:v>2201009</x:v>
      </x:c>
      <x:c r="B31" s="3" t="str">
        <x:v>2025-1</x:v>
      </x:c>
      <x:c r="C31" s="3" t="n">
        <x:v>73</x:v>
      </x:c>
    </x:row>
    <x:row r="32" ht="21" customHeight="1">
      <x:c r="A32" s="3" t="str">
        <x:v>2201010</x:v>
      </x:c>
      <x:c r="B32" s="3" t="str">
        <x:v>2024-1</x:v>
      </x:c>
      <x:c r="C32" s="3" t="n">
        <x:v>60</x:v>
      </x:c>
    </x:row>
    <x:row r="33" ht="21" customHeight="1">
      <x:c r="A33" s="3" t="str">
        <x:v>2201010</x:v>
      </x:c>
      <x:c r="B33" s="3" t="str">
        <x:v>2024-2</x:v>
      </x:c>
      <x:c r="C33" s="3" t="n">
        <x:v>56</x:v>
      </x:c>
    </x:row>
    <x:row r="34" ht="21" customHeight="1">
      <x:c r="A34" s="3" t="str">
        <x:v>2201010</x:v>
      </x:c>
      <x:c r="B34" s="3" t="str">
        <x:v>2025-1</x:v>
      </x:c>
      <x:c r="C34" s="3" t="n">
        <x:v>49</x:v>
      </x:c>
    </x:row>
    <x:row r="35" ht="21" customHeight="1">
      <x:c r="A35" s="3" t="str">
        <x:v>2201011</x:v>
      </x:c>
      <x:c r="B35" s="3" t="str">
        <x:v>2024-1</x:v>
      </x:c>
      <x:c r="C35" s="3" t="n">
        <x:v>84</x:v>
      </x:c>
    </x:row>
    <x:row r="36" ht="21" customHeight="1">
      <x:c r="A36" s="3" t="str">
        <x:v>2201011</x:v>
      </x:c>
      <x:c r="B36" s="3" t="str">
        <x:v>2024-2</x:v>
      </x:c>
      <x:c r="C36" s="3" t="n">
        <x:v>75</x:v>
      </x:c>
    </x:row>
    <x:row r="37" ht="21" customHeight="1">
      <x:c r="A37" s="3" t="str">
        <x:v>2201011</x:v>
      </x:c>
      <x:c r="B37" s="3" t="str">
        <x:v>2025-1</x:v>
      </x:c>
      <x:c r="C37" s="3" t="n">
        <x:v>88</x:v>
      </x:c>
    </x:row>
    <x:row r="38" ht="21" customHeight="1">
      <x:c r="A38" s="3" t="str">
        <x:v>2201012</x:v>
      </x:c>
      <x:c r="B38" s="3" t="str">
        <x:v>2024-1</x:v>
      </x:c>
      <x:c r="C38" s="3" t="n">
        <x:v>89</x:v>
      </x:c>
    </x:row>
    <x:row r="39" ht="21" customHeight="1">
      <x:c r="A39" s="3" t="str">
        <x:v>2201012</x:v>
      </x:c>
      <x:c r="B39" s="3" t="str">
        <x:v>2024-2</x:v>
      </x:c>
      <x:c r="C39" s="3" t="n">
        <x:v>83</x:v>
      </x:c>
    </x:row>
    <x:row r="40" ht="21" customHeight="1">
      <x:c r="A40" s="3" t="str">
        <x:v>2201012</x:v>
      </x:c>
      <x:c r="B40" s="3" t="str">
        <x:v>2025-1</x:v>
      </x:c>
      <x:c r="C40" s="3" t="n">
        <x:v>75</x:v>
      </x:c>
    </x:row>
    <x:row r="41" ht="21" customHeight="1">
      <x:c r="A41" s="3" t="str">
        <x:v>2201013</x:v>
      </x:c>
      <x:c r="B41" s="3" t="str">
        <x:v>2024-1</x:v>
      </x:c>
      <x:c r="C41" s="3" t="n">
        <x:v>88</x:v>
      </x:c>
    </x:row>
    <x:row r="42" ht="21" customHeight="1">
      <x:c r="A42" s="3" t="str">
        <x:v>2201013</x:v>
      </x:c>
      <x:c r="B42" s="3" t="str">
        <x:v>2024-2</x:v>
      </x:c>
      <x:c r="C42" s="3" t="n">
        <x:v>87</x:v>
      </x:c>
    </x:row>
    <x:row r="43" ht="21" customHeight="1">
      <x:c r="A43" s="3" t="str">
        <x:v>2201013</x:v>
      </x:c>
      <x:c r="B43" s="3" t="str">
        <x:v>2025-1</x:v>
      </x:c>
      <x:c r="C43" s="3" t="n">
        <x:v>80</x:v>
      </x:c>
    </x:row>
    <x:row r="44" ht="21" customHeight="1">
      <x:c r="A44" s="3" t="str">
        <x:v>2201014</x:v>
      </x:c>
      <x:c r="B44" s="3" t="str">
        <x:v>2024-1</x:v>
      </x:c>
      <x:c r="C44" s="3" t="n">
        <x:v>69</x:v>
      </x:c>
    </x:row>
    <x:row r="45" ht="21" customHeight="1">
      <x:c r="A45" s="3" t="str">
        <x:v>2201014</x:v>
      </x:c>
      <x:c r="B45" s="3" t="str">
        <x:v>2024-2</x:v>
      </x:c>
      <x:c r="C45" s="3" t="n">
        <x:v>78</x:v>
      </x:c>
    </x:row>
    <x:row r="46" ht="21" customHeight="1">
      <x:c r="A46" s="3" t="str">
        <x:v>2201014</x:v>
      </x:c>
      <x:c r="B46" s="3" t="str">
        <x:v>2025-1</x:v>
      </x:c>
      <x:c r="C46" s="3" t="n">
        <x:v>73</x:v>
      </x:c>
    </x:row>
    <x:row r="47" ht="21" customHeight="1">
      <x:c r="A47" s="3" t="str">
        <x:v>2201015</x:v>
      </x:c>
      <x:c r="B47" s="3" t="str">
        <x:v>2024-1</x:v>
      </x:c>
      <x:c r="C47" s="3" t="n">
        <x:v>49</x:v>
      </x:c>
    </x:row>
    <x:row r="48" ht="21" customHeight="1">
      <x:c r="A48" s="3" t="str">
        <x:v>2201015</x:v>
      </x:c>
      <x:c r="B48" s="3" t="str">
        <x:v>2024-2</x:v>
      </x:c>
      <x:c r="C48" s="3" t="n">
        <x:v>57</x:v>
      </x:c>
    </x:row>
    <x:row r="49" ht="21" customHeight="1">
      <x:c r="A49" s="3" t="str">
        <x:v>2201015</x:v>
      </x:c>
      <x:c r="B49" s="3" t="str">
        <x:v>2025-1</x:v>
      </x:c>
      <x:c r="C49" s="3" t="n">
        <x:v>44</x:v>
      </x:c>
    </x:row>
    <x:row r="50" ht="21" customHeight="1">
      <x:c r="A50" s="3" t="str">
        <x:v>2201016</x:v>
      </x:c>
      <x:c r="B50" s="3" t="str">
        <x:v>2024-1</x:v>
      </x:c>
      <x:c r="C50" s="3" t="n">
        <x:v>71</x:v>
      </x:c>
    </x:row>
    <x:row r="51" ht="21" customHeight="1">
      <x:c r="A51" s="3" t="str">
        <x:v>2201016</x:v>
      </x:c>
      <x:c r="B51" s="3" t="str">
        <x:v>2024-2</x:v>
      </x:c>
      <x:c r="C51" s="3" t="n">
        <x:v>68</x:v>
      </x:c>
    </x:row>
    <x:row r="52" ht="21" customHeight="1">
      <x:c r="A52" s="3" t="str">
        <x:v>2201016</x:v>
      </x:c>
      <x:c r="B52" s="3" t="str">
        <x:v>2025-1</x:v>
      </x:c>
      <x:c r="C52" s="3" t="n">
        <x:v>81</x:v>
      </x:c>
    </x:row>
    <x:row r="53" ht="21" customHeight="1">
      <x:c r="A53" s="3" t="str">
        <x:v>2201017</x:v>
      </x:c>
      <x:c r="B53" s="3" t="str">
        <x:v>2024-1</x:v>
      </x:c>
      <x:c r="C53" s="3" t="n">
        <x:v>82</x:v>
      </x:c>
    </x:row>
    <x:row r="54" ht="21" customHeight="1">
      <x:c r="A54" s="3" t="str">
        <x:v>2201017</x:v>
      </x:c>
      <x:c r="B54" s="3" t="str">
        <x:v>2024-2</x:v>
      </x:c>
      <x:c r="C54" s="3" t="n">
        <x:v>93</x:v>
      </x:c>
    </x:row>
    <x:row r="55" ht="21" customHeight="1">
      <x:c r="A55" s="3" t="str">
        <x:v>2201017</x:v>
      </x:c>
      <x:c r="B55" s="3" t="str">
        <x:v>2025-1</x:v>
      </x:c>
      <x:c r="C55" s="3" t="n">
        <x:v>70</x:v>
      </x:c>
    </x:row>
    <x:row r="56" ht="21" customHeight="1">
      <x:c r="A56" s="3" t="str">
        <x:v>2201018</x:v>
      </x:c>
      <x:c r="B56" s="3" t="str">
        <x:v>2024-1</x:v>
      </x:c>
      <x:c r="C56" s="3" t="n">
        <x:v>91</x:v>
      </x:c>
    </x:row>
    <x:row r="57" ht="21" customHeight="1">
      <x:c r="A57" s="3" t="str">
        <x:v>2201018</x:v>
      </x:c>
      <x:c r="B57" s="3" t="str">
        <x:v>2024-2</x:v>
      </x:c>
      <x:c r="C57" s="3" t="n">
        <x:v>94</x:v>
      </x:c>
    </x:row>
    <x:row r="58" ht="21" customHeight="1">
      <x:c r="A58" s="3" t="str">
        <x:v>2201018</x:v>
      </x:c>
      <x:c r="B58" s="3" t="str">
        <x:v>2025-1</x:v>
      </x:c>
      <x:c r="C58" s="3" t="n">
        <x:v>73</x:v>
      </x:c>
    </x:row>
    <x:row r="59" ht="21" customHeight="1">
      <x:c r="A59" s="3" t="str">
        <x:v>2201019</x:v>
      </x:c>
      <x:c r="B59" s="3" t="str">
        <x:v>2024-1</x:v>
      </x:c>
      <x:c r="C59" s="3" t="n">
        <x:v>95</x:v>
      </x:c>
    </x:row>
    <x:row r="60" ht="21" customHeight="1">
      <x:c r="A60" s="3" t="str">
        <x:v>2201019</x:v>
      </x:c>
      <x:c r="B60" s="3" t="str">
        <x:v>2024-2</x:v>
      </x:c>
      <x:c r="C60" s="3" t="n">
        <x:v>73</x:v>
      </x:c>
    </x:row>
    <x:row r="61" ht="21" customHeight="1">
      <x:c r="A61" s="3" t="str">
        <x:v>2201019</x:v>
      </x:c>
      <x:c r="B61" s="3" t="str">
        <x:v>2025-1</x:v>
      </x:c>
      <x:c r="C61" s="3" t="n">
        <x:v>75</x:v>
      </x:c>
    </x:row>
    <x:row r="62" ht="21" customHeight="1">
      <x:c r="A62" s="3" t="str">
        <x:v>2201020</x:v>
      </x:c>
      <x:c r="B62" s="3" t="str">
        <x:v>2024-1</x:v>
      </x:c>
      <x:c r="C62" s="3" t="n">
        <x:v>46</x:v>
      </x:c>
    </x:row>
    <x:row r="63" ht="21" customHeight="1">
      <x:c r="A63" s="3" t="str">
        <x:v>2201020</x:v>
      </x:c>
      <x:c r="B63" s="3" t="str">
        <x:v>2024-2</x:v>
      </x:c>
      <x:c r="C63" s="3" t="n">
        <x:v>50</x:v>
      </x:c>
    </x:row>
    <x:row r="64" ht="21" customHeight="1">
      <x:c r="A64" s="3" t="str">
        <x:v>2201020</x:v>
      </x:c>
      <x:c r="B64" s="3" t="str">
        <x:v>2025-1</x:v>
      </x:c>
      <x:c r="C64" s="3" t="n">
        <x:v>51</x:v>
      </x:c>
    </x:row>
    <x:row r="65" ht="21" customHeight="1">
      <x:c r="A65" s="3" t="str">
        <x:v>2202001</x:v>
      </x:c>
      <x:c r="B65" s="3" t="str">
        <x:v>2024-1</x:v>
      </x:c>
      <x:c r="C65" s="3" t="n">
        <x:v>69</x:v>
      </x:c>
    </x:row>
    <x:row r="66" ht="21" customHeight="1">
      <x:c r="A66" s="3" t="str">
        <x:v>2202001</x:v>
      </x:c>
      <x:c r="B66" s="3" t="str">
        <x:v>2024-2</x:v>
      </x:c>
      <x:c r="C66" s="3" t="n">
        <x:v>68</x:v>
      </x:c>
    </x:row>
    <x:row r="67" ht="21" customHeight="1">
      <x:c r="A67" s="3" t="str">
        <x:v>2202001</x:v>
      </x:c>
      <x:c r="B67" s="3" t="str">
        <x:v>2025-1</x:v>
      </x:c>
      <x:c r="C67" s="3" t="n">
        <x:v>76</x:v>
      </x:c>
    </x:row>
    <x:row r="68" ht="21" customHeight="1">
      <x:c r="A68" s="3" t="str">
        <x:v>2202002</x:v>
      </x:c>
      <x:c r="B68" s="3" t="str">
        <x:v>2024-1</x:v>
      </x:c>
      <x:c r="C68" s="3" t="n">
        <x:v>87</x:v>
      </x:c>
    </x:row>
    <x:row r="69" ht="21" customHeight="1">
      <x:c r="A69" s="3" t="str">
        <x:v>2202002</x:v>
      </x:c>
      <x:c r="B69" s="3" t="str">
        <x:v>2024-2</x:v>
      </x:c>
      <x:c r="C69" s="3" t="n">
        <x:v>74</x:v>
      </x:c>
    </x:row>
    <x:row r="70" ht="21" customHeight="1">
      <x:c r="A70" s="3" t="str">
        <x:v>2202002</x:v>
      </x:c>
      <x:c r="B70" s="3" t="str">
        <x:v>2025-1</x:v>
      </x:c>
      <x:c r="C70" s="3" t="n">
        <x:v>88</x:v>
      </x:c>
    </x:row>
    <x:row r="71" ht="21" customHeight="1">
      <x:c r="A71" s="3" t="str">
        <x:v>2202003</x:v>
      </x:c>
      <x:c r="B71" s="3" t="str">
        <x:v>2024-1</x:v>
      </x:c>
      <x:c r="C71" s="3" t="n">
        <x:v>76</x:v>
      </x:c>
    </x:row>
    <x:row r="72" ht="21" customHeight="1">
      <x:c r="A72" s="3" t="str">
        <x:v>2202003</x:v>
      </x:c>
      <x:c r="B72" s="3" t="str">
        <x:v>2024-2</x:v>
      </x:c>
      <x:c r="C72" s="3" t="n">
        <x:v>87</x:v>
      </x:c>
    </x:row>
    <x:row r="73" ht="21" customHeight="1">
      <x:c r="A73" s="3" t="str">
        <x:v>2202003</x:v>
      </x:c>
      <x:c r="B73" s="3" t="str">
        <x:v>2025-1</x:v>
      </x:c>
      <x:c r="C73" s="3" t="n">
        <x:v>81</x:v>
      </x:c>
    </x:row>
    <x:row r="74" ht="21" customHeight="1">
      <x:c r="A74" s="3" t="str">
        <x:v>2202004</x:v>
      </x:c>
      <x:c r="B74" s="3" t="str">
        <x:v>2024-1</x:v>
      </x:c>
      <x:c r="C74" s="3" t="n">
        <x:v>92</x:v>
      </x:c>
    </x:row>
    <x:row r="75" ht="21" customHeight="1">
      <x:c r="A75" s="3" t="str">
        <x:v>2202004</x:v>
      </x:c>
      <x:c r="B75" s="3" t="str">
        <x:v>2024-2</x:v>
      </x:c>
      <x:c r="C75" s="3" t="n">
        <x:v>77</x:v>
      </x:c>
    </x:row>
    <x:row r="76" ht="21" customHeight="1">
      <x:c r="A76" s="3" t="str">
        <x:v>2202004</x:v>
      </x:c>
      <x:c r="B76" s="3" t="str">
        <x:v>2025-1</x:v>
      </x:c>
      <x:c r="C76" s="3" t="n">
        <x:v>90</x:v>
      </x:c>
    </x:row>
    <x:row r="77" ht="21" customHeight="1">
      <x:c r="A77" s="3" t="str">
        <x:v>2202005</x:v>
      </x:c>
      <x:c r="B77" s="3" t="str">
        <x:v>2024-1</x:v>
      </x:c>
      <x:c r="C77" s="3" t="n">
        <x:v>43</x:v>
      </x:c>
    </x:row>
    <x:row r="78" ht="21" customHeight="1">
      <x:c r="A78" s="3" t="str">
        <x:v>2202005</x:v>
      </x:c>
      <x:c r="B78" s="3" t="str">
        <x:v>2024-2</x:v>
      </x:c>
      <x:c r="C78" s="3" t="n">
        <x:v>60</x:v>
      </x:c>
    </x:row>
    <x:row r="79" ht="21" customHeight="1">
      <x:c r="A79" s="3" t="str">
        <x:v>2202005</x:v>
      </x:c>
      <x:c r="B79" s="3" t="str">
        <x:v>2025-1</x:v>
      </x:c>
      <x:c r="C79" s="3" t="n">
        <x:v>57</x:v>
      </x:c>
    </x:row>
    <x:row r="80" ht="21" customHeight="1">
      <x:c r="A80" s="3" t="str">
        <x:v>2202006</x:v>
      </x:c>
      <x:c r="B80" s="3" t="str">
        <x:v>2024-1</x:v>
      </x:c>
      <x:c r="C80" s="3" t="n">
        <x:v>92</x:v>
      </x:c>
    </x:row>
    <x:row r="81" ht="21" customHeight="1">
      <x:c r="A81" s="3" t="str">
        <x:v>2202006</x:v>
      </x:c>
      <x:c r="B81" s="3" t="str">
        <x:v>2024-2</x:v>
      </x:c>
      <x:c r="C81" s="3" t="n">
        <x:v>75</x:v>
      </x:c>
    </x:row>
    <x:row r="82" ht="21" customHeight="1">
      <x:c r="A82" s="3" t="str">
        <x:v>2202006</x:v>
      </x:c>
      <x:c r="B82" s="3" t="str">
        <x:v>2025-1</x:v>
      </x:c>
      <x:c r="C82" s="3" t="n">
        <x:v>73</x:v>
      </x:c>
    </x:row>
    <x:row r="83" ht="21" customHeight="1">
      <x:c r="A83" s="3" t="str">
        <x:v>2202007</x:v>
      </x:c>
      <x:c r="B83" s="3" t="str">
        <x:v>2024-1</x:v>
      </x:c>
      <x:c r="C83" s="3" t="n">
        <x:v>78</x:v>
      </x:c>
    </x:row>
    <x:row r="84" ht="21" customHeight="1">
      <x:c r="A84" s="3" t="str">
        <x:v>2202007</x:v>
      </x:c>
      <x:c r="B84" s="3" t="str">
        <x:v>2024-2</x:v>
      </x:c>
      <x:c r="C84" s="3" t="n">
        <x:v>87</x:v>
      </x:c>
    </x:row>
    <x:row r="85" ht="21" customHeight="1">
      <x:c r="A85" s="3" t="str">
        <x:v>2202007</x:v>
      </x:c>
      <x:c r="B85" s="3" t="str">
        <x:v>2025-1</x:v>
      </x:c>
      <x:c r="C85" s="3" t="n">
        <x:v>70</x:v>
      </x:c>
    </x:row>
    <x:row r="86" ht="21" customHeight="1">
      <x:c r="A86" s="3" t="str">
        <x:v>2202008</x:v>
      </x:c>
      <x:c r="B86" s="3" t="str">
        <x:v>2024-1</x:v>
      </x:c>
      <x:c r="C86" s="3" t="n">
        <x:v>75</x:v>
      </x:c>
    </x:row>
    <x:row r="87" ht="21" customHeight="1">
      <x:c r="A87" s="3" t="str">
        <x:v>2202008</x:v>
      </x:c>
      <x:c r="B87" s="3" t="str">
        <x:v>2024-2</x:v>
      </x:c>
      <x:c r="C87" s="3" t="n">
        <x:v>95</x:v>
      </x:c>
    </x:row>
    <x:row r="88" ht="21" customHeight="1">
      <x:c r="A88" s="3" t="str">
        <x:v>2202008</x:v>
      </x:c>
      <x:c r="B88" s="3" t="str">
        <x:v>2025-1</x:v>
      </x:c>
      <x:c r="C88" s="3" t="n">
        <x:v>70</x:v>
      </x:c>
    </x:row>
    <x:row r="89" ht="21" customHeight="1">
      <x:c r="A89" s="3" t="str">
        <x:v>2202009</x:v>
      </x:c>
      <x:c r="B89" s="3" t="str">
        <x:v>2024-1</x:v>
      </x:c>
      <x:c r="C89" s="3" t="n">
        <x:v>92</x:v>
      </x:c>
    </x:row>
    <x:row r="90" ht="21" customHeight="1">
      <x:c r="A90" s="3" t="str">
        <x:v>2202009</x:v>
      </x:c>
      <x:c r="B90" s="3" t="str">
        <x:v>2024-2</x:v>
      </x:c>
      <x:c r="C90" s="3" t="n">
        <x:v>88</x:v>
      </x:c>
    </x:row>
    <x:row r="91" ht="21" customHeight="1">
      <x:c r="A91" s="3" t="str">
        <x:v>2202009</x:v>
      </x:c>
      <x:c r="B91" s="3" t="str">
        <x:v>2025-1</x:v>
      </x:c>
      <x:c r="C91" s="3" t="n">
        <x:v>93</x:v>
      </x:c>
    </x:row>
    <x:row r="92" ht="21" customHeight="1">
      <x:c r="A92" s="3" t="str">
        <x:v>2202010</x:v>
      </x:c>
      <x:c r="B92" s="3" t="str">
        <x:v>2024-1</x:v>
      </x:c>
      <x:c r="C92" s="3" t="n">
        <x:v>62</x:v>
      </x:c>
    </x:row>
    <x:row r="93" ht="21" customHeight="1">
      <x:c r="A93" s="3" t="str">
        <x:v>2202010</x:v>
      </x:c>
      <x:c r="B93" s="3" t="str">
        <x:v>2024-2</x:v>
      </x:c>
      <x:c r="C93" s="3" t="n">
        <x:v>59</x:v>
      </x:c>
    </x:row>
    <x:row r="94" ht="21" customHeight="1">
      <x:c r="A94" s="3" t="str">
        <x:v>2202010</x:v>
      </x:c>
      <x:c r="B94" s="3" t="str">
        <x:v>2025-1</x:v>
      </x:c>
      <x:c r="C94" s="3" t="n">
        <x:v>47</x:v>
      </x:c>
    </x:row>
    <x:row r="95" ht="21" customHeight="1">
      <x:c r="A95" s="3" t="str">
        <x:v>2202011</x:v>
      </x:c>
      <x:c r="B95" s="3" t="str">
        <x:v>2024-1</x:v>
      </x:c>
      <x:c r="C95" s="3" t="n">
        <x:v>86</x:v>
      </x:c>
    </x:row>
    <x:row r="96" ht="21" customHeight="1">
      <x:c r="A96" s="3" t="str">
        <x:v>2202011</x:v>
      </x:c>
      <x:c r="B96" s="3" t="str">
        <x:v>2024-2</x:v>
      </x:c>
      <x:c r="C96" s="3" t="n">
        <x:v>80</x:v>
      </x:c>
    </x:row>
    <x:row r="97" ht="21" customHeight="1">
      <x:c r="A97" s="3" t="str">
        <x:v>2202011</x:v>
      </x:c>
      <x:c r="B97" s="3" t="str">
        <x:v>2025-1</x:v>
      </x:c>
      <x:c r="C97" s="3" t="n">
        <x:v>95</x:v>
      </x:c>
    </x:row>
    <x:row r="98" ht="21" customHeight="1">
      <x:c r="A98" s="3" t="str">
        <x:v>2202012</x:v>
      </x:c>
      <x:c r="B98" s="3" t="str">
        <x:v>2024-1</x:v>
      </x:c>
      <x:c r="C98" s="3" t="n">
        <x:v>73</x:v>
      </x:c>
    </x:row>
    <x:row r="99" ht="21" customHeight="1">
      <x:c r="A99" s="3" t="str">
        <x:v>2202012</x:v>
      </x:c>
      <x:c r="B99" s="3" t="str">
        <x:v>2024-2</x:v>
      </x:c>
      <x:c r="C99" s="3" t="n">
        <x:v>84</x:v>
      </x:c>
    </x:row>
    <x:row r="100" ht="21" customHeight="1">
      <x:c r="A100" s="3" t="str">
        <x:v>2202012</x:v>
      </x:c>
      <x:c r="B100" s="3" t="str">
        <x:v>2025-1</x:v>
      </x:c>
      <x:c r="C100" s="3" t="n">
        <x:v>80</x:v>
      </x:c>
    </x:row>
    <x:row r="101" ht="21" customHeight="1">
      <x:c r="A101" s="3" t="str">
        <x:v>2202013</x:v>
      </x:c>
      <x:c r="B101" s="3" t="str">
        <x:v>2024-1</x:v>
      </x:c>
      <x:c r="C101" s="3" t="n">
        <x:v>82</x:v>
      </x:c>
    </x:row>
    <x:row r="102" ht="21" customHeight="1">
      <x:c r="A102" s="3" t="str">
        <x:v>2202013</x:v>
      </x:c>
      <x:c r="B102" s="3" t="str">
        <x:v>2024-2</x:v>
      </x:c>
      <x:c r="C102" s="3" t="n">
        <x:v>83</x:v>
      </x:c>
    </x:row>
    <x:row r="103" ht="21" customHeight="1">
      <x:c r="A103" s="3" t="str">
        <x:v>2202013</x:v>
      </x:c>
      <x:c r="B103" s="3" t="str">
        <x:v>2025-1</x:v>
      </x:c>
      <x:c r="C103" s="3" t="n">
        <x:v>86</x:v>
      </x:c>
    </x:row>
    <x:row r="104" ht="21" customHeight="1">
      <x:c r="A104" s="3" t="str">
        <x:v>2202014</x:v>
      </x:c>
      <x:c r="B104" s="3" t="str">
        <x:v>2024-1</x:v>
      </x:c>
      <x:c r="C104" s="3" t="n">
        <x:v>69</x:v>
      </x:c>
    </x:row>
    <x:row r="105" ht="21" customHeight="1">
      <x:c r="A105" s="3" t="str">
        <x:v>2202014</x:v>
      </x:c>
      <x:c r="B105" s="3" t="str">
        <x:v>2024-2</x:v>
      </x:c>
      <x:c r="C105" s="3" t="n">
        <x:v>72</x:v>
      </x:c>
    </x:row>
    <x:row r="106" ht="21" customHeight="1">
      <x:c r="A106" s="3" t="str">
        <x:v>2202014</x:v>
      </x:c>
      <x:c r="B106" s="3" t="str">
        <x:v>2025-1</x:v>
      </x:c>
      <x:c r="C106" s="3" t="n">
        <x:v>89</x:v>
      </x:c>
    </x:row>
    <x:row r="107" ht="21" customHeight="1">
      <x:c r="A107" s="3" t="str">
        <x:v>2202015</x:v>
      </x:c>
      <x:c r="B107" s="3" t="str">
        <x:v>2024-1</x:v>
      </x:c>
      <x:c r="C107" s="3" t="n">
        <x:v>60</x:v>
      </x:c>
    </x:row>
    <x:row r="108" ht="21" customHeight="1">
      <x:c r="A108" s="3" t="str">
        <x:v>2202015</x:v>
      </x:c>
      <x:c r="B108" s="3" t="str">
        <x:v>2024-2</x:v>
      </x:c>
      <x:c r="C108" s="3" t="n">
        <x:v>53</x:v>
      </x:c>
    </x:row>
    <x:row r="109" ht="21" customHeight="1">
      <x:c r="A109" s="3" t="str">
        <x:v>2202015</x:v>
      </x:c>
      <x:c r="B109" s="3" t="str">
        <x:v>2025-1</x:v>
      </x:c>
      <x:c r="C109" s="3" t="n">
        <x:v>57</x:v>
      </x:c>
    </x:row>
    <x:row r="110" ht="21" customHeight="1">
      <x:c r="A110" s="3" t="str">
        <x:v>2202016</x:v>
      </x:c>
      <x:c r="B110" s="3" t="str">
        <x:v>2024-1</x:v>
      </x:c>
      <x:c r="C110" s="3" t="n">
        <x:v>70</x:v>
      </x:c>
    </x:row>
    <x:row r="111" ht="21" customHeight="1">
      <x:c r="A111" s="3" t="str">
        <x:v>2202016</x:v>
      </x:c>
      <x:c r="B111" s="3" t="str">
        <x:v>2024-2</x:v>
      </x:c>
      <x:c r="C111" s="3" t="n">
        <x:v>72</x:v>
      </x:c>
    </x:row>
    <x:row r="112" ht="21" customHeight="1">
      <x:c r="A112" s="3" t="str">
        <x:v>2202016</x:v>
      </x:c>
      <x:c r="B112" s="3" t="str">
        <x:v>2025-1</x:v>
      </x:c>
      <x:c r="C112" s="3" t="n">
        <x:v>92</x:v>
      </x:c>
    </x:row>
    <x:row r="113" ht="21" customHeight="1">
      <x:c r="A113" s="3" t="str">
        <x:v>2202017</x:v>
      </x:c>
      <x:c r="B113" s="3" t="str">
        <x:v>2024-1</x:v>
      </x:c>
      <x:c r="C113" s="3" t="n">
        <x:v>85</x:v>
      </x:c>
    </x:row>
    <x:row r="114" ht="21" customHeight="1">
      <x:c r="A114" s="3" t="str">
        <x:v>2202017</x:v>
      </x:c>
      <x:c r="B114" s="3" t="str">
        <x:v>2024-2</x:v>
      </x:c>
      <x:c r="C114" s="3" t="n">
        <x:v>96</x:v>
      </x:c>
    </x:row>
    <x:row r="115" ht="21" customHeight="1">
      <x:c r="A115" s="3" t="str">
        <x:v>2202017</x:v>
      </x:c>
      <x:c r="B115" s="3" t="str">
        <x:v>2025-1</x:v>
      </x:c>
      <x:c r="C115" s="3" t="n">
        <x:v>88</x:v>
      </x:c>
    </x:row>
    <x:row r="116" ht="21" customHeight="1">
      <x:c r="A116" s="3" t="str">
        <x:v>2202018</x:v>
      </x:c>
      <x:c r="B116" s="3" t="str">
        <x:v>2024-1</x:v>
      </x:c>
      <x:c r="C116" s="3" t="n">
        <x:v>94</x:v>
      </x:c>
    </x:row>
    <x:row r="117" ht="21" customHeight="1">
      <x:c r="A117" s="3" t="str">
        <x:v>2202018</x:v>
      </x:c>
      <x:c r="B117" s="3" t="str">
        <x:v>2024-2</x:v>
      </x:c>
      <x:c r="C117" s="3" t="n">
        <x:v>91</x:v>
      </x:c>
    </x:row>
    <x:row r="118" ht="21" customHeight="1">
      <x:c r="A118" s="3" t="str">
        <x:v>2202018</x:v>
      </x:c>
      <x:c r="B118" s="3" t="str">
        <x:v>2025-1</x:v>
      </x:c>
      <x:c r="C118" s="3" t="n">
        <x:v>83</x:v>
      </x:c>
    </x:row>
    <x:row r="119" ht="21" customHeight="1">
      <x:c r="A119" s="3" t="str">
        <x:v>2202019</x:v>
      </x:c>
      <x:c r="B119" s="3" t="str">
        <x:v>2024-1</x:v>
      </x:c>
      <x:c r="C119" s="3" t="n">
        <x:v>90</x:v>
      </x:c>
    </x:row>
    <x:row r="120" ht="21" customHeight="1">
      <x:c r="A120" s="3" t="str">
        <x:v>2202019</x:v>
      </x:c>
      <x:c r="B120" s="3" t="str">
        <x:v>2024-2</x:v>
      </x:c>
      <x:c r="C120" s="3" t="n">
        <x:v>92</x:v>
      </x:c>
    </x:row>
    <x:row r="121" ht="21" customHeight="1">
      <x:c r="A121" s="3" t="str">
        <x:v>2202019</x:v>
      </x:c>
      <x:c r="B121" s="3" t="str">
        <x:v>2025-1</x:v>
      </x:c>
      <x:c r="C121" s="3" t="n">
        <x:v>82</x:v>
      </x:c>
    </x:row>
    <x:row r="122" ht="21" customHeight="1">
      <x:c r="A122" s="3" t="str">
        <x:v>2202020</x:v>
      </x:c>
      <x:c r="B122" s="3" t="str">
        <x:v>2024-1</x:v>
      </x:c>
      <x:c r="C122" s="3" t="n">
        <x:v>48</x:v>
      </x:c>
    </x:row>
    <x:row r="123" ht="21" customHeight="1">
      <x:c r="A123" s="3" t="str">
        <x:v>2202020</x:v>
      </x:c>
      <x:c r="B123" s="3" t="str">
        <x:v>2024-2</x:v>
      </x:c>
      <x:c r="C123" s="3" t="n">
        <x:v>48</x:v>
      </x:c>
    </x:row>
    <x:row r="124" ht="21" customHeight="1">
      <x:c r="A124" s="3" t="str">
        <x:v>2202020</x:v>
      </x:c>
      <x:c r="B124" s="3" t="str">
        <x:v>2025-1</x:v>
      </x:c>
      <x:c r="C124" s="3" t="n">
        <x:v>63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>
      <x:c r="A1" s="1" t="str">
        <x:v>F_Teachers</x:v>
      </x:c>
    </x:row>
    <x:row r="2">
      <x:c r="A2" t="str">
        <x:v>5d72748:mcp-academic/data/sample/teachers.csv</x:v>
      </x:c>
    </x:row>
    <x:row r="3">
      <x:c r="A3" t="str">
        <x:v>CSV values start on row 5. Blue inputs, black calculations. Sources and hashes: reference-manifest.json.</x:v>
      </x:c>
    </x:row>
    <x:row r="4" ht="21" customHeight="1">
      <x:c r="A4" s="7" t="str">
        <x:v>teacher_id</x:v>
      </x:c>
      <x:c r="B4" s="7" t="str">
        <x:v>full_name</x:v>
      </x:c>
      <x:c r="C4" s="7" t="str">
        <x:v>faculty</x:v>
      </x:c>
      <x:c r="D4" s="7" t="str">
        <x:v>title</x:v>
      </x:c>
      <x:c r="E4" s="7" t="str">
        <x:v>degree</x:v>
      </x:c>
      <x:c r="F4" s="7" t="str">
        <x:v>hire_date</x:v>
      </x:c>
      <x:c r="G4" s="7" t="str">
        <x:v>email</x:v>
      </x:c>
    </x:row>
    <x:row r="5" ht="21" customHeight="1">
      <x:c r="A5" s="3" t="str">
        <x:v>T001</x:v>
      </x:c>
      <x:c r="B5" s="3" t="str">
        <x:v>Đỗ Hữu Quân</x:v>
      </x:c>
      <x:c r="C5" s="3" t="str">
        <x:v>Information Technology</x:v>
      </x:c>
      <x:c r="D5" s="3" t="str">
        <x:v>Lecturer</x:v>
      </x:c>
      <x:c r="E5" s="3" t="str">
        <x:v>MSc</x:v>
      </x:c>
      <x:c r="F5" s="3" t="str">
        <x:v>2021-03-11</x:v>
      </x:c>
      <x:c r="G5" s="3" t="str">
        <x:v>quan.t001@example.edu.vn</x:v>
      </x:c>
    </x:row>
    <x:row r="6" ht="21" customHeight="1">
      <x:c r="A6" s="3" t="str">
        <x:v>T002</x:v>
      </x:c>
      <x:c r="B6" s="3" t="str">
        <x:v>Lê Quốc Thắng</x:v>
      </x:c>
      <x:c r="C6" s="3" t="str">
        <x:v>Information Technology</x:v>
      </x:c>
      <x:c r="D6" s="3" t="str">
        <x:v>Lecturer</x:v>
      </x:c>
      <x:c r="E6" s="3" t="str">
        <x:v>MSc</x:v>
      </x:c>
      <x:c r="F6" s="3" t="str">
        <x:v>2016-06-02</x:v>
      </x:c>
      <x:c r="G6" s="3" t="str">
        <x:v>thang.t002@example.edu.vn</x:v>
      </x:c>
    </x:row>
    <x:row r="7" ht="21" customHeight="1">
      <x:c r="A7" s="3" t="str">
        <x:v>T003</x:v>
      </x:c>
      <x:c r="B7" s="3" t="str">
        <x:v>Võ Thu Phương</x:v>
      </x:c>
      <x:c r="C7" s="3" t="str">
        <x:v>Information Technology</x:v>
      </x:c>
      <x:c r="D7" s="3" t="str">
        <x:v>Senior Lecturer</x:v>
      </x:c>
      <x:c r="E7" s="3" t="str">
        <x:v>PhD</x:v>
      </x:c>
      <x:c r="F7" s="3" t="str">
        <x:v>2023-03-16</x:v>
      </x:c>
      <x:c r="G7" s="3" t="str">
        <x:v>phuong.t003@example.edu.vn</x:v>
      </x:c>
    </x:row>
    <x:row r="8" ht="21" customHeight="1">
      <x:c r="A8" s="3" t="str">
        <x:v>T004</x:v>
      </x:c>
      <x:c r="B8" s="3" t="str">
        <x:v>Đỗ Kim Phương</x:v>
      </x:c>
      <x:c r="C8" s="3" t="str">
        <x:v>Information Technology</x:v>
      </x:c>
      <x:c r="D8" s="3" t="str">
        <x:v>Lecturer</x:v>
      </x:c>
      <x:c r="E8" s="3" t="str">
        <x:v>MSc</x:v>
      </x:c>
      <x:c r="F8" s="3" t="str">
        <x:v>2017-02-03</x:v>
      </x:c>
      <x:c r="G8" s="3" t="str">
        <x:v>phuong.t004@example.edu.vn</x:v>
      </x:c>
    </x:row>
    <x:row r="9" ht="21" customHeight="1">
      <x:c r="A9" s="3" t="str">
        <x:v>T005</x:v>
      </x:c>
      <x:c r="B9" s="3" t="str">
        <x:v>Đỗ Quốc Thắng</x:v>
      </x:c>
      <x:c r="C9" s="3" t="str">
        <x:v>Information Technology</x:v>
      </x:c>
      <x:c r="D9" s="3" t="str">
        <x:v>Associate Professor</x:v>
      </x:c>
      <x:c r="E9" s="3" t="str">
        <x:v>PhD</x:v>
      </x:c>
      <x:c r="F9" s="3" t="str">
        <x:v>2008-12-28</x:v>
      </x:c>
      <x:c r="G9" s="3" t="str">
        <x:v>thang.t005@example.edu.vn</x:v>
      </x:c>
    </x:row>
    <x:row r="10" ht="21" customHeight="1">
      <x:c r="A10" s="3" t="str">
        <x:v>T006</x:v>
      </x:c>
      <x:c r="B10" s="3" t="str">
        <x:v>Trần Văn Khánh</x:v>
      </x:c>
      <x:c r="C10" s="3" t="str">
        <x:v>Information Technology</x:v>
      </x:c>
      <x:c r="D10" s="3" t="str">
        <x:v>Senior Lecturer</x:v>
      </x:c>
      <x:c r="E10" s="3" t="str">
        <x:v>PhD</x:v>
      </x:c>
      <x:c r="F10" s="3" t="str">
        <x:v>2016-06-27</x:v>
      </x:c>
      <x:c r="G10" s="3" t="str">
        <x:v>khanh.t006@example.edu.vn</x:v>
      </x:c>
    </x:row>
    <x:row r="11" ht="21" customHeight="1">
      <x:c r="A11" s="3" t="str">
        <x:v>T007</x:v>
      </x:c>
      <x:c r="B11" s="3" t="str">
        <x:v>Võ Thu Oanh</x:v>
      </x:c>
      <x:c r="C11" s="3" t="str">
        <x:v>Information Technology</x:v>
      </x:c>
      <x:c r="D11" s="3" t="str">
        <x:v>Professor</x:v>
      </x:c>
      <x:c r="E11" s="3" t="str">
        <x:v>PhD</x:v>
      </x:c>
      <x:c r="F11" s="3" t="str">
        <x:v>2008-07-23</x:v>
      </x:c>
      <x:c r="G11" s="3" t="str">
        <x:v>oanh.t007@example.edu.vn</x:v>
      </x:c>
    </x:row>
    <x:row r="12" ht="21" customHeight="1">
      <x:c r="A12" s="3" t="str">
        <x:v>T008</x:v>
      </x:c>
      <x:c r="B12" s="3" t="str">
        <x:v>Nguyễn Thu Loan</x:v>
      </x:c>
      <x:c r="C12" s="3" t="str">
        <x:v>Information Technology</x:v>
      </x:c>
      <x:c r="D12" s="3" t="str">
        <x:v>Lecturer</x:v>
      </x:c>
      <x:c r="E12" s="3" t="str">
        <x:v>MSc</x:v>
      </x:c>
      <x:c r="F12" s="3" t="str">
        <x:v>2012-06-23</x:v>
      </x:c>
      <x:c r="G12" s="3" t="str">
        <x:v>loan.t008@example.edu.vn</x:v>
      </x:c>
    </x:row>
    <x:row r="13" ht="21" customHeight="1">
      <x:c r="A13" s="3" t="str">
        <x:v>T009</x:v>
      </x:c>
      <x:c r="B13" s="3" t="str">
        <x:v>Hoàng Quốc Hùng</x:v>
      </x:c>
      <x:c r="C13" s="3" t="str">
        <x:v>Business Administration</x:v>
      </x:c>
      <x:c r="D13" s="3" t="str">
        <x:v>Lecturer</x:v>
      </x:c>
      <x:c r="E13" s="3" t="str">
        <x:v>PhD</x:v>
      </x:c>
      <x:c r="F13" s="3" t="str">
        <x:v>2020-08-26</x:v>
      </x:c>
      <x:c r="G13" s="3" t="str">
        <x:v>hung.t009@example.edu.vn</x:v>
      </x:c>
    </x:row>
    <x:row r="14" ht="21" customHeight="1">
      <x:c r="A14" s="3" t="str">
        <x:v>T010</x:v>
      </x:c>
      <x:c r="B14" s="3" t="str">
        <x:v>Hoàng Thị Giang</x:v>
      </x:c>
      <x:c r="C14" s="3" t="str">
        <x:v>Business Administration</x:v>
      </x:c>
      <x:c r="D14" s="3" t="str">
        <x:v>Lecturer</x:v>
      </x:c>
      <x:c r="E14" s="3" t="str">
        <x:v>PhD</x:v>
      </x:c>
      <x:c r="F14" s="3" t="str">
        <x:v>2013-04-12</x:v>
      </x:c>
      <x:c r="G14" s="3" t="str">
        <x:v>giang.t010@example.edu.vn</x:v>
      </x:c>
    </x:row>
    <x:row r="15" ht="21" customHeight="1">
      <x:c r="A15" s="3" t="str">
        <x:v>T011</x:v>
      </x:c>
      <x:c r="B15" s="3" t="str">
        <x:v>Trần Quốc Khánh</x:v>
      </x:c>
      <x:c r="C15" s="3" t="str">
        <x:v>Business Administration</x:v>
      </x:c>
      <x:c r="D15" s="3" t="str">
        <x:v>Senior Lecturer</x:v>
      </x:c>
      <x:c r="E15" s="3" t="str">
        <x:v>MSc</x:v>
      </x:c>
      <x:c r="F15" s="3" t="str">
        <x:v>2019-09-11</x:v>
      </x:c>
      <x:c r="G15" s="3" t="str">
        <x:v>khanh.t011@example.edu.vn</x:v>
      </x:c>
    </x:row>
    <x:row r="16" ht="21" customHeight="1">
      <x:c r="A16" s="3" t="str">
        <x:v>T012</x:v>
      </x:c>
      <x:c r="B16" s="3" t="str">
        <x:v>Trần Kim Loan</x:v>
      </x:c>
      <x:c r="C16" s="3" t="str">
        <x:v>Business Administration</x:v>
      </x:c>
      <x:c r="D16" s="3" t="str">
        <x:v>Lecturer</x:v>
      </x:c>
      <x:c r="E16" s="3" t="str">
        <x:v>MSc</x:v>
      </x:c>
      <x:c r="F16" s="3" t="str">
        <x:v>2017-09-07</x:v>
      </x:c>
      <x:c r="G16" s="3" t="str">
        <x:v>loan.t012@example.edu.vn</x:v>
      </x:c>
    </x:row>
    <x:row r="17" ht="21" customHeight="1">
      <x:c r="A17" s="3" t="str">
        <x:v>T013</x:v>
      </x:c>
      <x:c r="B17" s="3" t="str">
        <x:v>Bùi Ngọc Phương</x:v>
      </x:c>
      <x:c r="C17" s="3" t="str">
        <x:v>Business Administration</x:v>
      </x:c>
      <x:c r="D17" s="3" t="str">
        <x:v>Associate Professor</x:v>
      </x:c>
      <x:c r="E17" s="3" t="str">
        <x:v>PhD</x:v>
      </x:c>
      <x:c r="F17" s="3" t="str">
        <x:v>2010-08-13</x:v>
      </x:c>
      <x:c r="G17" s="3" t="str">
        <x:v>phuong.t013@example.edu.vn</x:v>
      </x:c>
    </x:row>
    <x:row r="18" ht="21" customHeight="1">
      <x:c r="A18" s="3" t="str">
        <x:v>T014</x:v>
      </x:c>
      <x:c r="B18" s="3" t="str">
        <x:v>Lê Hữu Lộc</x:v>
      </x:c>
      <x:c r="C18" s="3" t="str">
        <x:v>Business Administration</x:v>
      </x:c>
      <x:c r="D18" s="3" t="str">
        <x:v>Senior Lecturer</x:v>
      </x:c>
      <x:c r="E18" s="3" t="str">
        <x:v>PhD</x:v>
      </x:c>
      <x:c r="F18" s="3" t="str">
        <x:v>2010-03-16</x:v>
      </x:c>
      <x:c r="G18" s="3" t="str">
        <x:v>loc.t014@example.edu.vn</x:v>
      </x:c>
    </x:row>
    <x:row r="19" ht="21" customHeight="1">
      <x:c r="A19" s="3" t="str">
        <x:v>T015</x:v>
      </x:c>
      <x:c r="B19" s="3" t="str">
        <x:v>Bùi Quốc Thắng</x:v>
      </x:c>
      <x:c r="C19" s="3" t="str">
        <x:v>Business Administration</x:v>
      </x:c>
      <x:c r="D19" s="3" t="str">
        <x:v>Professor</x:v>
      </x:c>
      <x:c r="E19" s="3" t="str">
        <x:v>PhD</x:v>
      </x:c>
      <x:c r="F19" s="3" t="str">
        <x:v>2014-07-12</x:v>
      </x:c>
      <x:c r="G19" s="3" t="str">
        <x:v>thang.t015@example.edu.vn</x:v>
      </x:c>
    </x:row>
    <x:row r="20" ht="21" customHeight="1">
      <x:c r="A20" s="3" t="str">
        <x:v>T016</x:v>
      </x:c>
      <x:c r="B20" s="3" t="str">
        <x:v>Đặng Ngọc Yến</x:v>
      </x:c>
      <x:c r="C20" s="3" t="str">
        <x:v>Business Administration</x:v>
      </x:c>
      <x:c r="D20" s="3" t="str">
        <x:v>Lecturer</x:v>
      </x:c>
      <x:c r="E20" s="3" t="str">
        <x:v>PhD</x:v>
      </x:c>
      <x:c r="F20" s="3" t="str">
        <x:v>2013-10-17</x:v>
      </x:c>
      <x:c r="G20" s="3" t="str">
        <x:v>yen.t016@example.edu.vn</x:v>
      </x:c>
    </x:row>
    <x:row r="21" ht="21" customHeight="1">
      <x:c r="A21" s="3" t="str">
        <x:v>T017</x:v>
      </x:c>
      <x:c r="B21" s="3" t="str">
        <x:v>Huỳnh Thu Oanh</x:v>
      </x:c>
      <x:c r="C21" s="3" t="str">
        <x:v>General Education</x:v>
      </x:c>
      <x:c r="D21" s="3" t="str">
        <x:v>Lecturer</x:v>
      </x:c>
      <x:c r="E21" s="3" t="str">
        <x:v>MSc</x:v>
      </x:c>
      <x:c r="F21" s="3" t="str">
        <x:v>2016-03-06</x:v>
      </x:c>
      <x:c r="G21" s="3" t="str">
        <x:v>oanh.t017@example.edu.vn</x:v>
      </x:c>
    </x:row>
    <x:row r="22" ht="21" customHeight="1">
      <x:c r="A22" s="3" t="str">
        <x:v>T018</x:v>
      </x:c>
      <x:c r="B22" s="3" t="str">
        <x:v>Phạm Thu Nhung</x:v>
      </x:c>
      <x:c r="C22" s="3" t="str">
        <x:v>General Education</x:v>
      </x:c>
      <x:c r="D22" s="3" t="str">
        <x:v>Lecturer</x:v>
      </x:c>
      <x:c r="E22" s="3" t="str">
        <x:v>PhD</x:v>
      </x:c>
      <x:c r="F22" s="3" t="str">
        <x:v>2020-03-03</x:v>
      </x:c>
      <x:c r="G22" s="3" t="str">
        <x:v>nhung.t018@example.edu.vn</x:v>
      </x:c>
    </x:row>
    <x:row r="23" ht="21" customHeight="1">
      <x:c r="A23" s="3" t="str">
        <x:v>T019</x:v>
      </x:c>
      <x:c r="B23" s="3" t="str">
        <x:v>Bùi Ngọc Thảo</x:v>
      </x:c>
      <x:c r="C23" s="3" t="str">
        <x:v>General Education</x:v>
      </x:c>
      <x:c r="D23" s="3" t="str">
        <x:v>Senior Lecturer</x:v>
      </x:c>
      <x:c r="E23" s="3" t="str">
        <x:v>MSc</x:v>
      </x:c>
      <x:c r="F23" s="3" t="str">
        <x:v>2016-03-07</x:v>
      </x:c>
      <x:c r="G23" s="3" t="str">
        <x:v>thao.t019@example.edu.vn</x:v>
      </x:c>
    </x:row>
    <x:row r="24" ht="21" customHeight="1">
      <x:c r="A24" s="3" t="str">
        <x:v>T020</x:v>
      </x:c>
      <x:c r="B24" s="3" t="str">
        <x:v>Đặng Quốc Bảo</x:v>
      </x:c>
      <x:c r="C24" s="3" t="str">
        <x:v>General Education</x:v>
      </x:c>
      <x:c r="D24" s="3" t="str">
        <x:v>Lecturer</x:v>
      </x:c>
      <x:c r="E24" s="3" t="str">
        <x:v>MSc</x:v>
      </x:c>
      <x:c r="F24" s="3" t="str">
        <x:v>2020-09-27</x:v>
      </x:c>
      <x:c r="G24" s="3" t="str">
        <x:v>bao.t020@example.edu.vn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>
      <x:c r="A1" s="1" t="str">
        <x:v>F_Sections</x:v>
      </x:c>
    </x:row>
    <x:row r="2">
      <x:c r="A2" t="str">
        <x:v>5d72748:mcp-academic/data/sample/sections.csv</x:v>
      </x:c>
    </x:row>
    <x:row r="3">
      <x:c r="A3" t="str">
        <x:v>CSV values start on row 5. Blue inputs, black calculations. Sources and hashes: reference-manifest.json.</x:v>
      </x:c>
    </x:row>
    <x:row r="4" ht="21" customHeight="1">
      <x:c r="A4" s="7" t="str">
        <x:v>section_id</x:v>
      </x:c>
      <x:c r="B4" s="7" t="str">
        <x:v>course_id</x:v>
      </x:c>
      <x:c r="C4" s="7" t="str">
        <x:v>semester</x:v>
      </x:c>
      <x:c r="D4" s="7" t="str">
        <x:v>class_id</x:v>
      </x:c>
      <x:c r="E4" s="7" t="str">
        <x:v>teacher_id</x:v>
      </x:c>
      <x:c r="F4" s="7" t="str">
        <x:v>room</x:v>
      </x:c>
      <x:c r="G4" s="7" t="str">
        <x:v>weekday</x:v>
      </x:c>
      <x:c r="H4" s="7" t="str">
        <x:v>start_period</x:v>
      </x:c>
      <x:c r="I4" s="7" t="str">
        <x:v>periods</x:v>
      </x:c>
    </x:row>
    <x:row r="5" ht="21" customHeight="1">
      <x:c r="A5" s="3" t="str">
        <x:v>SEC001</x:v>
      </x:c>
      <x:c r="B5" s="3" t="str">
        <x:v>BA101</x:v>
      </x:c>
      <x:c r="C5" s="3" t="str">
        <x:v>2024-1</x:v>
      </x:c>
      <x:c r="D5" s="3" t="str">
        <x:v>BA01</x:v>
      </x:c>
      <x:c r="E5" s="3" t="str">
        <x:v>T009</x:v>
      </x:c>
      <x:c r="F5" s="3" t="str">
        <x:v>B201</x:v>
      </x:c>
      <x:c r="G5" s="3" t="str">
        <x:v>Mon</x:v>
      </x:c>
      <x:c r="H5" s="3" t="n">
        <x:v>1</x:v>
      </x:c>
      <x:c r="I5" s="3" t="n">
        <x:v>3</x:v>
      </x:c>
    </x:row>
    <x:row r="6" ht="21" customHeight="1">
      <x:c r="A6" s="3" t="str">
        <x:v>SEC002</x:v>
      </x:c>
      <x:c r="B6" s="3" t="str">
        <x:v>BA101</x:v>
      </x:c>
      <x:c r="C6" s="3" t="str">
        <x:v>2024-1</x:v>
      </x:c>
      <x:c r="D6" s="3" t="str">
        <x:v>BA02</x:v>
      </x:c>
      <x:c r="E6" s="3" t="str">
        <x:v>T010</x:v>
      </x:c>
      <x:c r="F6" s="3" t="str">
        <x:v>B201</x:v>
      </x:c>
      <x:c r="G6" s="3" t="str">
        <x:v>Tue</x:v>
      </x:c>
      <x:c r="H6" s="3" t="n">
        <x:v>1</x:v>
      </x:c>
      <x:c r="I6" s="3" t="n">
        <x:v>3</x:v>
      </x:c>
    </x:row>
    <x:row r="7" ht="21" customHeight="1">
      <x:c r="A7" s="3" t="str">
        <x:v>SEC003</x:v>
      </x:c>
      <x:c r="B7" s="3" t="str">
        <x:v>CS101</x:v>
      </x:c>
      <x:c r="C7" s="3" t="str">
        <x:v>2024-1</x:v>
      </x:c>
      <x:c r="D7" s="3" t="str">
        <x:v>IT01</x:v>
      </x:c>
      <x:c r="E7" s="3" t="str">
        <x:v>T001</x:v>
      </x:c>
      <x:c r="F7" s="3" t="str">
        <x:v>A101</x:v>
      </x:c>
      <x:c r="G7" s="3" t="str">
        <x:v>Wed</x:v>
      </x:c>
      <x:c r="H7" s="3" t="n">
        <x:v>1</x:v>
      </x:c>
      <x:c r="I7" s="3" t="n">
        <x:v>3</x:v>
      </x:c>
    </x:row>
    <x:row r="8" ht="21" customHeight="1">
      <x:c r="A8" s="3" t="str">
        <x:v>SEC004</x:v>
      </x:c>
      <x:c r="B8" s="3" t="str">
        <x:v>CS101</x:v>
      </x:c>
      <x:c r="C8" s="3" t="str">
        <x:v>2024-1</x:v>
      </x:c>
      <x:c r="D8" s="3" t="str">
        <x:v>IT02</x:v>
      </x:c>
      <x:c r="E8" s="3" t="str">
        <x:v>T002</x:v>
      </x:c>
      <x:c r="F8" s="3" t="str">
        <x:v>A101</x:v>
      </x:c>
      <x:c r="G8" s="3" t="str">
        <x:v>Thu</x:v>
      </x:c>
      <x:c r="H8" s="3" t="n">
        <x:v>1</x:v>
      </x:c>
      <x:c r="I8" s="3" t="n">
        <x:v>3</x:v>
      </x:c>
    </x:row>
    <x:row r="9" ht="21" customHeight="1">
      <x:c r="A9" s="3" t="str">
        <x:v>SEC005</x:v>
      </x:c>
      <x:c r="B9" s="3" t="str">
        <x:v>GE101</x:v>
      </x:c>
      <x:c r="C9" s="3" t="str">
        <x:v>2024-1</x:v>
      </x:c>
      <x:c r="D9" s="3" t="str">
        <x:v>BA01</x:v>
      </x:c>
      <x:c r="E9" s="3" t="str">
        <x:v>T017</x:v>
      </x:c>
      <x:c r="F9" s="3" t="str">
        <x:v>C301</x:v>
      </x:c>
      <x:c r="G9" s="3" t="str">
        <x:v>Fri</x:v>
      </x:c>
      <x:c r="H9" s="3" t="n">
        <x:v>1</x:v>
      </x:c>
      <x:c r="I9" s="3" t="n">
        <x:v>3</x:v>
      </x:c>
    </x:row>
    <x:row r="10" ht="21" customHeight="1">
      <x:c r="A10" s="3" t="str">
        <x:v>SEC006</x:v>
      </x:c>
      <x:c r="B10" s="3" t="str">
        <x:v>GE101</x:v>
      </x:c>
      <x:c r="C10" s="3" t="str">
        <x:v>2024-1</x:v>
      </x:c>
      <x:c r="D10" s="3" t="str">
        <x:v>BA02</x:v>
      </x:c>
      <x:c r="E10" s="3" t="str">
        <x:v>T018</x:v>
      </x:c>
      <x:c r="F10" s="3" t="str">
        <x:v>C301</x:v>
      </x:c>
      <x:c r="G10" s="3" t="str">
        <x:v>Sat</x:v>
      </x:c>
      <x:c r="H10" s="3" t="n">
        <x:v>1</x:v>
      </x:c>
      <x:c r="I10" s="3" t="n">
        <x:v>3</x:v>
      </x:c>
    </x:row>
    <x:row r="11" ht="21" customHeight="1">
      <x:c r="A11" s="3" t="str">
        <x:v>SEC007</x:v>
      </x:c>
      <x:c r="B11" s="3" t="str">
        <x:v>GE101</x:v>
      </x:c>
      <x:c r="C11" s="3" t="str">
        <x:v>2024-1</x:v>
      </x:c>
      <x:c r="D11" s="3" t="str">
        <x:v>IT01</x:v>
      </x:c>
      <x:c r="E11" s="3" t="str">
        <x:v>T019</x:v>
      </x:c>
      <x:c r="F11" s="3" t="str">
        <x:v>C301</x:v>
      </x:c>
      <x:c r="G11" s="3" t="str">
        <x:v>Mon</x:v>
      </x:c>
      <x:c r="H11" s="3" t="n">
        <x:v>1</x:v>
      </x:c>
      <x:c r="I11" s="3" t="n">
        <x:v>3</x:v>
      </x:c>
    </x:row>
    <x:row r="12" ht="21" customHeight="1">
      <x:c r="A12" s="3" t="str">
        <x:v>SEC008</x:v>
      </x:c>
      <x:c r="B12" s="3" t="str">
        <x:v>GE101</x:v>
      </x:c>
      <x:c r="C12" s="3" t="str">
        <x:v>2024-1</x:v>
      </x:c>
      <x:c r="D12" s="3" t="str">
        <x:v>IT02</x:v>
      </x:c>
      <x:c r="E12" s="3" t="str">
        <x:v>T020</x:v>
      </x:c>
      <x:c r="F12" s="3" t="str">
        <x:v>C301</x:v>
      </x:c>
      <x:c r="G12" s="3" t="str">
        <x:v>Tue</x:v>
      </x:c>
      <x:c r="H12" s="3" t="n">
        <x:v>1</x:v>
      </x:c>
      <x:c r="I12" s="3" t="n">
        <x:v>3</x:v>
      </x:c>
    </x:row>
    <x:row r="13" ht="21" customHeight="1">
      <x:c r="A13" s="3" t="str">
        <x:v>SEC009</x:v>
      </x:c>
      <x:c r="B13" s="3" t="str">
        <x:v>GE102</x:v>
      </x:c>
      <x:c r="C13" s="3" t="str">
        <x:v>2024-1</x:v>
      </x:c>
      <x:c r="D13" s="3" t="str">
        <x:v>BA01</x:v>
      </x:c>
      <x:c r="E13" s="3" t="str">
        <x:v>T017</x:v>
      </x:c>
      <x:c r="F13" s="3" t="str">
        <x:v>C301</x:v>
      </x:c>
      <x:c r="G13" s="3" t="str">
        <x:v>Wed</x:v>
      </x:c>
      <x:c r="H13" s="3" t="n">
        <x:v>1</x:v>
      </x:c>
      <x:c r="I13" s="3" t="n">
        <x:v>3</x:v>
      </x:c>
    </x:row>
    <x:row r="14" ht="21" customHeight="1">
      <x:c r="A14" s="3" t="str">
        <x:v>SEC010</x:v>
      </x:c>
      <x:c r="B14" s="3" t="str">
        <x:v>GE102</x:v>
      </x:c>
      <x:c r="C14" s="3" t="str">
        <x:v>2024-1</x:v>
      </x:c>
      <x:c r="D14" s="3" t="str">
        <x:v>BA02</x:v>
      </x:c>
      <x:c r="E14" s="3" t="str">
        <x:v>T018</x:v>
      </x:c>
      <x:c r="F14" s="3" t="str">
        <x:v>C301</x:v>
      </x:c>
      <x:c r="G14" s="3" t="str">
        <x:v>Thu</x:v>
      </x:c>
      <x:c r="H14" s="3" t="n">
        <x:v>1</x:v>
      </x:c>
      <x:c r="I14" s="3" t="n">
        <x:v>3</x:v>
      </x:c>
    </x:row>
    <x:row r="15" ht="21" customHeight="1">
      <x:c r="A15" s="3" t="str">
        <x:v>SEC011</x:v>
      </x:c>
      <x:c r="B15" s="3" t="str">
        <x:v>GE102</x:v>
      </x:c>
      <x:c r="C15" s="3" t="str">
        <x:v>2024-1</x:v>
      </x:c>
      <x:c r="D15" s="3" t="str">
        <x:v>IT01</x:v>
      </x:c>
      <x:c r="E15" s="3" t="str">
        <x:v>T019</x:v>
      </x:c>
      <x:c r="F15" s="3" t="str">
        <x:v>C302</x:v>
      </x:c>
      <x:c r="G15" s="3" t="str">
        <x:v>Fri</x:v>
      </x:c>
      <x:c r="H15" s="3" t="n">
        <x:v>1</x:v>
      </x:c>
      <x:c r="I15" s="3" t="n">
        <x:v>3</x:v>
      </x:c>
    </x:row>
    <x:row r="16" ht="21" customHeight="1">
      <x:c r="A16" s="3" t="str">
        <x:v>SEC012</x:v>
      </x:c>
      <x:c r="B16" s="3" t="str">
        <x:v>GE102</x:v>
      </x:c>
      <x:c r="C16" s="3" t="str">
        <x:v>2024-1</x:v>
      </x:c>
      <x:c r="D16" s="3" t="str">
        <x:v>IT02</x:v>
      </x:c>
      <x:c r="E16" s="3" t="str">
        <x:v>T020</x:v>
      </x:c>
      <x:c r="F16" s="3" t="str">
        <x:v>C302</x:v>
      </x:c>
      <x:c r="G16" s="3" t="str">
        <x:v>Sat</x:v>
      </x:c>
      <x:c r="H16" s="3" t="n">
        <x:v>1</x:v>
      </x:c>
      <x:c r="I16" s="3" t="n">
        <x:v>3</x:v>
      </x:c>
    </x:row>
    <x:row r="17" ht="21" customHeight="1">
      <x:c r="A17" s="3" t="str">
        <x:v>SEC013</x:v>
      </x:c>
      <x:c r="B17" s="3" t="str">
        <x:v>BA102</x:v>
      </x:c>
      <x:c r="C17" s="3" t="str">
        <x:v>2024-2</x:v>
      </x:c>
      <x:c r="D17" s="3" t="str">
        <x:v>BA01</x:v>
      </x:c>
      <x:c r="E17" s="3" t="str">
        <x:v>T009</x:v>
      </x:c>
      <x:c r="F17" s="3" t="str">
        <x:v>B201</x:v>
      </x:c>
      <x:c r="G17" s="3" t="str">
        <x:v>Mon</x:v>
      </x:c>
      <x:c r="H17" s="3" t="n">
        <x:v>1</x:v>
      </x:c>
      <x:c r="I17" s="3" t="n">
        <x:v>3</x:v>
      </x:c>
    </x:row>
    <x:row r="18" ht="21" customHeight="1">
      <x:c r="A18" s="3" t="str">
        <x:v>SEC014</x:v>
      </x:c>
      <x:c r="B18" s="3" t="str">
        <x:v>BA102</x:v>
      </x:c>
      <x:c r="C18" s="3" t="str">
        <x:v>2024-2</x:v>
      </x:c>
      <x:c r="D18" s="3" t="str">
        <x:v>BA02</x:v>
      </x:c>
      <x:c r="E18" s="3" t="str">
        <x:v>T010</x:v>
      </x:c>
      <x:c r="F18" s="3" t="str">
        <x:v>B201</x:v>
      </x:c>
      <x:c r="G18" s="3" t="str">
        <x:v>Tue</x:v>
      </x:c>
      <x:c r="H18" s="3" t="n">
        <x:v>1</x:v>
      </x:c>
      <x:c r="I18" s="3" t="n">
        <x:v>3</x:v>
      </x:c>
    </x:row>
    <x:row r="19" ht="21" customHeight="1">
      <x:c r="A19" s="3" t="str">
        <x:v>SEC015</x:v>
      </x:c>
      <x:c r="B19" s="3" t="str">
        <x:v>BA201</x:v>
      </x:c>
      <x:c r="C19" s="3" t="str">
        <x:v>2024-2</x:v>
      </x:c>
      <x:c r="D19" s="3" t="str">
        <x:v>BA01</x:v>
      </x:c>
      <x:c r="E19" s="3" t="str">
        <x:v>T011</x:v>
      </x:c>
      <x:c r="F19" s="3" t="str">
        <x:v>B201</x:v>
      </x:c>
      <x:c r="G19" s="3" t="str">
        <x:v>Wed</x:v>
      </x:c>
      <x:c r="H19" s="3" t="n">
        <x:v>1</x:v>
      </x:c>
      <x:c r="I19" s="3" t="n">
        <x:v>4</x:v>
      </x:c>
    </x:row>
    <x:row r="20" ht="21" customHeight="1">
      <x:c r="A20" s="3" t="str">
        <x:v>SEC016</x:v>
      </x:c>
      <x:c r="B20" s="3" t="str">
        <x:v>BA201</x:v>
      </x:c>
      <x:c r="C20" s="3" t="str">
        <x:v>2024-2</x:v>
      </x:c>
      <x:c r="D20" s="3" t="str">
        <x:v>BA02</x:v>
      </x:c>
      <x:c r="E20" s="3" t="str">
        <x:v>T012</x:v>
      </x:c>
      <x:c r="F20" s="3" t="str">
        <x:v>B201</x:v>
      </x:c>
      <x:c r="G20" s="3" t="str">
        <x:v>Thu</x:v>
      </x:c>
      <x:c r="H20" s="3" t="n">
        <x:v>1</x:v>
      </x:c>
      <x:c r="I20" s="3" t="n">
        <x:v>4</x:v>
      </x:c>
    </x:row>
    <x:row r="21" ht="21" customHeight="1">
      <x:c r="A21" s="3" t="str">
        <x:v>SEC017</x:v>
      </x:c>
      <x:c r="B21" s="3" t="str">
        <x:v>CS102</x:v>
      </x:c>
      <x:c r="C21" s="3" t="str">
        <x:v>2024-2</x:v>
      </x:c>
      <x:c r="D21" s="3" t="str">
        <x:v>IT01</x:v>
      </x:c>
      <x:c r="E21" s="3" t="str">
        <x:v>T001</x:v>
      </x:c>
      <x:c r="F21" s="3" t="str">
        <x:v>A101</x:v>
      </x:c>
      <x:c r="G21" s="3" t="str">
        <x:v>Fri</x:v>
      </x:c>
      <x:c r="H21" s="3" t="n">
        <x:v>1</x:v>
      </x:c>
      <x:c r="I21" s="3" t="n">
        <x:v>3</x:v>
      </x:c>
    </x:row>
    <x:row r="22" ht="21" customHeight="1">
      <x:c r="A22" s="3" t="str">
        <x:v>SEC018</x:v>
      </x:c>
      <x:c r="B22" s="3" t="str">
        <x:v>CS102</x:v>
      </x:c>
      <x:c r="C22" s="3" t="str">
        <x:v>2024-2</x:v>
      </x:c>
      <x:c r="D22" s="3" t="str">
        <x:v>IT02</x:v>
      </x:c>
      <x:c r="E22" s="3" t="str">
        <x:v>T002</x:v>
      </x:c>
      <x:c r="F22" s="3" t="str">
        <x:v>A101</x:v>
      </x:c>
      <x:c r="G22" s="3" t="str">
        <x:v>Sat</x:v>
      </x:c>
      <x:c r="H22" s="3" t="n">
        <x:v>1</x:v>
      </x:c>
      <x:c r="I22" s="3" t="n">
        <x:v>3</x:v>
      </x:c>
    </x:row>
    <x:row r="23" ht="21" customHeight="1">
      <x:c r="A23" s="3" t="str">
        <x:v>SEC019</x:v>
      </x:c>
      <x:c r="B23" s="3" t="str">
        <x:v>CS201</x:v>
      </x:c>
      <x:c r="C23" s="3" t="str">
        <x:v>2024-2</x:v>
      </x:c>
      <x:c r="D23" s="3" t="str">
        <x:v>IT01</x:v>
      </x:c>
      <x:c r="E23" s="3" t="str">
        <x:v>T003</x:v>
      </x:c>
      <x:c r="F23" s="3" t="str">
        <x:v>A101</x:v>
      </x:c>
      <x:c r="G23" s="3" t="str">
        <x:v>Mon</x:v>
      </x:c>
      <x:c r="H23" s="3" t="n">
        <x:v>1</x:v>
      </x:c>
      <x:c r="I23" s="3" t="n">
        <x:v>4</x:v>
      </x:c>
    </x:row>
    <x:row r="24" ht="21" customHeight="1">
      <x:c r="A24" s="3" t="str">
        <x:v>SEC020</x:v>
      </x:c>
      <x:c r="B24" s="3" t="str">
        <x:v>CS201</x:v>
      </x:c>
      <x:c r="C24" s="3" t="str">
        <x:v>2024-2</x:v>
      </x:c>
      <x:c r="D24" s="3" t="str">
        <x:v>IT02</x:v>
      </x:c>
      <x:c r="E24" s="3" t="str">
        <x:v>T004</x:v>
      </x:c>
      <x:c r="F24" s="3" t="str">
        <x:v>A101</x:v>
      </x:c>
      <x:c r="G24" s="3" t="str">
        <x:v>Tue</x:v>
      </x:c>
      <x:c r="H24" s="3" t="n">
        <x:v>1</x:v>
      </x:c>
      <x:c r="I24" s="3" t="n">
        <x:v>4</x:v>
      </x:c>
    </x:row>
    <x:row r="25" ht="21" customHeight="1">
      <x:c r="A25" s="3" t="str">
        <x:v>SEC021</x:v>
      </x:c>
      <x:c r="B25" s="3" t="str">
        <x:v>BA101</x:v>
      </x:c>
      <x:c r="C25" s="3" t="str">
        <x:v>2025-1</x:v>
      </x:c>
      <x:c r="D25" s="3" t="str">
        <x:v>BA01</x:v>
      </x:c>
      <x:c r="E25" s="3" t="str">
        <x:v>T009</x:v>
      </x:c>
      <x:c r="F25" s="3" t="str">
        <x:v>B201</x:v>
      </x:c>
      <x:c r="G25" s="3" t="str">
        <x:v>Wed</x:v>
      </x:c>
      <x:c r="H25" s="3" t="n">
        <x:v>1</x:v>
      </x:c>
      <x:c r="I25" s="3" t="n">
        <x:v>3</x:v>
      </x:c>
    </x:row>
    <x:row r="26" ht="21" customHeight="1">
      <x:c r="A26" s="3" t="str">
        <x:v>SEC022</x:v>
      </x:c>
      <x:c r="B26" s="3" t="str">
        <x:v>BA101</x:v>
      </x:c>
      <x:c r="C26" s="3" t="str">
        <x:v>2025-1</x:v>
      </x:c>
      <x:c r="D26" s="3" t="str">
        <x:v>BA02</x:v>
      </x:c>
      <x:c r="E26" s="3" t="str">
        <x:v>T010</x:v>
      </x:c>
      <x:c r="F26" s="3" t="str">
        <x:v>B201</x:v>
      </x:c>
      <x:c r="G26" s="3" t="str">
        <x:v>Thu</x:v>
      </x:c>
      <x:c r="H26" s="3" t="n">
        <x:v>1</x:v>
      </x:c>
      <x:c r="I26" s="3" t="n">
        <x:v>3</x:v>
      </x:c>
    </x:row>
    <x:row r="27" ht="21" customHeight="1">
      <x:c r="A27" s="3" t="str">
        <x:v>SEC023</x:v>
      </x:c>
      <x:c r="B27" s="3" t="str">
        <x:v>BA102</x:v>
      </x:c>
      <x:c r="C27" s="3" t="str">
        <x:v>2025-1</x:v>
      </x:c>
      <x:c r="D27" s="3" t="str">
        <x:v>BA01</x:v>
      </x:c>
      <x:c r="E27" s="3" t="str">
        <x:v>T011</x:v>
      </x:c>
      <x:c r="F27" s="3" t="str">
        <x:v>B201</x:v>
      </x:c>
      <x:c r="G27" s="3" t="str">
        <x:v>Fri</x:v>
      </x:c>
      <x:c r="H27" s="3" t="n">
        <x:v>1</x:v>
      </x:c>
      <x:c r="I27" s="3" t="n">
        <x:v>3</x:v>
      </x:c>
    </x:row>
    <x:row r="28" ht="21" customHeight="1">
      <x:c r="A28" s="3" t="str">
        <x:v>SEC024</x:v>
      </x:c>
      <x:c r="B28" s="3" t="str">
        <x:v>BA102</x:v>
      </x:c>
      <x:c r="C28" s="3" t="str">
        <x:v>2025-1</x:v>
      </x:c>
      <x:c r="D28" s="3" t="str">
        <x:v>BA02</x:v>
      </x:c>
      <x:c r="E28" s="3" t="str">
        <x:v>T012</x:v>
      </x:c>
      <x:c r="F28" s="3" t="str">
        <x:v>B201</x:v>
      </x:c>
      <x:c r="G28" s="3" t="str">
        <x:v>Sat</x:v>
      </x:c>
      <x:c r="H28" s="3" t="n">
        <x:v>1</x:v>
      </x:c>
      <x:c r="I28" s="3" t="n">
        <x:v>3</x:v>
      </x:c>
    </x:row>
    <x:row r="29" ht="21" customHeight="1">
      <x:c r="A29" s="3" t="str">
        <x:v>SEC025</x:v>
      </x:c>
      <x:c r="B29" s="3" t="str">
        <x:v>BA201</x:v>
      </x:c>
      <x:c r="C29" s="3" t="str">
        <x:v>2025-1</x:v>
      </x:c>
      <x:c r="D29" s="3" t="str">
        <x:v>BA02</x:v>
      </x:c>
      <x:c r="E29" s="3" t="str">
        <x:v>T013</x:v>
      </x:c>
      <x:c r="F29" s="3" t="str">
        <x:v>B201</x:v>
      </x:c>
      <x:c r="G29" s="3" t="str">
        <x:v>Mon</x:v>
      </x:c>
      <x:c r="H29" s="3" t="n">
        <x:v>1</x:v>
      </x:c>
      <x:c r="I29" s="3" t="n">
        <x:v>4</x:v>
      </x:c>
    </x:row>
    <x:row r="30" ht="21" customHeight="1">
      <x:c r="A30" s="3" t="str">
        <x:v>SEC026</x:v>
      </x:c>
      <x:c r="B30" s="3" t="str">
        <x:v>BA202</x:v>
      </x:c>
      <x:c r="C30" s="3" t="str">
        <x:v>2025-1</x:v>
      </x:c>
      <x:c r="D30" s="3" t="str">
        <x:v>BA01</x:v>
      </x:c>
      <x:c r="E30" s="3" t="str">
        <x:v>T014</x:v>
      </x:c>
      <x:c r="F30" s="3" t="str">
        <x:v>B201</x:v>
      </x:c>
      <x:c r="G30" s="3" t="str">
        <x:v>Tue</x:v>
      </x:c>
      <x:c r="H30" s="3" t="n">
        <x:v>1</x:v>
      </x:c>
      <x:c r="I30" s="3" t="n">
        <x:v>3</x:v>
      </x:c>
    </x:row>
    <x:row r="31" ht="21" customHeight="1">
      <x:c r="A31" s="3" t="str">
        <x:v>SEC027</x:v>
      </x:c>
      <x:c r="B31" s="3" t="str">
        <x:v>BA202</x:v>
      </x:c>
      <x:c r="C31" s="3" t="str">
        <x:v>2025-1</x:v>
      </x:c>
      <x:c r="D31" s="3" t="str">
        <x:v>BA02</x:v>
      </x:c>
      <x:c r="E31" s="3" t="str">
        <x:v>T015</x:v>
      </x:c>
      <x:c r="F31" s="3" t="str">
        <x:v>B202</x:v>
      </x:c>
      <x:c r="G31" s="3" t="str">
        <x:v>Wed</x:v>
      </x:c>
      <x:c r="H31" s="3" t="n">
        <x:v>1</x:v>
      </x:c>
      <x:c r="I31" s="3" t="n">
        <x:v>3</x:v>
      </x:c>
    </x:row>
    <x:row r="32" ht="21" customHeight="1">
      <x:c r="A32" s="3" t="str">
        <x:v>SEC028</x:v>
      </x:c>
      <x:c r="B32" s="3" t="str">
        <x:v>CS101</x:v>
      </x:c>
      <x:c r="C32" s="3" t="str">
        <x:v>2025-1</x:v>
      </x:c>
      <x:c r="D32" s="3" t="str">
        <x:v>IT01</x:v>
      </x:c>
      <x:c r="E32" s="3" t="str">
        <x:v>T001</x:v>
      </x:c>
      <x:c r="F32" s="3" t="str">
        <x:v>A101</x:v>
      </x:c>
      <x:c r="G32" s="3" t="str">
        <x:v>Thu</x:v>
      </x:c>
      <x:c r="H32" s="3" t="n">
        <x:v>1</x:v>
      </x:c>
      <x:c r="I32" s="3" t="n">
        <x:v>3</x:v>
      </x:c>
    </x:row>
    <x:row r="33" ht="21" customHeight="1">
      <x:c r="A33" s="3" t="str">
        <x:v>SEC029</x:v>
      </x:c>
      <x:c r="B33" s="3" t="str">
        <x:v>CS102</x:v>
      </x:c>
      <x:c r="C33" s="3" t="str">
        <x:v>2025-1</x:v>
      </x:c>
      <x:c r="D33" s="3" t="str">
        <x:v>IT01</x:v>
      </x:c>
      <x:c r="E33" s="3" t="str">
        <x:v>T002</x:v>
      </x:c>
      <x:c r="F33" s="3" t="str">
        <x:v>A101</x:v>
      </x:c>
      <x:c r="G33" s="3" t="str">
        <x:v>Fri</x:v>
      </x:c>
      <x:c r="H33" s="3" t="n">
        <x:v>1</x:v>
      </x:c>
      <x:c r="I33" s="3" t="n">
        <x:v>3</x:v>
      </x:c>
    </x:row>
    <x:row r="34" ht="21" customHeight="1">
      <x:c r="A34" s="3" t="str">
        <x:v>SEC030</x:v>
      </x:c>
      <x:c r="B34" s="3" t="str">
        <x:v>CS102</x:v>
      </x:c>
      <x:c r="C34" s="3" t="str">
        <x:v>2025-1</x:v>
      </x:c>
      <x:c r="D34" s="3" t="str">
        <x:v>IT02</x:v>
      </x:c>
      <x:c r="E34" s="3" t="str">
        <x:v>T003</x:v>
      </x:c>
      <x:c r="F34" s="3" t="str">
        <x:v>A101</x:v>
      </x:c>
      <x:c r="G34" s="3" t="str">
        <x:v>Sat</x:v>
      </x:c>
      <x:c r="H34" s="3" t="n">
        <x:v>1</x:v>
      </x:c>
      <x:c r="I34" s="3" t="n">
        <x:v>3</x:v>
      </x:c>
    </x:row>
    <x:row r="35" ht="21" customHeight="1">
      <x:c r="A35" s="3" t="str">
        <x:v>SEC031</x:v>
      </x:c>
      <x:c r="B35" s="3" t="str">
        <x:v>CS201</x:v>
      </x:c>
      <x:c r="C35" s="3" t="str">
        <x:v>2025-1</x:v>
      </x:c>
      <x:c r="D35" s="3" t="str">
        <x:v>IT01</x:v>
      </x:c>
      <x:c r="E35" s="3" t="str">
        <x:v>T004</x:v>
      </x:c>
      <x:c r="F35" s="3" t="str">
        <x:v>A101</x:v>
      </x:c>
      <x:c r="G35" s="3" t="str">
        <x:v>Mon</x:v>
      </x:c>
      <x:c r="H35" s="3" t="n">
        <x:v>1</x:v>
      </x:c>
      <x:c r="I35" s="3" t="n">
        <x:v>4</x:v>
      </x:c>
    </x:row>
    <x:row r="36" ht="21" customHeight="1">
      <x:c r="A36" s="3" t="str">
        <x:v>SEC032</x:v>
      </x:c>
      <x:c r="B36" s="3" t="str">
        <x:v>CS201</x:v>
      </x:c>
      <x:c r="C36" s="3" t="str">
        <x:v>2025-1</x:v>
      </x:c>
      <x:c r="D36" s="3" t="str">
        <x:v>IT02</x:v>
      </x:c>
      <x:c r="E36" s="3" t="str">
        <x:v>T005</x:v>
      </x:c>
      <x:c r="F36" s="3" t="str">
        <x:v>A101</x:v>
      </x:c>
      <x:c r="G36" s="3" t="str">
        <x:v>Tue</x:v>
      </x:c>
      <x:c r="H36" s="3" t="n">
        <x:v>1</x:v>
      </x:c>
      <x:c r="I36" s="3" t="n">
        <x:v>4</x:v>
      </x:c>
    </x:row>
    <x:row r="37" ht="21" customHeight="1">
      <x:c r="A37" s="3" t="str">
        <x:v>SEC033</x:v>
      </x:c>
      <x:c r="B37" s="3" t="str">
        <x:v>CS202</x:v>
      </x:c>
      <x:c r="C37" s="3" t="str">
        <x:v>2025-1</x:v>
      </x:c>
      <x:c r="D37" s="3" t="str">
        <x:v>IT01</x:v>
      </x:c>
      <x:c r="E37" s="3" t="str">
        <x:v>T006</x:v>
      </x:c>
      <x:c r="F37" s="3" t="str">
        <x:v>A101</x:v>
      </x:c>
      <x:c r="G37" s="3" t="str">
        <x:v>Wed</x:v>
      </x:c>
      <x:c r="H37" s="3" t="n">
        <x:v>1</x:v>
      </x:c>
      <x:c r="I37" s="3" t="n">
        <x:v>3</x:v>
      </x:c>
    </x:row>
    <x:row r="38" ht="21" customHeight="1">
      <x:c r="A38" s="3" t="str">
        <x:v>SEC034</x:v>
      </x:c>
      <x:c r="B38" s="3" t="str">
        <x:v>CS202</x:v>
      </x:c>
      <x:c r="C38" s="3" t="str">
        <x:v>2025-1</x:v>
      </x:c>
      <x:c r="D38" s="3" t="str">
        <x:v>IT02</x:v>
      </x:c>
      <x:c r="E38" s="3" t="str">
        <x:v>T007</x:v>
      </x:c>
      <x:c r="F38" s="3" t="str">
        <x:v>A102</x:v>
      </x:c>
      <x:c r="G38" s="3" t="str">
        <x:v>Thu</x:v>
      </x:c>
      <x:c r="H38" s="3" t="n">
        <x:v>1</x:v>
      </x:c>
      <x:c r="I38" s="3" t="n">
        <x:v>3</x:v>
      </x:c>
    </x:row>
    <x:row r="39" ht="21" customHeight="1">
      <x:c r="A39" s="3" t="str">
        <x:v>SEC035</x:v>
      </x:c>
      <x:c r="B39" s="3" t="str">
        <x:v>GE101</x:v>
      </x:c>
      <x:c r="C39" s="3" t="str">
        <x:v>2025-1</x:v>
      </x:c>
      <x:c r="D39" s="3" t="str">
        <x:v>BA01</x:v>
      </x:c>
      <x:c r="E39" s="3" t="str">
        <x:v>T017</x:v>
      </x:c>
      <x:c r="F39" s="3" t="str">
        <x:v>C301</x:v>
      </x:c>
      <x:c r="G39" s="3" t="str">
        <x:v>Fri</x:v>
      </x:c>
      <x:c r="H39" s="3" t="n">
        <x:v>4</x:v>
      </x:c>
      <x:c r="I39" s="3" t="n">
        <x:v>3</x:v>
      </x:c>
    </x:row>
    <x:row r="40" ht="21" customHeight="1">
      <x:c r="A40" s="3" t="str">
        <x:v>SEC036</x:v>
      </x:c>
      <x:c r="B40" s="3" t="str">
        <x:v>GE101</x:v>
      </x:c>
      <x:c r="C40" s="3" t="str">
        <x:v>2025-1</x:v>
      </x:c>
      <x:c r="D40" s="3" t="str">
        <x:v>BA02</x:v>
      </x:c>
      <x:c r="E40" s="3" t="str">
        <x:v>T018</x:v>
      </x:c>
      <x:c r="F40" s="3" t="str">
        <x:v>C301</x:v>
      </x:c>
      <x:c r="G40" s="3" t="str">
        <x:v>Sat</x:v>
      </x:c>
      <x:c r="H40" s="3" t="n">
        <x:v>4</x:v>
      </x:c>
      <x:c r="I40" s="3" t="n">
        <x:v>3</x:v>
      </x:c>
    </x:row>
    <x:row r="41" ht="21" customHeight="1">
      <x:c r="A41" s="3" t="str">
        <x:v>SEC037</x:v>
      </x:c>
      <x:c r="B41" s="3" t="str">
        <x:v>GE101</x:v>
      </x:c>
      <x:c r="C41" s="3" t="str">
        <x:v>2025-1</x:v>
      </x:c>
      <x:c r="D41" s="3" t="str">
        <x:v>IT01</x:v>
      </x:c>
      <x:c r="E41" s="3" t="str">
        <x:v>T019</x:v>
      </x:c>
      <x:c r="F41" s="3" t="str">
        <x:v>C301</x:v>
      </x:c>
      <x:c r="G41" s="3" t="str">
        <x:v>Mon</x:v>
      </x:c>
      <x:c r="H41" s="3" t="n">
        <x:v>7</x:v>
      </x:c>
      <x:c r="I41" s="3" t="n">
        <x:v>3</x:v>
      </x:c>
    </x:row>
    <x:row r="42" ht="21" customHeight="1">
      <x:c r="A42" s="3" t="str">
        <x:v>SEC038</x:v>
      </x:c>
      <x:c r="B42" s="3" t="str">
        <x:v>GE101</x:v>
      </x:c>
      <x:c r="C42" s="3" t="str">
        <x:v>2025-1</x:v>
      </x:c>
      <x:c r="D42" s="3" t="str">
        <x:v>IT02</x:v>
      </x:c>
      <x:c r="E42" s="3" t="str">
        <x:v>T020</x:v>
      </x:c>
      <x:c r="F42" s="3" t="str">
        <x:v>C301</x:v>
      </x:c>
      <x:c r="G42" s="3" t="str">
        <x:v>Tue</x:v>
      </x:c>
      <x:c r="H42" s="3" t="n">
        <x:v>7</x:v>
      </x:c>
      <x:c r="I42" s="3" t="n">
        <x:v>3</x:v>
      </x:c>
    </x:row>
    <x:row r="43" ht="21" customHeight="1">
      <x:c r="A43" s="3" t="str">
        <x:v>SEC039</x:v>
      </x:c>
      <x:c r="B43" s="3" t="str">
        <x:v>GE102</x:v>
      </x:c>
      <x:c r="C43" s="3" t="str">
        <x:v>2025-1</x:v>
      </x:c>
      <x:c r="D43" s="3" t="str">
        <x:v>BA01</x:v>
      </x:c>
      <x:c r="E43" s="3" t="str">
        <x:v>T017</x:v>
      </x:c>
      <x:c r="F43" s="3" t="str">
        <x:v>C301</x:v>
      </x:c>
      <x:c r="G43" s="3" t="str">
        <x:v>Wed</x:v>
      </x:c>
      <x:c r="H43" s="3" t="n">
        <x:v>4</x:v>
      </x:c>
      <x:c r="I43" s="3" t="n">
        <x:v>3</x:v>
      </x:c>
    </x:row>
    <x:row r="44" ht="21" customHeight="1">
      <x:c r="A44" s="3" t="str">
        <x:v>SEC040</x:v>
      </x:c>
      <x:c r="B44" s="3" t="str">
        <x:v>GE102</x:v>
      </x:c>
      <x:c r="C44" s="3" t="str">
        <x:v>2025-1</x:v>
      </x:c>
      <x:c r="D44" s="3" t="str">
        <x:v>BA02</x:v>
      </x:c>
      <x:c r="E44" s="3" t="str">
        <x:v>T018</x:v>
      </x:c>
      <x:c r="F44" s="3" t="str">
        <x:v>C301</x:v>
      </x:c>
      <x:c r="G44" s="3" t="str">
        <x:v>Thu</x:v>
      </x:c>
      <x:c r="H44" s="3" t="n">
        <x:v>4</x:v>
      </x:c>
      <x:c r="I44" s="3" t="n">
        <x:v>3</x:v>
      </x:c>
    </x:row>
    <x:row r="45" ht="21" customHeight="1">
      <x:c r="A45" s="3" t="str">
        <x:v>SEC041</x:v>
      </x:c>
      <x:c r="B45" s="3" t="str">
        <x:v>GE102</x:v>
      </x:c>
      <x:c r="C45" s="3" t="str">
        <x:v>2025-1</x:v>
      </x:c>
      <x:c r="D45" s="3" t="str">
        <x:v>IT01</x:v>
      </x:c>
      <x:c r="E45" s="3" t="str">
        <x:v>T019</x:v>
      </x:c>
      <x:c r="F45" s="3" t="str">
        <x:v>C302</x:v>
      </x:c>
      <x:c r="G45" s="3" t="str">
        <x:v>Fri</x:v>
      </x:c>
      <x:c r="H45" s="3" t="n">
        <x:v>4</x:v>
      </x:c>
      <x:c r="I45" s="3" t="n">
        <x:v>3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</x:cols>
  <x:sheetData>
    <x:row r="1">
      <x:c r="A1" s="1" t="str">
        <x:v>F_Conduct</x:v>
      </x:c>
    </x:row>
    <x:row r="2">
      <x:c r="A2" t="str">
        <x:v>5d72748:mcp-academic/data/sample/conduct.csv</x:v>
      </x:c>
    </x:row>
    <x:row r="3">
      <x:c r="A3" t="str">
        <x:v>CSV values start on row 5. Blue inputs, black calculations. Sources and hashes: reference-manifest.json.</x:v>
      </x:c>
    </x:row>
    <x:row r="4" ht="21" customHeight="1">
      <x:c r="A4" s="7" t="str">
        <x:v>student_id</x:v>
      </x:c>
      <x:c r="B4" s="7" t="str">
        <x:v>semester</x:v>
      </x:c>
      <x:c r="C4" s="7" t="str">
        <x:v>score</x:v>
      </x:c>
    </x:row>
    <x:row r="5" ht="21" customHeight="1">
      <x:c r="A5" s="3" t="str">
        <x:v>2201001</x:v>
      </x:c>
      <x:c r="B5" s="3" t="str">
        <x:v>2024-1</x:v>
      </x:c>
      <x:c r="C5" s="3" t="n">
        <x:v>80</x:v>
      </x:c>
    </x:row>
    <x:row r="6" ht="21" customHeight="1">
      <x:c r="A6" s="3" t="str">
        <x:v>2201001</x:v>
      </x:c>
      <x:c r="B6" s="3" t="str">
        <x:v>2024-2</x:v>
      </x:c>
      <x:c r="C6" s="3" t="n">
        <x:v>78</x:v>
      </x:c>
    </x:row>
    <x:row r="7" ht="21" customHeight="1">
      <x:c r="A7" s="3" t="str">
        <x:v>2201001</x:v>
      </x:c>
      <x:c r="B7" s="3" t="str">
        <x:v>2025-1</x:v>
      </x:c>
      <x:c r="C7" s="3" t="n">
        <x:v>86</x:v>
      </x:c>
    </x:row>
    <x:row r="8" ht="21" customHeight="1">
      <x:c r="A8" s="3" t="str">
        <x:v>2201002</x:v>
      </x:c>
      <x:c r="B8" s="3" t="str">
        <x:v>2024-1</x:v>
      </x:c>
      <x:c r="C8" s="3" t="n">
        <x:v>78</x:v>
      </x:c>
    </x:row>
    <x:row r="9" ht="21" customHeight="1">
      <x:c r="A9" s="3" t="str">
        <x:v>2201002</x:v>
      </x:c>
      <x:c r="B9" s="3" t="str">
        <x:v>2024-2</x:v>
      </x:c>
      <x:c r="C9" s="3" t="n">
        <x:v>89</x:v>
      </x:c>
    </x:row>
    <x:row r="10" ht="21" customHeight="1">
      <x:c r="A10" s="3" t="str">
        <x:v>2201002</x:v>
      </x:c>
      <x:c r="B10" s="3" t="str">
        <x:v>2025-1</x:v>
      </x:c>
      <x:c r="C10" s="3" t="n">
        <x:v>90</x:v>
      </x:c>
    </x:row>
    <x:row r="11" ht="21" customHeight="1">
      <x:c r="A11" s="3" t="str">
        <x:v>2201003</x:v>
      </x:c>
      <x:c r="B11" s="3" t="str">
        <x:v>2024-1</x:v>
      </x:c>
      <x:c r="C11" s="3" t="n">
        <x:v>95</x:v>
      </x:c>
    </x:row>
    <x:row r="12" ht="21" customHeight="1">
      <x:c r="A12" s="3" t="str">
        <x:v>2201003</x:v>
      </x:c>
      <x:c r="B12" s="3" t="str">
        <x:v>2024-2</x:v>
      </x:c>
      <x:c r="C12" s="3" t="n">
        <x:v>91</x:v>
      </x:c>
    </x:row>
    <x:row r="13" ht="21" customHeight="1">
      <x:c r="A13" s="3" t="str">
        <x:v>2201003</x:v>
      </x:c>
      <x:c r="B13" s="3" t="str">
        <x:v>2025-1</x:v>
      </x:c>
      <x:c r="C13" s="3" t="n">
        <x:v>93</x:v>
      </x:c>
    </x:row>
    <x:row r="14" ht="21" customHeight="1">
      <x:c r="A14" s="3" t="str">
        <x:v>2201004</x:v>
      </x:c>
      <x:c r="B14" s="3" t="str">
        <x:v>2024-1</x:v>
      </x:c>
      <x:c r="C14" s="3" t="n">
        <x:v>89</x:v>
      </x:c>
    </x:row>
    <x:row r="15" ht="21" customHeight="1">
      <x:c r="A15" s="3" t="str">
        <x:v>2201004</x:v>
      </x:c>
      <x:c r="B15" s="3" t="str">
        <x:v>2024-2</x:v>
      </x:c>
      <x:c r="C15" s="3" t="n">
        <x:v>76</x:v>
      </x:c>
    </x:row>
    <x:row r="16" ht="21" customHeight="1">
      <x:c r="A16" s="3" t="str">
        <x:v>2201004</x:v>
      </x:c>
      <x:c r="B16" s="3" t="str">
        <x:v>2025-1</x:v>
      </x:c>
      <x:c r="C16" s="3" t="n">
        <x:v>89</x:v>
      </x:c>
    </x:row>
    <x:row r="17" ht="21" customHeight="1">
      <x:c r="A17" s="3" t="str">
        <x:v>2201005</x:v>
      </x:c>
      <x:c r="B17" s="3" t="str">
        <x:v>2024-1</x:v>
      </x:c>
      <x:c r="C17" s="3" t="n">
        <x:v>67</x:v>
      </x:c>
    </x:row>
    <x:row r="18" ht="21" customHeight="1">
      <x:c r="A18" s="3" t="str">
        <x:v>2201005</x:v>
      </x:c>
      <x:c r="B18" s="3" t="str">
        <x:v>2024-2</x:v>
      </x:c>
      <x:c r="C18" s="3" t="n">
        <x:v>75</x:v>
      </x:c>
    </x:row>
    <x:row r="19" ht="21" customHeight="1">
      <x:c r="A19" s="3" t="str">
        <x:v>2201005</x:v>
      </x:c>
      <x:c r="B19" s="3" t="str">
        <x:v>2025-1</x:v>
      </x:c>
      <x:c r="C19" s="3" t="n">
        <x:v>63</x:v>
      </x:c>
    </x:row>
    <x:row r="20" ht="21" customHeight="1">
      <x:c r="A20" s="3" t="str">
        <x:v>2201006</x:v>
      </x:c>
      <x:c r="B20" s="3" t="str">
        <x:v>2024-1</x:v>
      </x:c>
      <x:c r="C20" s="3" t="n">
        <x:v>87</x:v>
      </x:c>
    </x:row>
    <x:row r="21" ht="21" customHeight="1">
      <x:c r="A21" s="3" t="str">
        <x:v>2201006</x:v>
      </x:c>
      <x:c r="B21" s="3" t="str">
        <x:v>2024-2</x:v>
      </x:c>
      <x:c r="C21" s="3" t="n">
        <x:v>84</x:v>
      </x:c>
    </x:row>
    <x:row r="22" ht="21" customHeight="1">
      <x:c r="A22" s="3" t="str">
        <x:v>2201006</x:v>
      </x:c>
      <x:c r="B22" s="3" t="str">
        <x:v>2025-1</x:v>
      </x:c>
      <x:c r="C22" s="3" t="n">
        <x:v>84</x:v>
      </x:c>
    </x:row>
    <x:row r="23" ht="21" customHeight="1">
      <x:c r="A23" s="3" t="str">
        <x:v>2201007</x:v>
      </x:c>
      <x:c r="B23" s="3" t="str">
        <x:v>2024-1</x:v>
      </x:c>
      <x:c r="C23" s="3" t="n">
        <x:v>83</x:v>
      </x:c>
    </x:row>
    <x:row r="24" ht="21" customHeight="1">
      <x:c r="A24" s="3" t="str">
        <x:v>2201007</x:v>
      </x:c>
      <x:c r="B24" s="3" t="str">
        <x:v>2024-2</x:v>
      </x:c>
      <x:c r="C24" s="3" t="n">
        <x:v>83</x:v>
      </x:c>
    </x:row>
    <x:row r="25" ht="21" customHeight="1">
      <x:c r="A25" s="3" t="str">
        <x:v>2201007</x:v>
      </x:c>
      <x:c r="B25" s="3" t="str">
        <x:v>2025-1</x:v>
      </x:c>
      <x:c r="C25" s="3" t="n">
        <x:v>85</x:v>
      </x:c>
    </x:row>
    <x:row r="26" ht="21" customHeight="1">
      <x:c r="A26" s="3" t="str">
        <x:v>2201008</x:v>
      </x:c>
      <x:c r="B26" s="3" t="str">
        <x:v>2024-1</x:v>
      </x:c>
      <x:c r="C26" s="3" t="n">
        <x:v>80</x:v>
      </x:c>
    </x:row>
    <x:row r="27" ht="21" customHeight="1">
      <x:c r="A27" s="3" t="str">
        <x:v>2201008</x:v>
      </x:c>
      <x:c r="B27" s="3" t="str">
        <x:v>2024-2</x:v>
      </x:c>
      <x:c r="C27" s="3" t="n">
        <x:v>80</x:v>
      </x:c>
    </x:row>
    <x:row r="28" ht="21" customHeight="1">
      <x:c r="A28" s="3" t="str">
        <x:v>2201008</x:v>
      </x:c>
      <x:c r="B28" s="3" t="str">
        <x:v>2025-1</x:v>
      </x:c>
      <x:c r="C28" s="3" t="n">
        <x:v>83</x:v>
      </x:c>
    </x:row>
    <x:row r="29" ht="21" customHeight="1">
      <x:c r="A29" s="3" t="str">
        <x:v>2201009</x:v>
      </x:c>
      <x:c r="B29" s="3" t="str">
        <x:v>2024-1</x:v>
      </x:c>
      <x:c r="C29" s="3" t="n">
        <x:v>91</x:v>
      </x:c>
    </x:row>
    <x:row r="30" ht="21" customHeight="1">
      <x:c r="A30" s="3" t="str">
        <x:v>2201009</x:v>
      </x:c>
      <x:c r="B30" s="3" t="str">
        <x:v>2024-2</x:v>
      </x:c>
      <x:c r="C30" s="3" t="n">
        <x:v>86</x:v>
      </x:c>
    </x:row>
    <x:row r="31" ht="21" customHeight="1">
      <x:c r="A31" s="3" t="str">
        <x:v>2201009</x:v>
      </x:c>
      <x:c r="B31" s="3" t="str">
        <x:v>2025-1</x:v>
      </x:c>
      <x:c r="C31" s="3" t="n">
        <x:v>93</x:v>
      </x:c>
    </x:row>
    <x:row r="32" ht="21" customHeight="1">
      <x:c r="A32" s="3" t="str">
        <x:v>2201010</x:v>
      </x:c>
      <x:c r="B32" s="3" t="str">
        <x:v>2024-1</x:v>
      </x:c>
      <x:c r="C32" s="3" t="n">
        <x:v>61</x:v>
      </x:c>
    </x:row>
    <x:row r="33" ht="21" customHeight="1">
      <x:c r="A33" s="3" t="str">
        <x:v>2201010</x:v>
      </x:c>
      <x:c r="B33" s="3" t="str">
        <x:v>2024-2</x:v>
      </x:c>
      <x:c r="C33" s="3" t="n">
        <x:v>61</x:v>
      </x:c>
    </x:row>
    <x:row r="34" ht="21" customHeight="1">
      <x:c r="A34" s="3" t="str">
        <x:v>2201010</x:v>
      </x:c>
      <x:c r="B34" s="3" t="str">
        <x:v>2025-1</x:v>
      </x:c>
      <x:c r="C34" s="3" t="n">
        <x:v>88</x:v>
      </x:c>
    </x:row>
    <x:row r="35" ht="21" customHeight="1">
      <x:c r="A35" s="3" t="str">
        <x:v>2201011</x:v>
      </x:c>
      <x:c r="B35" s="3" t="str">
        <x:v>2024-1</x:v>
      </x:c>
      <x:c r="C35" s="3" t="n">
        <x:v>95</x:v>
      </x:c>
    </x:row>
    <x:row r="36" ht="21" customHeight="1">
      <x:c r="A36" s="3" t="str">
        <x:v>2201011</x:v>
      </x:c>
      <x:c r="B36" s="3" t="str">
        <x:v>2024-2</x:v>
      </x:c>
      <x:c r="C36" s="3" t="n">
        <x:v>81</x:v>
      </x:c>
    </x:row>
    <x:row r="37" ht="21" customHeight="1">
      <x:c r="A37" s="3" t="str">
        <x:v>2201011</x:v>
      </x:c>
      <x:c r="B37" s="3" t="str">
        <x:v>2025-1</x:v>
      </x:c>
      <x:c r="C37" s="3" t="n">
        <x:v>88</x:v>
      </x:c>
    </x:row>
    <x:row r="38" ht="21" customHeight="1">
      <x:c r="A38" s="3" t="str">
        <x:v>2201012</x:v>
      </x:c>
      <x:c r="B38" s="3" t="str">
        <x:v>2024-1</x:v>
      </x:c>
      <x:c r="C38" s="3" t="n">
        <x:v>74</x:v>
      </x:c>
    </x:row>
    <x:row r="39" ht="21" customHeight="1">
      <x:c r="A39" s="3" t="str">
        <x:v>2201012</x:v>
      </x:c>
      <x:c r="B39" s="3" t="str">
        <x:v>2024-2</x:v>
      </x:c>
      <x:c r="C39" s="3" t="n">
        <x:v>85</x:v>
      </x:c>
    </x:row>
    <x:row r="40" ht="21" customHeight="1">
      <x:c r="A40" s="3" t="str">
        <x:v>2201012</x:v>
      </x:c>
      <x:c r="B40" s="3" t="str">
        <x:v>2025-1</x:v>
      </x:c>
      <x:c r="C40" s="3" t="n">
        <x:v>76</x:v>
      </x:c>
    </x:row>
    <x:row r="41" ht="21" customHeight="1">
      <x:c r="A41" s="3" t="str">
        <x:v>2201013</x:v>
      </x:c>
      <x:c r="B41" s="3" t="str">
        <x:v>2024-1</x:v>
      </x:c>
      <x:c r="C41" s="3" t="n">
        <x:v>82</x:v>
      </x:c>
    </x:row>
    <x:row r="42" ht="21" customHeight="1">
      <x:c r="A42" s="3" t="str">
        <x:v>2201013</x:v>
      </x:c>
      <x:c r="B42" s="3" t="str">
        <x:v>2024-2</x:v>
      </x:c>
      <x:c r="C42" s="3" t="n">
        <x:v>69</x:v>
      </x:c>
    </x:row>
    <x:row r="43" ht="21" customHeight="1">
      <x:c r="A43" s="3" t="str">
        <x:v>2201013</x:v>
      </x:c>
      <x:c r="B43" s="3" t="str">
        <x:v>2025-1</x:v>
      </x:c>
      <x:c r="C43" s="3" t="n">
        <x:v>84</x:v>
      </x:c>
    </x:row>
    <x:row r="44" ht="21" customHeight="1">
      <x:c r="A44" s="3" t="str">
        <x:v>2201014</x:v>
      </x:c>
      <x:c r="B44" s="3" t="str">
        <x:v>2024-1</x:v>
      </x:c>
      <x:c r="C44" s="3" t="n">
        <x:v>75</x:v>
      </x:c>
    </x:row>
    <x:row r="45" ht="21" customHeight="1">
      <x:c r="A45" s="3" t="str">
        <x:v>2201014</x:v>
      </x:c>
      <x:c r="B45" s="3" t="str">
        <x:v>2024-2</x:v>
      </x:c>
      <x:c r="C45" s="3" t="n">
        <x:v>83</x:v>
      </x:c>
    </x:row>
    <x:row r="46" ht="21" customHeight="1">
      <x:c r="A46" s="3" t="str">
        <x:v>2201014</x:v>
      </x:c>
      <x:c r="B46" s="3" t="str">
        <x:v>2025-1</x:v>
      </x:c>
      <x:c r="C46" s="3" t="n">
        <x:v>83</x:v>
      </x:c>
    </x:row>
    <x:row r="47" ht="21" customHeight="1">
      <x:c r="A47" s="3" t="str">
        <x:v>2201015</x:v>
      </x:c>
      <x:c r="B47" s="3" t="str">
        <x:v>2024-1</x:v>
      </x:c>
      <x:c r="C47" s="3" t="n">
        <x:v>67</x:v>
      </x:c>
    </x:row>
    <x:row r="48" ht="21" customHeight="1">
      <x:c r="A48" s="3" t="str">
        <x:v>2201015</x:v>
      </x:c>
      <x:c r="B48" s="3" t="str">
        <x:v>2024-2</x:v>
      </x:c>
      <x:c r="C48" s="3" t="n">
        <x:v>69</x:v>
      </x:c>
    </x:row>
    <x:row r="49" ht="21" customHeight="1">
      <x:c r="A49" s="3" t="str">
        <x:v>2201015</x:v>
      </x:c>
      <x:c r="B49" s="3" t="str">
        <x:v>2025-1</x:v>
      </x:c>
      <x:c r="C49" s="3" t="n">
        <x:v>70</x:v>
      </x:c>
    </x:row>
    <x:row r="50" ht="21" customHeight="1">
      <x:c r="A50" s="3" t="str">
        <x:v>2201016</x:v>
      </x:c>
      <x:c r="B50" s="3" t="str">
        <x:v>2024-1</x:v>
      </x:c>
      <x:c r="C50" s="3" t="n">
        <x:v>97</x:v>
      </x:c>
    </x:row>
    <x:row r="51" ht="21" customHeight="1">
      <x:c r="A51" s="3" t="str">
        <x:v>2201016</x:v>
      </x:c>
      <x:c r="B51" s="3" t="str">
        <x:v>2024-2</x:v>
      </x:c>
      <x:c r="C51" s="3" t="n">
        <x:v>81</x:v>
      </x:c>
    </x:row>
    <x:row r="52" ht="21" customHeight="1">
      <x:c r="A52" s="3" t="str">
        <x:v>2201016</x:v>
      </x:c>
      <x:c r="B52" s="3" t="str">
        <x:v>2025-1</x:v>
      </x:c>
      <x:c r="C52" s="3" t="n">
        <x:v>99</x:v>
      </x:c>
    </x:row>
    <x:row r="53" ht="21" customHeight="1">
      <x:c r="A53" s="3" t="str">
        <x:v>2201017</x:v>
      </x:c>
      <x:c r="B53" s="3" t="str">
        <x:v>2024-1</x:v>
      </x:c>
      <x:c r="C53" s="3" t="n">
        <x:v>90</x:v>
      </x:c>
    </x:row>
    <x:row r="54" ht="21" customHeight="1">
      <x:c r="A54" s="3" t="str">
        <x:v>2201017</x:v>
      </x:c>
      <x:c r="B54" s="3" t="str">
        <x:v>2024-2</x:v>
      </x:c>
      <x:c r="C54" s="3" t="n">
        <x:v>82</x:v>
      </x:c>
    </x:row>
    <x:row r="55" ht="21" customHeight="1">
      <x:c r="A55" s="3" t="str">
        <x:v>2201017</x:v>
      </x:c>
      <x:c r="B55" s="3" t="str">
        <x:v>2025-1</x:v>
      </x:c>
      <x:c r="C55" s="3" t="n">
        <x:v>89</x:v>
      </x:c>
    </x:row>
    <x:row r="56" ht="21" customHeight="1">
      <x:c r="A56" s="3" t="str">
        <x:v>2201018</x:v>
      </x:c>
      <x:c r="B56" s="3" t="str">
        <x:v>2024-1</x:v>
      </x:c>
      <x:c r="C56" s="3" t="n">
        <x:v>88</x:v>
      </x:c>
    </x:row>
    <x:row r="57" ht="21" customHeight="1">
      <x:c r="A57" s="3" t="str">
        <x:v>2201018</x:v>
      </x:c>
      <x:c r="B57" s="3" t="str">
        <x:v>2024-2</x:v>
      </x:c>
      <x:c r="C57" s="3" t="n">
        <x:v>90</x:v>
      </x:c>
    </x:row>
    <x:row r="58" ht="21" customHeight="1">
      <x:c r="A58" s="3" t="str">
        <x:v>2201018</x:v>
      </x:c>
      <x:c r="B58" s="3" t="str">
        <x:v>2025-1</x:v>
      </x:c>
      <x:c r="C58" s="3" t="n">
        <x:v>94</x:v>
      </x:c>
    </x:row>
    <x:row r="59" ht="21" customHeight="1">
      <x:c r="A59" s="3" t="str">
        <x:v>2201019</x:v>
      </x:c>
      <x:c r="B59" s="3" t="str">
        <x:v>2024-1</x:v>
      </x:c>
      <x:c r="C59" s="3" t="n">
        <x:v>94</x:v>
      </x:c>
    </x:row>
    <x:row r="60" ht="21" customHeight="1">
      <x:c r="A60" s="3" t="str">
        <x:v>2201019</x:v>
      </x:c>
      <x:c r="B60" s="3" t="str">
        <x:v>2024-2</x:v>
      </x:c>
      <x:c r="C60" s="3" t="n">
        <x:v>86</x:v>
      </x:c>
    </x:row>
    <x:row r="61" ht="21" customHeight="1">
      <x:c r="A61" s="3" t="str">
        <x:v>2201019</x:v>
      </x:c>
      <x:c r="B61" s="3" t="str">
        <x:v>2025-1</x:v>
      </x:c>
      <x:c r="C61" s="3" t="n">
        <x:v>85</x:v>
      </x:c>
    </x:row>
    <x:row r="62" ht="21" customHeight="1">
      <x:c r="A62" s="3" t="str">
        <x:v>2201020</x:v>
      </x:c>
      <x:c r="B62" s="3" t="str">
        <x:v>2024-1</x:v>
      </x:c>
      <x:c r="C62" s="3" t="n">
        <x:v>68</x:v>
      </x:c>
    </x:row>
    <x:row r="63" ht="21" customHeight="1">
      <x:c r="A63" s="3" t="str">
        <x:v>2201020</x:v>
      </x:c>
      <x:c r="B63" s="3" t="str">
        <x:v>2024-2</x:v>
      </x:c>
      <x:c r="C63" s="3" t="n">
        <x:v>61</x:v>
      </x:c>
    </x:row>
    <x:row r="64" ht="21" customHeight="1">
      <x:c r="A64" s="3" t="str">
        <x:v>2201020</x:v>
      </x:c>
      <x:c r="B64" s="3" t="str">
        <x:v>2025-1</x:v>
      </x:c>
      <x:c r="C64" s="3" t="n">
        <x:v>86</x:v>
      </x:c>
    </x:row>
    <x:row r="65" ht="21" customHeight="1">
      <x:c r="A65" s="3" t="str">
        <x:v>2202001</x:v>
      </x:c>
      <x:c r="B65" s="3" t="str">
        <x:v>2024-1</x:v>
      </x:c>
      <x:c r="C65" s="3" t="n">
        <x:v>71</x:v>
      </x:c>
    </x:row>
    <x:row r="66" ht="21" customHeight="1">
      <x:c r="A66" s="3" t="str">
        <x:v>2202001</x:v>
      </x:c>
      <x:c r="B66" s="3" t="str">
        <x:v>2024-2</x:v>
      </x:c>
      <x:c r="C66" s="3" t="n">
        <x:v>77</x:v>
      </x:c>
    </x:row>
    <x:row r="67" ht="21" customHeight="1">
      <x:c r="A67" s="3" t="str">
        <x:v>2202001</x:v>
      </x:c>
      <x:c r="B67" s="3" t="str">
        <x:v>2025-1</x:v>
      </x:c>
      <x:c r="C67" s="3" t="n">
        <x:v>82</x:v>
      </x:c>
    </x:row>
    <x:row r="68" ht="21" customHeight="1">
      <x:c r="A68" s="3" t="str">
        <x:v>2202002</x:v>
      </x:c>
      <x:c r="B68" s="3" t="str">
        <x:v>2024-1</x:v>
      </x:c>
      <x:c r="C68" s="3" t="n">
        <x:v>94</x:v>
      </x:c>
    </x:row>
    <x:row r="69" ht="21" customHeight="1">
      <x:c r="A69" s="3" t="str">
        <x:v>2202002</x:v>
      </x:c>
      <x:c r="B69" s="3" t="str">
        <x:v>2024-2</x:v>
      </x:c>
      <x:c r="C69" s="3" t="n">
        <x:v>92</x:v>
      </x:c>
    </x:row>
    <x:row r="70" ht="21" customHeight="1">
      <x:c r="A70" s="3" t="str">
        <x:v>2202002</x:v>
      </x:c>
      <x:c r="B70" s="3" t="str">
        <x:v>2025-1</x:v>
      </x:c>
      <x:c r="C70" s="3" t="n">
        <x:v>95</x:v>
      </x:c>
    </x:row>
    <x:row r="71" ht="21" customHeight="1">
      <x:c r="A71" s="3" t="str">
        <x:v>2202003</x:v>
      </x:c>
      <x:c r="B71" s="3" t="str">
        <x:v>2024-1</x:v>
      </x:c>
      <x:c r="C71" s="3" t="n">
        <x:v>74</x:v>
      </x:c>
    </x:row>
    <x:row r="72" ht="21" customHeight="1">
      <x:c r="A72" s="3" t="str">
        <x:v>2202003</x:v>
      </x:c>
      <x:c r="B72" s="3" t="str">
        <x:v>2024-2</x:v>
      </x:c>
      <x:c r="C72" s="3" t="n">
        <x:v>77</x:v>
      </x:c>
    </x:row>
    <x:row r="73" ht="21" customHeight="1">
      <x:c r="A73" s="3" t="str">
        <x:v>2202003</x:v>
      </x:c>
      <x:c r="B73" s="3" t="str">
        <x:v>2025-1</x:v>
      </x:c>
      <x:c r="C73" s="3" t="n">
        <x:v>95</x:v>
      </x:c>
    </x:row>
    <x:row r="74" ht="21" customHeight="1">
      <x:c r="A74" s="3" t="str">
        <x:v>2202004</x:v>
      </x:c>
      <x:c r="B74" s="3" t="str">
        <x:v>2024-1</x:v>
      </x:c>
      <x:c r="C74" s="3" t="n">
        <x:v>67</x:v>
      </x:c>
    </x:row>
    <x:row r="75" ht="21" customHeight="1">
      <x:c r="A75" s="3" t="str">
        <x:v>2202004</x:v>
      </x:c>
      <x:c r="B75" s="3" t="str">
        <x:v>2024-2</x:v>
      </x:c>
      <x:c r="C75" s="3" t="n">
        <x:v>85</x:v>
      </x:c>
    </x:row>
    <x:row r="76" ht="21" customHeight="1">
      <x:c r="A76" s="3" t="str">
        <x:v>2202004</x:v>
      </x:c>
      <x:c r="B76" s="3" t="str">
        <x:v>2025-1</x:v>
      </x:c>
      <x:c r="C76" s="3" t="n">
        <x:v>79</x:v>
      </x:c>
    </x:row>
    <x:row r="77" ht="21" customHeight="1">
      <x:c r="A77" s="3" t="str">
        <x:v>2202005</x:v>
      </x:c>
      <x:c r="B77" s="3" t="str">
        <x:v>2024-1</x:v>
      </x:c>
      <x:c r="C77" s="3" t="n">
        <x:v>69</x:v>
      </x:c>
    </x:row>
    <x:row r="78" ht="21" customHeight="1">
      <x:c r="A78" s="3" t="str">
        <x:v>2202005</x:v>
      </x:c>
      <x:c r="B78" s="3" t="str">
        <x:v>2024-2</x:v>
      </x:c>
      <x:c r="C78" s="3" t="n">
        <x:v>72</x:v>
      </x:c>
    </x:row>
    <x:row r="79" ht="21" customHeight="1">
      <x:c r="A79" s="3" t="str">
        <x:v>2202005</x:v>
      </x:c>
      <x:c r="B79" s="3" t="str">
        <x:v>2025-1</x:v>
      </x:c>
      <x:c r="C79" s="3" t="n">
        <x:v>78</x:v>
      </x:c>
    </x:row>
    <x:row r="80" ht="21" customHeight="1">
      <x:c r="A80" s="3" t="str">
        <x:v>2202006</x:v>
      </x:c>
      <x:c r="B80" s="3" t="str">
        <x:v>2024-1</x:v>
      </x:c>
      <x:c r="C80" s="3" t="n">
        <x:v>83</x:v>
      </x:c>
    </x:row>
    <x:row r="81" ht="21" customHeight="1">
      <x:c r="A81" s="3" t="str">
        <x:v>2202006</x:v>
      </x:c>
      <x:c r="B81" s="3" t="str">
        <x:v>2024-2</x:v>
      </x:c>
      <x:c r="C81" s="3" t="n">
        <x:v>84</x:v>
      </x:c>
    </x:row>
    <x:row r="82" ht="21" customHeight="1">
      <x:c r="A82" s="3" t="str">
        <x:v>2202006</x:v>
      </x:c>
      <x:c r="B82" s="3" t="str">
        <x:v>2025-1</x:v>
      </x:c>
      <x:c r="C82" s="3" t="n">
        <x:v>74</x:v>
      </x:c>
    </x:row>
    <x:row r="83" ht="21" customHeight="1">
      <x:c r="A83" s="3" t="str">
        <x:v>2202007</x:v>
      </x:c>
      <x:c r="B83" s="3" t="str">
        <x:v>2024-1</x:v>
      </x:c>
      <x:c r="C83" s="3" t="n">
        <x:v>88</x:v>
      </x:c>
    </x:row>
    <x:row r="84" ht="21" customHeight="1">
      <x:c r="A84" s="3" t="str">
        <x:v>2202007</x:v>
      </x:c>
      <x:c r="B84" s="3" t="str">
        <x:v>2024-2</x:v>
      </x:c>
      <x:c r="C84" s="3" t="n">
        <x:v>84</x:v>
      </x:c>
    </x:row>
    <x:row r="85" ht="21" customHeight="1">
      <x:c r="A85" s="3" t="str">
        <x:v>2202007</x:v>
      </x:c>
      <x:c r="B85" s="3" t="str">
        <x:v>2025-1</x:v>
      </x:c>
      <x:c r="C85" s="3" t="n">
        <x:v>83</x:v>
      </x:c>
    </x:row>
    <x:row r="86" ht="21" customHeight="1">
      <x:c r="A86" s="3" t="str">
        <x:v>2202008</x:v>
      </x:c>
      <x:c r="B86" s="3" t="str">
        <x:v>2024-1</x:v>
      </x:c>
      <x:c r="C86" s="3" t="n">
        <x:v>89</x:v>
      </x:c>
    </x:row>
    <x:row r="87" ht="21" customHeight="1">
      <x:c r="A87" s="3" t="str">
        <x:v>2202008</x:v>
      </x:c>
      <x:c r="B87" s="3" t="str">
        <x:v>2024-2</x:v>
      </x:c>
      <x:c r="C87" s="3" t="n">
        <x:v>83</x:v>
      </x:c>
    </x:row>
    <x:row r="88" ht="21" customHeight="1">
      <x:c r="A88" s="3" t="str">
        <x:v>2202008</x:v>
      </x:c>
      <x:c r="B88" s="3" t="str">
        <x:v>2025-1</x:v>
      </x:c>
      <x:c r="C88" s="3" t="n">
        <x:v>84</x:v>
      </x:c>
    </x:row>
    <x:row r="89" ht="21" customHeight="1">
      <x:c r="A89" s="3" t="str">
        <x:v>2202009</x:v>
      </x:c>
      <x:c r="B89" s="3" t="str">
        <x:v>2024-1</x:v>
      </x:c>
      <x:c r="C89" s="3" t="n">
        <x:v>76</x:v>
      </x:c>
    </x:row>
    <x:row r="90" ht="21" customHeight="1">
      <x:c r="A90" s="3" t="str">
        <x:v>2202009</x:v>
      </x:c>
      <x:c r="B90" s="3" t="str">
        <x:v>2024-2</x:v>
      </x:c>
      <x:c r="C90" s="3" t="n">
        <x:v>84</x:v>
      </x:c>
    </x:row>
    <x:row r="91" ht="21" customHeight="1">
      <x:c r="A91" s="3" t="str">
        <x:v>2202009</x:v>
      </x:c>
      <x:c r="B91" s="3" t="str">
        <x:v>2025-1</x:v>
      </x:c>
      <x:c r="C91" s="3" t="n">
        <x:v>85</x:v>
      </x:c>
    </x:row>
    <x:row r="92" ht="21" customHeight="1">
      <x:c r="A92" s="3" t="str">
        <x:v>2202010</x:v>
      </x:c>
      <x:c r="B92" s="3" t="str">
        <x:v>2024-1</x:v>
      </x:c>
      <x:c r="C92" s="3" t="n">
        <x:v>63</x:v>
      </x:c>
    </x:row>
    <x:row r="93" ht="21" customHeight="1">
      <x:c r="A93" s="3" t="str">
        <x:v>2202010</x:v>
      </x:c>
      <x:c r="B93" s="3" t="str">
        <x:v>2024-2</x:v>
      </x:c>
      <x:c r="C93" s="3" t="n">
        <x:v>70</x:v>
      </x:c>
    </x:row>
    <x:row r="94" ht="21" customHeight="1">
      <x:c r="A94" s="3" t="str">
        <x:v>2202010</x:v>
      </x:c>
      <x:c r="B94" s="3" t="str">
        <x:v>2025-1</x:v>
      </x:c>
      <x:c r="C94" s="3" t="n">
        <x:v>74</x:v>
      </x:c>
    </x:row>
    <x:row r="95" ht="21" customHeight="1">
      <x:c r="A95" s="3" t="str">
        <x:v>2202011</x:v>
      </x:c>
      <x:c r="B95" s="3" t="str">
        <x:v>2024-1</x:v>
      </x:c>
      <x:c r="C95" s="3" t="n">
        <x:v>95</x:v>
      </x:c>
    </x:row>
    <x:row r="96" ht="21" customHeight="1">
      <x:c r="A96" s="3" t="str">
        <x:v>2202011</x:v>
      </x:c>
      <x:c r="B96" s="3" t="str">
        <x:v>2024-2</x:v>
      </x:c>
      <x:c r="C96" s="3" t="n">
        <x:v>79</x:v>
      </x:c>
    </x:row>
    <x:row r="97" ht="21" customHeight="1">
      <x:c r="A97" s="3" t="str">
        <x:v>2202011</x:v>
      </x:c>
      <x:c r="B97" s="3" t="str">
        <x:v>2025-1</x:v>
      </x:c>
      <x:c r="C97" s="3" t="n">
        <x:v>94</x:v>
      </x:c>
    </x:row>
    <x:row r="98" ht="21" customHeight="1">
      <x:c r="A98" s="3" t="str">
        <x:v>2202012</x:v>
      </x:c>
      <x:c r="B98" s="3" t="str">
        <x:v>2024-1</x:v>
      </x:c>
      <x:c r="C98" s="3" t="n">
        <x:v>79</x:v>
      </x:c>
    </x:row>
    <x:row r="99" ht="21" customHeight="1">
      <x:c r="A99" s="3" t="str">
        <x:v>2202012</x:v>
      </x:c>
      <x:c r="B99" s="3" t="str">
        <x:v>2024-2</x:v>
      </x:c>
      <x:c r="C99" s="3" t="n">
        <x:v>72</x:v>
      </x:c>
    </x:row>
    <x:row r="100" ht="21" customHeight="1">
      <x:c r="A100" s="3" t="str">
        <x:v>2202012</x:v>
      </x:c>
      <x:c r="B100" s="3" t="str">
        <x:v>2025-1</x:v>
      </x:c>
      <x:c r="C100" s="3" t="n">
        <x:v>83</x:v>
      </x:c>
    </x:row>
    <x:row r="101" ht="21" customHeight="1">
      <x:c r="A101" s="3" t="str">
        <x:v>2202013</x:v>
      </x:c>
      <x:c r="B101" s="3" t="str">
        <x:v>2024-1</x:v>
      </x:c>
      <x:c r="C101" s="3" t="n">
        <x:v>80</x:v>
      </x:c>
    </x:row>
    <x:row r="102" ht="21" customHeight="1">
      <x:c r="A102" s="3" t="str">
        <x:v>2202013</x:v>
      </x:c>
      <x:c r="B102" s="3" t="str">
        <x:v>2024-2</x:v>
      </x:c>
      <x:c r="C102" s="3" t="n">
        <x:v>77</x:v>
      </x:c>
    </x:row>
    <x:row r="103" ht="21" customHeight="1">
      <x:c r="A103" s="3" t="str">
        <x:v>2202013</x:v>
      </x:c>
      <x:c r="B103" s="3" t="str">
        <x:v>2025-1</x:v>
      </x:c>
      <x:c r="C103" s="3" t="n">
        <x:v>91</x:v>
      </x:c>
    </x:row>
    <x:row r="104" ht="21" customHeight="1">
      <x:c r="A104" s="3" t="str">
        <x:v>2202014</x:v>
      </x:c>
      <x:c r="B104" s="3" t="str">
        <x:v>2024-1</x:v>
      </x:c>
      <x:c r="C104" s="3" t="n">
        <x:v>84</x:v>
      </x:c>
    </x:row>
    <x:row r="105" ht="21" customHeight="1">
      <x:c r="A105" s="3" t="str">
        <x:v>2202014</x:v>
      </x:c>
      <x:c r="B105" s="3" t="str">
        <x:v>2024-2</x:v>
      </x:c>
      <x:c r="C105" s="3" t="n">
        <x:v>83</x:v>
      </x:c>
    </x:row>
    <x:row r="106" ht="21" customHeight="1">
      <x:c r="A106" s="3" t="str">
        <x:v>2202014</x:v>
      </x:c>
      <x:c r="B106" s="3" t="str">
        <x:v>2025-1</x:v>
      </x:c>
      <x:c r="C106" s="3" t="n">
        <x:v>79</x:v>
      </x:c>
    </x:row>
    <x:row r="107" ht="21" customHeight="1">
      <x:c r="A107" s="3" t="str">
        <x:v>2202015</x:v>
      </x:c>
      <x:c r="B107" s="3" t="str">
        <x:v>2024-1</x:v>
      </x:c>
      <x:c r="C107" s="3" t="n">
        <x:v>59</x:v>
      </x:c>
    </x:row>
    <x:row r="108" ht="21" customHeight="1">
      <x:c r="A108" s="3" t="str">
        <x:v>2202015</x:v>
      </x:c>
      <x:c r="B108" s="3" t="str">
        <x:v>2024-2</x:v>
      </x:c>
      <x:c r="C108" s="3" t="n">
        <x:v>64</x:v>
      </x:c>
    </x:row>
    <x:row r="109" ht="21" customHeight="1">
      <x:c r="A109" s="3" t="str">
        <x:v>2202015</x:v>
      </x:c>
      <x:c r="B109" s="3" t="str">
        <x:v>2025-1</x:v>
      </x:c>
      <x:c r="C109" s="3" t="n">
        <x:v>81</x:v>
      </x:c>
    </x:row>
    <x:row r="110" ht="21" customHeight="1">
      <x:c r="A110" s="3" t="str">
        <x:v>2202016</x:v>
      </x:c>
      <x:c r="B110" s="3" t="str">
        <x:v>2024-1</x:v>
      </x:c>
      <x:c r="C110" s="3" t="n">
        <x:v>91</x:v>
      </x:c>
    </x:row>
    <x:row r="111" ht="21" customHeight="1">
      <x:c r="A111" s="3" t="str">
        <x:v>2202016</x:v>
      </x:c>
      <x:c r="B111" s="3" t="str">
        <x:v>2024-2</x:v>
      </x:c>
      <x:c r="C111" s="3" t="n">
        <x:v>89</x:v>
      </x:c>
    </x:row>
    <x:row r="112" ht="21" customHeight="1">
      <x:c r="A112" s="3" t="str">
        <x:v>2202016</x:v>
      </x:c>
      <x:c r="B112" s="3" t="str">
        <x:v>2025-1</x:v>
      </x:c>
      <x:c r="C112" s="3" t="n">
        <x:v>87</x:v>
      </x:c>
    </x:row>
    <x:row r="113" ht="21" customHeight="1">
      <x:c r="A113" s="3" t="str">
        <x:v>2202017</x:v>
      </x:c>
      <x:c r="B113" s="3" t="str">
        <x:v>2024-1</x:v>
      </x:c>
      <x:c r="C113" s="3" t="n">
        <x:v>83</x:v>
      </x:c>
    </x:row>
    <x:row r="114" ht="21" customHeight="1">
      <x:c r="A114" s="3" t="str">
        <x:v>2202017</x:v>
      </x:c>
      <x:c r="B114" s="3" t="str">
        <x:v>2024-2</x:v>
      </x:c>
      <x:c r="C114" s="3" t="n">
        <x:v>90</x:v>
      </x:c>
    </x:row>
    <x:row r="115" ht="21" customHeight="1">
      <x:c r="A115" s="3" t="str">
        <x:v>2202017</x:v>
      </x:c>
      <x:c r="B115" s="3" t="str">
        <x:v>2025-1</x:v>
      </x:c>
      <x:c r="C115" s="3" t="n">
        <x:v>76</x:v>
      </x:c>
    </x:row>
    <x:row r="116" ht="21" customHeight="1">
      <x:c r="A116" s="3" t="str">
        <x:v>2202018</x:v>
      </x:c>
      <x:c r="B116" s="3" t="str">
        <x:v>2024-1</x:v>
      </x:c>
      <x:c r="C116" s="3" t="n">
        <x:v>81</x:v>
      </x:c>
    </x:row>
    <x:row r="117" ht="21" customHeight="1">
      <x:c r="A117" s="3" t="str">
        <x:v>2202018</x:v>
      </x:c>
      <x:c r="B117" s="3" t="str">
        <x:v>2024-2</x:v>
      </x:c>
      <x:c r="C117" s="3" t="n">
        <x:v>83</x:v>
      </x:c>
    </x:row>
    <x:row r="118" ht="21" customHeight="1">
      <x:c r="A118" s="3" t="str">
        <x:v>2202018</x:v>
      </x:c>
      <x:c r="B118" s="3" t="str">
        <x:v>2025-1</x:v>
      </x:c>
      <x:c r="C118" s="3" t="n">
        <x:v>89</x:v>
      </x:c>
    </x:row>
    <x:row r="119" ht="21" customHeight="1">
      <x:c r="A119" s="3" t="str">
        <x:v>2202019</x:v>
      </x:c>
      <x:c r="B119" s="3" t="str">
        <x:v>2024-1</x:v>
      </x:c>
      <x:c r="C119" s="3" t="n">
        <x:v>84</x:v>
      </x:c>
    </x:row>
    <x:row r="120" ht="21" customHeight="1">
      <x:c r="A120" s="3" t="str">
        <x:v>2202019</x:v>
      </x:c>
      <x:c r="B120" s="3" t="str">
        <x:v>2024-2</x:v>
      </x:c>
      <x:c r="C120" s="3" t="n">
        <x:v>84</x:v>
      </x:c>
    </x:row>
    <x:row r="121" ht="21" customHeight="1">
      <x:c r="A121" s="3" t="str">
        <x:v>2202019</x:v>
      </x:c>
      <x:c r="B121" s="3" t="str">
        <x:v>2025-1</x:v>
      </x:c>
      <x:c r="C121" s="3" t="n">
        <x:v>95</x:v>
      </x:c>
    </x:row>
    <x:row r="122" ht="21" customHeight="1">
      <x:c r="A122" s="3" t="str">
        <x:v>2202020</x:v>
      </x:c>
      <x:c r="B122" s="3" t="str">
        <x:v>2024-1</x:v>
      </x:c>
      <x:c r="C122" s="3" t="n">
        <x:v>62</x:v>
      </x:c>
    </x:row>
    <x:row r="123" ht="21" customHeight="1">
      <x:c r="A123" s="3" t="str">
        <x:v>2202020</x:v>
      </x:c>
      <x:c r="B123" s="3" t="str">
        <x:v>2024-2</x:v>
      </x:c>
      <x:c r="C123" s="3" t="n">
        <x:v>73</x:v>
      </x:c>
    </x:row>
    <x:row r="124" ht="21" customHeight="1">
      <x:c r="A124" s="3" t="str">
        <x:v>2202020</x:v>
      </x:c>
      <x:c r="B124" s="3" t="str">
        <x:v>2025-1</x:v>
      </x:c>
      <x:c r="C124" s="3" t="n">
        <x:v>78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>
      <x:c r="A1" s="1" t="str">
        <x:v>Tuition</x:v>
      </x:c>
    </x:row>
    <x:row r="2">
      <x:c r="A2" t="str">
        <x:v>5d72748:mcp-academic/data/sample-finance/tuition.csv</x:v>
      </x:c>
    </x:row>
    <x:row r="3">
      <x:c r="A3" t="str">
        <x:v>CSV values start on row 5. Blue inputs, black calculations. Sources and hashes: reference-manifest.json.</x:v>
      </x:c>
    </x:row>
    <x:row r="4" ht="21" customHeight="1">
      <x:c r="A4" s="7" t="str">
        <x:v>student_id</x:v>
      </x:c>
      <x:c r="B4" s="7" t="str">
        <x:v>semester</x:v>
      </x:c>
      <x:c r="C4" s="7" t="str">
        <x:v>credits_registered</x:v>
      </x:c>
      <x:c r="D4" s="7" t="str">
        <x:v>fee_per_credit</x:v>
      </x:c>
      <x:c r="E4" s="7" t="str">
        <x:v>discount_pct</x:v>
      </x:c>
      <x:c r="F4" s="7" t="str">
        <x:v>amount_due</x:v>
      </x:c>
      <x:c r="G4" s="7" t="str">
        <x:v>amount_paid</x:v>
      </x:c>
      <x:c r="H4" s="7" t="str">
        <x:v>due_date</x:v>
      </x:c>
      <x:c r="I4" s="7" t="str">
        <x:v>paid_date</x:v>
      </x:c>
      <x:c r="J4" s="7" t="str">
        <x:v>balance</x:v>
      </x:c>
      <x:c r="K4" s="7" t="str">
        <x:v>status</x:v>
      </x:c>
    </x:row>
    <x:row r="5" ht="21" customHeight="1">
      <x:c r="A5" s="3" t="str">
        <x:v>2201001</x:v>
      </x:c>
      <x:c r="B5" s="3" t="str">
        <x:v>2024-1</x:v>
      </x:c>
      <x:c r="C5" s="3" t="n">
        <x:v>8</x:v>
      </x:c>
      <x:c r="D5" s="3" t="n">
        <x:v>1050000</x:v>
      </x:c>
      <x:c r="E5" s="3" t="n">
        <x:v>0</x:v>
      </x:c>
      <x:c r="F5" s="3" t="n">
        <x:v>8400000</x:v>
      </x:c>
      <x:c r="G5" s="3" t="n">
        <x:v>8400000</x:v>
      </x:c>
      <x:c r="H5" s="3" t="str">
        <x:v>2024-10-15</x:v>
      </x:c>
      <x:c r="I5" s="3" t="str">
        <x:v>2024-09-26</x:v>
      </x:c>
      <x:c r="J5" s="5" t="n">
        <x:f>F5-G5</x:f>
        <x:v>0</x:v>
      </x:c>
      <x:c r="K5" s="5" t="str">
        <x:f>IF(J5=0,"paid",IF(G5=0,"unpaid","partial"))</x:f>
        <x:v>paid</x:v>
      </x:c>
    </x:row>
    <x:row r="6" ht="21" customHeight="1">
      <x:c r="A6" s="3" t="str">
        <x:v>2201001</x:v>
      </x:c>
      <x:c r="B6" s="3" t="str">
        <x:v>2024-2</x:v>
      </x:c>
      <x:c r="C6" s="3" t="n">
        <x:v>7</x:v>
      </x:c>
      <x:c r="D6" s="3" t="n">
        <x:v>1050000</x:v>
      </x:c>
      <x:c r="E6" s="3" t="n">
        <x:v>0</x:v>
      </x:c>
      <x:c r="F6" s="3" t="n">
        <x:v>7350000</x:v>
      </x:c>
      <x:c r="G6" s="3" t="n">
        <x:v>7350000</x:v>
      </x:c>
      <x:c r="H6" s="3" t="str">
        <x:v>2025-03-15</x:v>
      </x:c>
      <x:c r="I6" s="3" t="str">
        <x:v>2025-03-02</x:v>
      </x:c>
      <x:c r="J6" s="5" t="n">
        <x:f>F6-G6</x:f>
        <x:v>0</x:v>
      </x:c>
      <x:c r="K6" s="5" t="str">
        <x:f>IF(J6=0,"paid",IF(G6=0,"unpaid","partial"))</x:f>
        <x:v>paid</x:v>
      </x:c>
    </x:row>
    <x:row r="7" ht="21" customHeight="1">
      <x:c r="A7" s="3" t="str">
        <x:v>2201001</x:v>
      </x:c>
      <x:c r="B7" s="3" t="str">
        <x:v>2025-1</x:v>
      </x:c>
      <x:c r="C7" s="3" t="n">
        <x:v>3</x:v>
      </x:c>
      <x:c r="D7" s="3" t="n">
        <x:v>1050000</x:v>
      </x:c>
      <x:c r="E7" s="3" t="n">
        <x:v>0</x:v>
      </x:c>
      <x:c r="F7" s="3" t="n">
        <x:v>3150000</x:v>
      </x:c>
      <x:c r="G7" s="3" t="n">
        <x:v>3150000</x:v>
      </x:c>
      <x:c r="H7" s="3" t="str">
        <x:v>2025-10-15</x:v>
      </x:c>
      <x:c r="I7" s="3" t="str">
        <x:v>2025-09-27</x:v>
      </x:c>
      <x:c r="J7" s="5" t="n">
        <x:f>F7-G7</x:f>
        <x:v>0</x:v>
      </x:c>
      <x:c r="K7" s="5" t="str">
        <x:f>IF(J7=0,"paid",IF(G7=0,"unpaid","partial"))</x:f>
        <x:v>paid</x:v>
      </x:c>
    </x:row>
    <x:row r="8" ht="21" customHeight="1">
      <x:c r="A8" s="3" t="str">
        <x:v>2201002</x:v>
      </x:c>
      <x:c r="B8" s="3" t="str">
        <x:v>2024-1</x:v>
      </x:c>
      <x:c r="C8" s="3" t="n">
        <x:v>8</x:v>
      </x:c>
      <x:c r="D8" s="3" t="n">
        <x:v>1050000</x:v>
      </x:c>
      <x:c r="E8" s="3" t="n">
        <x:v>0</x:v>
      </x:c>
      <x:c r="F8" s="3" t="n">
        <x:v>8400000</x:v>
      </x:c>
      <x:c r="G8" s="3" t="n">
        <x:v>0</x:v>
      </x:c>
      <x:c r="H8" s="3" t="str">
        <x:v>2024-10-15</x:v>
      </x:c>
      <x:c r="I8" s="3" t="str"/>
      <x:c r="J8" s="5" t="n">
        <x:f>F8-G8</x:f>
        <x:v>8400000</x:v>
      </x:c>
      <x:c r="K8" s="5" t="str">
        <x:f>IF(J8=0,"paid",IF(G8=0,"unpaid","partial"))</x:f>
        <x:v>unpaid</x:v>
      </x:c>
    </x:row>
    <x:row r="9" ht="21" customHeight="1">
      <x:c r="A9" s="3" t="str">
        <x:v>2201002</x:v>
      </x:c>
      <x:c r="B9" s="3" t="str">
        <x:v>2024-2</x:v>
      </x:c>
      <x:c r="C9" s="3" t="n">
        <x:v>7</x:v>
      </x:c>
      <x:c r="D9" s="3" t="n">
        <x:v>1050000</x:v>
      </x:c>
      <x:c r="E9" s="3" t="n">
        <x:v>0</x:v>
      </x:c>
      <x:c r="F9" s="3" t="n">
        <x:v>7350000</x:v>
      </x:c>
      <x:c r="G9" s="3" t="n">
        <x:v>7350000</x:v>
      </x:c>
      <x:c r="H9" s="3" t="str">
        <x:v>2025-03-15</x:v>
      </x:c>
      <x:c r="I9" s="3" t="str">
        <x:v>2025-02-28</x:v>
      </x:c>
      <x:c r="J9" s="5" t="n">
        <x:f>F9-G9</x:f>
        <x:v>0</x:v>
      </x:c>
      <x:c r="K9" s="5" t="str">
        <x:f>IF(J9=0,"paid",IF(G9=0,"unpaid","partial"))</x:f>
        <x:v>paid</x:v>
      </x:c>
    </x:row>
    <x:row r="10" ht="21" customHeight="1">
      <x:c r="A10" s="3" t="str">
        <x:v>2201002</x:v>
      </x:c>
      <x:c r="B10" s="3" t="str">
        <x:v>2025-1</x:v>
      </x:c>
      <x:c r="C10" s="3" t="n">
        <x:v>3</x:v>
      </x:c>
      <x:c r="D10" s="3" t="n">
        <x:v>1050000</x:v>
      </x:c>
      <x:c r="E10" s="3" t="n">
        <x:v>0</x:v>
      </x:c>
      <x:c r="F10" s="3" t="n">
        <x:v>3150000</x:v>
      </x:c>
      <x:c r="G10" s="3" t="n">
        <x:v>3150000</x:v>
      </x:c>
      <x:c r="H10" s="3" t="str">
        <x:v>2025-10-15</x:v>
      </x:c>
      <x:c r="I10" s="3" t="str">
        <x:v>2025-10-11</x:v>
      </x:c>
      <x:c r="J10" s="5" t="n">
        <x:f>F10-G10</x:f>
        <x:v>0</x:v>
      </x:c>
      <x:c r="K10" s="5" t="str">
        <x:f>IF(J10=0,"paid",IF(G10=0,"unpaid","partial"))</x:f>
        <x:v>paid</x:v>
      </x:c>
    </x:row>
    <x:row r="11" ht="21" customHeight="1">
      <x:c r="A11" s="3" t="str">
        <x:v>2201003</x:v>
      </x:c>
      <x:c r="B11" s="3" t="str">
        <x:v>2024-1</x:v>
      </x:c>
      <x:c r="C11" s="3" t="n">
        <x:v>8</x:v>
      </x:c>
      <x:c r="D11" s="3" t="n">
        <x:v>1050000</x:v>
      </x:c>
      <x:c r="E11" s="3" t="n">
        <x:v>20</x:v>
      </x:c>
      <x:c r="F11" s="3" t="n">
        <x:v>6720000</x:v>
      </x:c>
      <x:c r="G11" s="3" t="n">
        <x:v>6720000</x:v>
      </x:c>
      <x:c r="H11" s="3" t="str">
        <x:v>2024-10-15</x:v>
      </x:c>
      <x:c r="I11" s="3" t="str">
        <x:v>2024-10-12</x:v>
      </x:c>
      <x:c r="J11" s="5" t="n">
        <x:f>F11-G11</x:f>
        <x:v>0</x:v>
      </x:c>
      <x:c r="K11" s="5" t="str">
        <x:f>IF(J11=0,"paid",IF(G11=0,"unpaid","partial"))</x:f>
        <x:v>paid</x:v>
      </x:c>
    </x:row>
    <x:row r="12" ht="21" customHeight="1">
      <x:c r="A12" s="3" t="str">
        <x:v>2201003</x:v>
      </x:c>
      <x:c r="B12" s="3" t="str">
        <x:v>2024-2</x:v>
      </x:c>
      <x:c r="C12" s="3" t="n">
        <x:v>7</x:v>
      </x:c>
      <x:c r="D12" s="3" t="n">
        <x:v>1050000</x:v>
      </x:c>
      <x:c r="E12" s="3" t="n">
        <x:v>0</x:v>
      </x:c>
      <x:c r="F12" s="3" t="n">
        <x:v>7350000</x:v>
      </x:c>
      <x:c r="G12" s="3" t="n">
        <x:v>7350000</x:v>
      </x:c>
      <x:c r="H12" s="3" t="str">
        <x:v>2025-03-15</x:v>
      </x:c>
      <x:c r="I12" s="3" t="str">
        <x:v>2025-03-04</x:v>
      </x:c>
      <x:c r="J12" s="5" t="n">
        <x:f>F12-G12</x:f>
        <x:v>0</x:v>
      </x:c>
      <x:c r="K12" s="5" t="str">
        <x:f>IF(J12=0,"paid",IF(G12=0,"unpaid","partial"))</x:f>
        <x:v>paid</x:v>
      </x:c>
    </x:row>
    <x:row r="13" ht="21" customHeight="1">
      <x:c r="A13" s="3" t="str">
        <x:v>2201003</x:v>
      </x:c>
      <x:c r="B13" s="3" t="str">
        <x:v>2025-1</x:v>
      </x:c>
      <x:c r="C13" s="3" t="n">
        <x:v>3</x:v>
      </x:c>
      <x:c r="D13" s="3" t="n">
        <x:v>1050000</x:v>
      </x:c>
      <x:c r="E13" s="3" t="n">
        <x:v>0</x:v>
      </x:c>
      <x:c r="F13" s="3" t="n">
        <x:v>3150000</x:v>
      </x:c>
      <x:c r="G13" s="3" t="n">
        <x:v>0</x:v>
      </x:c>
      <x:c r="H13" s="3" t="str">
        <x:v>2025-10-15</x:v>
      </x:c>
      <x:c r="I13" s="3" t="str"/>
      <x:c r="J13" s="5" t="n">
        <x:f>F13-G13</x:f>
        <x:v>3150000</x:v>
      </x:c>
      <x:c r="K13" s="5" t="str">
        <x:f>IF(J13=0,"paid",IF(G13=0,"unpaid","partial"))</x:f>
        <x:v>unpaid</x:v>
      </x:c>
    </x:row>
    <x:row r="14" ht="21" customHeight="1">
      <x:c r="A14" s="3" t="str">
        <x:v>2201004</x:v>
      </x:c>
      <x:c r="B14" s="3" t="str">
        <x:v>2024-1</x:v>
      </x:c>
      <x:c r="C14" s="3" t="n">
        <x:v>8</x:v>
      </x:c>
      <x:c r="D14" s="3" t="n">
        <x:v>1050000</x:v>
      </x:c>
      <x:c r="E14" s="3" t="n">
        <x:v>10</x:v>
      </x:c>
      <x:c r="F14" s="3" t="n">
        <x:v>7560000</x:v>
      </x:c>
      <x:c r="G14" s="3" t="n">
        <x:v>7560000</x:v>
      </x:c>
      <x:c r="H14" s="3" t="str">
        <x:v>2024-10-15</x:v>
      </x:c>
      <x:c r="I14" s="3" t="str">
        <x:v>2024-10-14</x:v>
      </x:c>
      <x:c r="J14" s="5" t="n">
        <x:f>F14-G14</x:f>
        <x:v>0</x:v>
      </x:c>
      <x:c r="K14" s="5" t="str">
        <x:f>IF(J14=0,"paid",IF(G14=0,"unpaid","partial"))</x:f>
        <x:v>paid</x:v>
      </x:c>
    </x:row>
    <x:row r="15" ht="21" customHeight="1">
      <x:c r="A15" s="3" t="str">
        <x:v>2201004</x:v>
      </x:c>
      <x:c r="B15" s="3" t="str">
        <x:v>2024-2</x:v>
      </x:c>
      <x:c r="C15" s="3" t="n">
        <x:v>7</x:v>
      </x:c>
      <x:c r="D15" s="3" t="n">
        <x:v>1050000</x:v>
      </x:c>
      <x:c r="E15" s="3" t="n">
        <x:v>0</x:v>
      </x:c>
      <x:c r="F15" s="3" t="n">
        <x:v>7350000</x:v>
      </x:c>
      <x:c r="G15" s="3" t="n">
        <x:v>7350000</x:v>
      </x:c>
      <x:c r="H15" s="3" t="str">
        <x:v>2025-03-15</x:v>
      </x:c>
      <x:c r="I15" s="3" t="str">
        <x:v>2025-03-13</x:v>
      </x:c>
      <x:c r="J15" s="5" t="n">
        <x:f>F15-G15</x:f>
        <x:v>0</x:v>
      </x:c>
      <x:c r="K15" s="5" t="str">
        <x:f>IF(J15=0,"paid",IF(G15=0,"unpaid","partial"))</x:f>
        <x:v>paid</x:v>
      </x:c>
    </x:row>
    <x:row r="16" ht="21" customHeight="1">
      <x:c r="A16" s="3" t="str">
        <x:v>2201004</x:v>
      </x:c>
      <x:c r="B16" s="3" t="str">
        <x:v>2025-1</x:v>
      </x:c>
      <x:c r="C16" s="3" t="n">
        <x:v>3</x:v>
      </x:c>
      <x:c r="D16" s="3" t="n">
        <x:v>1050000</x:v>
      </x:c>
      <x:c r="E16" s="3" t="n">
        <x:v>20</x:v>
      </x:c>
      <x:c r="F16" s="3" t="n">
        <x:v>2520000</x:v>
      </x:c>
      <x:c r="G16" s="3" t="n">
        <x:v>2520000</x:v>
      </x:c>
      <x:c r="H16" s="3" t="str">
        <x:v>2025-10-15</x:v>
      </x:c>
      <x:c r="I16" s="3" t="str">
        <x:v>2025-09-27</x:v>
      </x:c>
      <x:c r="J16" s="5" t="n">
        <x:f>F16-G16</x:f>
        <x:v>0</x:v>
      </x:c>
      <x:c r="K16" s="5" t="str">
        <x:f>IF(J16=0,"paid",IF(G16=0,"unpaid","partial"))</x:f>
        <x:v>paid</x:v>
      </x:c>
    </x:row>
    <x:row r="17" ht="21" customHeight="1">
      <x:c r="A17" s="3" t="str">
        <x:v>2201005</x:v>
      </x:c>
      <x:c r="B17" s="3" t="str">
        <x:v>2024-1</x:v>
      </x:c>
      <x:c r="C17" s="3" t="n">
        <x:v>8</x:v>
      </x:c>
      <x:c r="D17" s="3" t="n">
        <x:v>1050000</x:v>
      </x:c>
      <x:c r="E17" s="3" t="n">
        <x:v>0</x:v>
      </x:c>
      <x:c r="F17" s="3" t="n">
        <x:v>8400000</x:v>
      </x:c>
      <x:c r="G17" s="3" t="n">
        <x:v>8400000</x:v>
      </x:c>
      <x:c r="H17" s="3" t="str">
        <x:v>2024-10-15</x:v>
      </x:c>
      <x:c r="I17" s="3" t="str">
        <x:v>2024-10-26</x:v>
      </x:c>
      <x:c r="J17" s="5" t="n">
        <x:f>F17-G17</x:f>
        <x:v>0</x:v>
      </x:c>
      <x:c r="K17" s="5" t="str">
        <x:f>IF(J17=0,"paid",IF(G17=0,"unpaid","partial"))</x:f>
        <x:v>paid</x:v>
      </x:c>
    </x:row>
    <x:row r="18" ht="21" customHeight="1">
      <x:c r="A18" s="3" t="str">
        <x:v>2201005</x:v>
      </x:c>
      <x:c r="B18" s="3" t="str">
        <x:v>2024-2</x:v>
      </x:c>
      <x:c r="C18" s="3" t="n">
        <x:v>7</x:v>
      </x:c>
      <x:c r="D18" s="3" t="n">
        <x:v>1050000</x:v>
      </x:c>
      <x:c r="E18" s="3" t="n">
        <x:v>0</x:v>
      </x:c>
      <x:c r="F18" s="3" t="n">
        <x:v>7350000</x:v>
      </x:c>
      <x:c r="G18" s="3" t="n">
        <x:v>7350000</x:v>
      </x:c>
      <x:c r="H18" s="3" t="str">
        <x:v>2025-03-15</x:v>
      </x:c>
      <x:c r="I18" s="3" t="str">
        <x:v>2025-03-12</x:v>
      </x:c>
      <x:c r="J18" s="5" t="n">
        <x:f>F18-G18</x:f>
        <x:v>0</x:v>
      </x:c>
      <x:c r="K18" s="5" t="str">
        <x:f>IF(J18=0,"paid",IF(G18=0,"unpaid","partial"))</x:f>
        <x:v>paid</x:v>
      </x:c>
    </x:row>
    <x:row r="19" ht="21" customHeight="1">
      <x:c r="A19" s="3" t="str">
        <x:v>2201005</x:v>
      </x:c>
      <x:c r="B19" s="3" t="str">
        <x:v>2025-1</x:v>
      </x:c>
      <x:c r="C19" s="3" t="n">
        <x:v>6</x:v>
      </x:c>
      <x:c r="D19" s="3" t="n">
        <x:v>1050000</x:v>
      </x:c>
      <x:c r="E19" s="3" t="n">
        <x:v>0</x:v>
      </x:c>
      <x:c r="F19" s="3" t="n">
        <x:v>6300000</x:v>
      </x:c>
      <x:c r="G19" s="3" t="n">
        <x:v>0</x:v>
      </x:c>
      <x:c r="H19" s="3" t="str">
        <x:v>2025-10-15</x:v>
      </x:c>
      <x:c r="I19" s="3" t="str"/>
      <x:c r="J19" s="5" t="n">
        <x:f>F19-G19</x:f>
        <x:v>6300000</x:v>
      </x:c>
      <x:c r="K19" s="5" t="str">
        <x:f>IF(J19=0,"paid",IF(G19=0,"unpaid","partial"))</x:f>
        <x:v>unpaid</x:v>
      </x:c>
    </x:row>
    <x:row r="20" ht="21" customHeight="1">
      <x:c r="A20" s="3" t="str">
        <x:v>2201006</x:v>
      </x:c>
      <x:c r="B20" s="3" t="str">
        <x:v>2024-1</x:v>
      </x:c>
      <x:c r="C20" s="3" t="n">
        <x:v>8</x:v>
      </x:c>
      <x:c r="D20" s="3" t="n">
        <x:v>1050000</x:v>
      </x:c>
      <x:c r="E20" s="3" t="n">
        <x:v>0</x:v>
      </x:c>
      <x:c r="F20" s="3" t="n">
        <x:v>8400000</x:v>
      </x:c>
      <x:c r="G20" s="3" t="n">
        <x:v>8400000</x:v>
      </x:c>
      <x:c r="H20" s="3" t="str">
        <x:v>2024-10-15</x:v>
      </x:c>
      <x:c r="I20" s="3" t="str">
        <x:v>2024-09-29</x:v>
      </x:c>
      <x:c r="J20" s="5" t="n">
        <x:f>F20-G20</x:f>
        <x:v>0</x:v>
      </x:c>
      <x:c r="K20" s="5" t="str">
        <x:f>IF(J20=0,"paid",IF(G20=0,"unpaid","partial"))</x:f>
        <x:v>paid</x:v>
      </x:c>
    </x:row>
    <x:row r="21" ht="21" customHeight="1">
      <x:c r="A21" s="3" t="str">
        <x:v>2201006</x:v>
      </x:c>
      <x:c r="B21" s="3" t="str">
        <x:v>2024-2</x:v>
      </x:c>
      <x:c r="C21" s="3" t="n">
        <x:v>7</x:v>
      </x:c>
      <x:c r="D21" s="3" t="n">
        <x:v>1050000</x:v>
      </x:c>
      <x:c r="E21" s="3" t="n">
        <x:v>10</x:v>
      </x:c>
      <x:c r="F21" s="3" t="n">
        <x:v>6615000</x:v>
      </x:c>
      <x:c r="G21" s="3" t="n">
        <x:v>6615000</x:v>
      </x:c>
      <x:c r="H21" s="3" t="str">
        <x:v>2025-03-15</x:v>
      </x:c>
      <x:c r="I21" s="3" t="str">
        <x:v>2025-03-13</x:v>
      </x:c>
      <x:c r="J21" s="5" t="n">
        <x:f>F21-G21</x:f>
        <x:v>0</x:v>
      </x:c>
      <x:c r="K21" s="5" t="str">
        <x:f>IF(J21=0,"paid",IF(G21=0,"unpaid","partial"))</x:f>
        <x:v>paid</x:v>
      </x:c>
    </x:row>
    <x:row r="22" ht="21" customHeight="1">
      <x:c r="A22" s="3" t="str">
        <x:v>2201006</x:v>
      </x:c>
      <x:c r="B22" s="3" t="str">
        <x:v>2025-1</x:v>
      </x:c>
      <x:c r="C22" s="3" t="n">
        <x:v>3</x:v>
      </x:c>
      <x:c r="D22" s="3" t="n">
        <x:v>1050000</x:v>
      </x:c>
      <x:c r="E22" s="3" t="n">
        <x:v>0</x:v>
      </x:c>
      <x:c r="F22" s="3" t="n">
        <x:v>3150000</x:v>
      </x:c>
      <x:c r="G22" s="3" t="n">
        <x:v>1359000</x:v>
      </x:c>
      <x:c r="H22" s="3" t="str">
        <x:v>2025-10-15</x:v>
      </x:c>
      <x:c r="I22" s="3" t="str">
        <x:v>2025-10-15</x:v>
      </x:c>
      <x:c r="J22" s="5" t="n">
        <x:f>F22-G22</x:f>
        <x:v>1791000</x:v>
      </x:c>
      <x:c r="K22" s="5" t="str">
        <x:f>IF(J22=0,"paid",IF(G22=0,"unpaid","partial"))</x:f>
        <x:v>partial</x:v>
      </x:c>
    </x:row>
    <x:row r="23" ht="21" customHeight="1">
      <x:c r="A23" s="3" t="str">
        <x:v>2201007</x:v>
      </x:c>
      <x:c r="B23" s="3" t="str">
        <x:v>2024-1</x:v>
      </x:c>
      <x:c r="C23" s="3" t="n">
        <x:v>8</x:v>
      </x:c>
      <x:c r="D23" s="3" t="n">
        <x:v>1050000</x:v>
      </x:c>
      <x:c r="E23" s="3" t="n">
        <x:v>0</x:v>
      </x:c>
      <x:c r="F23" s="3" t="n">
        <x:v>8400000</x:v>
      </x:c>
      <x:c r="G23" s="3" t="n">
        <x:v>8400000</x:v>
      </x:c>
      <x:c r="H23" s="3" t="str">
        <x:v>2024-10-15</x:v>
      </x:c>
      <x:c r="I23" s="3" t="str">
        <x:v>2024-10-14</x:v>
      </x:c>
      <x:c r="J23" s="5" t="n">
        <x:f>F23-G23</x:f>
        <x:v>0</x:v>
      </x:c>
      <x:c r="K23" s="5" t="str">
        <x:f>IF(J23=0,"paid",IF(G23=0,"unpaid","partial"))</x:f>
        <x:v>paid</x:v>
      </x:c>
    </x:row>
    <x:row r="24" ht="21" customHeight="1">
      <x:c r="A24" s="3" t="str">
        <x:v>2201007</x:v>
      </x:c>
      <x:c r="B24" s="3" t="str">
        <x:v>2024-2</x:v>
      </x:c>
      <x:c r="C24" s="3" t="n">
        <x:v>7</x:v>
      </x:c>
      <x:c r="D24" s="3" t="n">
        <x:v>1050000</x:v>
      </x:c>
      <x:c r="E24" s="3" t="n">
        <x:v>0</x:v>
      </x:c>
      <x:c r="F24" s="3" t="n">
        <x:v>7350000</x:v>
      </x:c>
      <x:c r="G24" s="3" t="n">
        <x:v>7350000</x:v>
      </x:c>
      <x:c r="H24" s="3" t="str">
        <x:v>2025-03-15</x:v>
      </x:c>
      <x:c r="I24" s="3" t="str">
        <x:v>2025-03-09</x:v>
      </x:c>
      <x:c r="J24" s="5" t="n">
        <x:f>F24-G24</x:f>
        <x:v>0</x:v>
      </x:c>
      <x:c r="K24" s="5" t="str">
        <x:f>IF(J24=0,"paid",IF(G24=0,"unpaid","partial"))</x:f>
        <x:v>paid</x:v>
      </x:c>
    </x:row>
    <x:row r="25" ht="21" customHeight="1">
      <x:c r="A25" s="3" t="str">
        <x:v>2201007</x:v>
      </x:c>
      <x:c r="B25" s="3" t="str">
        <x:v>2025-1</x:v>
      </x:c>
      <x:c r="C25" s="3" t="n">
        <x:v>3</x:v>
      </x:c>
      <x:c r="D25" s="3" t="n">
        <x:v>1050000</x:v>
      </x:c>
      <x:c r="E25" s="3" t="n">
        <x:v>0</x:v>
      </x:c>
      <x:c r="F25" s="3" t="n">
        <x:v>3150000</x:v>
      </x:c>
      <x:c r="G25" s="3" t="n">
        <x:v>0</x:v>
      </x:c>
      <x:c r="H25" s="3" t="str">
        <x:v>2025-10-15</x:v>
      </x:c>
      <x:c r="I25" s="3" t="str"/>
      <x:c r="J25" s="5" t="n">
        <x:f>F25-G25</x:f>
        <x:v>3150000</x:v>
      </x:c>
      <x:c r="K25" s="5" t="str">
        <x:f>IF(J25=0,"paid",IF(G25=0,"unpaid","partial"))</x:f>
        <x:v>unpaid</x:v>
      </x:c>
    </x:row>
    <x:row r="26" ht="21" customHeight="1">
      <x:c r="A26" s="3" t="str">
        <x:v>2201008</x:v>
      </x:c>
      <x:c r="B26" s="3" t="str">
        <x:v>2024-1</x:v>
      </x:c>
      <x:c r="C26" s="3" t="n">
        <x:v>8</x:v>
      </x:c>
      <x:c r="D26" s="3" t="n">
        <x:v>1050000</x:v>
      </x:c>
      <x:c r="E26" s="3" t="n">
        <x:v>20</x:v>
      </x:c>
      <x:c r="F26" s="3" t="n">
        <x:v>6720000</x:v>
      </x:c>
      <x:c r="G26" s="3" t="n">
        <x:v>6720000</x:v>
      </x:c>
      <x:c r="H26" s="3" t="str">
        <x:v>2024-10-15</x:v>
      </x:c>
      <x:c r="I26" s="3" t="str">
        <x:v>2024-10-08</x:v>
      </x:c>
      <x:c r="J26" s="5" t="n">
        <x:f>F26-G26</x:f>
        <x:v>0</x:v>
      </x:c>
      <x:c r="K26" s="5" t="str">
        <x:f>IF(J26=0,"paid",IF(G26=0,"unpaid","partial"))</x:f>
        <x:v>paid</x:v>
      </x:c>
    </x:row>
    <x:row r="27" ht="21" customHeight="1">
      <x:c r="A27" s="3" t="str">
        <x:v>2201008</x:v>
      </x:c>
      <x:c r="B27" s="3" t="str">
        <x:v>2024-2</x:v>
      </x:c>
      <x:c r="C27" s="3" t="n">
        <x:v>7</x:v>
      </x:c>
      <x:c r="D27" s="3" t="n">
        <x:v>1050000</x:v>
      </x:c>
      <x:c r="E27" s="3" t="n">
        <x:v>0</x:v>
      </x:c>
      <x:c r="F27" s="3" t="n">
        <x:v>7350000</x:v>
      </x:c>
      <x:c r="G27" s="3" t="n">
        <x:v>7350000</x:v>
      </x:c>
      <x:c r="H27" s="3" t="str">
        <x:v>2025-03-15</x:v>
      </x:c>
      <x:c r="I27" s="3" t="str">
        <x:v>2025-03-23</x:v>
      </x:c>
      <x:c r="J27" s="5" t="n">
        <x:f>F27-G27</x:f>
        <x:v>0</x:v>
      </x:c>
      <x:c r="K27" s="5" t="str">
        <x:f>IF(J27=0,"paid",IF(G27=0,"unpaid","partial"))</x:f>
        <x:v>paid</x:v>
      </x:c>
    </x:row>
    <x:row r="28" ht="21" customHeight="1">
      <x:c r="A28" s="3" t="str">
        <x:v>2201008</x:v>
      </x:c>
      <x:c r="B28" s="3" t="str">
        <x:v>2025-1</x:v>
      </x:c>
      <x:c r="C28" s="3" t="n">
        <x:v>3</x:v>
      </x:c>
      <x:c r="D28" s="3" t="n">
        <x:v>1050000</x:v>
      </x:c>
      <x:c r="E28" s="3" t="n">
        <x:v>0</x:v>
      </x:c>
      <x:c r="F28" s="3" t="n">
        <x:v>3150000</x:v>
      </x:c>
      <x:c r="G28" s="3" t="n">
        <x:v>3150000</x:v>
      </x:c>
      <x:c r="H28" s="3" t="str">
        <x:v>2025-10-15</x:v>
      </x:c>
      <x:c r="I28" s="3" t="str">
        <x:v>2025-10-03</x:v>
      </x:c>
      <x:c r="J28" s="5" t="n">
        <x:f>F28-G28</x:f>
        <x:v>0</x:v>
      </x:c>
      <x:c r="K28" s="5" t="str">
        <x:f>IF(J28=0,"paid",IF(G28=0,"unpaid","partial"))</x:f>
        <x:v>paid</x:v>
      </x:c>
    </x:row>
    <x:row r="29" ht="21" customHeight="1">
      <x:c r="A29" s="3" t="str">
        <x:v>2201009</x:v>
      </x:c>
      <x:c r="B29" s="3" t="str">
        <x:v>2024-1</x:v>
      </x:c>
      <x:c r="C29" s="3" t="n">
        <x:v>8</x:v>
      </x:c>
      <x:c r="D29" s="3" t="n">
        <x:v>1050000</x:v>
      </x:c>
      <x:c r="E29" s="3" t="n">
        <x:v>0</x:v>
      </x:c>
      <x:c r="F29" s="3" t="n">
        <x:v>8400000</x:v>
      </x:c>
      <x:c r="G29" s="3" t="n">
        <x:v>0</x:v>
      </x:c>
      <x:c r="H29" s="3" t="str">
        <x:v>2024-10-15</x:v>
      </x:c>
      <x:c r="I29" s="3" t="str"/>
      <x:c r="J29" s="5" t="n">
        <x:f>F29-G29</x:f>
        <x:v>8400000</x:v>
      </x:c>
      <x:c r="K29" s="5" t="str">
        <x:f>IF(J29=0,"paid",IF(G29=0,"unpaid","partial"))</x:f>
        <x:v>unpaid</x:v>
      </x:c>
    </x:row>
    <x:row r="30" ht="21" customHeight="1">
      <x:c r="A30" s="3" t="str">
        <x:v>2201009</x:v>
      </x:c>
      <x:c r="B30" s="3" t="str">
        <x:v>2024-2</x:v>
      </x:c>
      <x:c r="C30" s="3" t="n">
        <x:v>7</x:v>
      </x:c>
      <x:c r="D30" s="3" t="n">
        <x:v>1050000</x:v>
      </x:c>
      <x:c r="E30" s="3" t="n">
        <x:v>0</x:v>
      </x:c>
      <x:c r="F30" s="3" t="n">
        <x:v>7350000</x:v>
      </x:c>
      <x:c r="G30" s="3" t="n">
        <x:v>7350000</x:v>
      </x:c>
      <x:c r="H30" s="3" t="str">
        <x:v>2025-03-15</x:v>
      </x:c>
      <x:c r="I30" s="3" t="str">
        <x:v>2025-03-04</x:v>
      </x:c>
      <x:c r="J30" s="5" t="n">
        <x:f>F30-G30</x:f>
        <x:v>0</x:v>
      </x:c>
      <x:c r="K30" s="5" t="str">
        <x:f>IF(J30=0,"paid",IF(G30=0,"unpaid","partial"))</x:f>
        <x:v>paid</x:v>
      </x:c>
    </x:row>
    <x:row r="31" ht="21" customHeight="1">
      <x:c r="A31" s="3" t="str">
        <x:v>2201009</x:v>
      </x:c>
      <x:c r="B31" s="3" t="str">
        <x:v>2025-1</x:v>
      </x:c>
      <x:c r="C31" s="3" t="n">
        <x:v>3</x:v>
      </x:c>
      <x:c r="D31" s="3" t="n">
        <x:v>1050000</x:v>
      </x:c>
      <x:c r="E31" s="3" t="n">
        <x:v>0</x:v>
      </x:c>
      <x:c r="F31" s="3" t="n">
        <x:v>3150000</x:v>
      </x:c>
      <x:c r="G31" s="3" t="n">
        <x:v>1664000</x:v>
      </x:c>
      <x:c r="H31" s="3" t="str">
        <x:v>2025-10-15</x:v>
      </x:c>
      <x:c r="I31" s="3" t="str">
        <x:v>2025-10-08</x:v>
      </x:c>
      <x:c r="J31" s="5" t="n">
        <x:f>F31-G31</x:f>
        <x:v>1486000</x:v>
      </x:c>
      <x:c r="K31" s="5" t="str">
        <x:f>IF(J31=0,"paid",IF(G31=0,"unpaid","partial"))</x:f>
        <x:v>partial</x:v>
      </x:c>
    </x:row>
    <x:row r="32" ht="21" customHeight="1">
      <x:c r="A32" s="3" t="str">
        <x:v>2201010</x:v>
      </x:c>
      <x:c r="B32" s="3" t="str">
        <x:v>2024-1</x:v>
      </x:c>
      <x:c r="C32" s="3" t="n">
        <x:v>8</x:v>
      </x:c>
      <x:c r="D32" s="3" t="n">
        <x:v>1050000</x:v>
      </x:c>
      <x:c r="E32" s="3" t="n">
        <x:v>10</x:v>
      </x:c>
      <x:c r="F32" s="3" t="n">
        <x:v>7560000</x:v>
      </x:c>
      <x:c r="G32" s="3" t="n">
        <x:v>7560000</x:v>
      </x:c>
      <x:c r="H32" s="3" t="str">
        <x:v>2024-10-15</x:v>
      </x:c>
      <x:c r="I32" s="3" t="str">
        <x:v>2024-10-09</x:v>
      </x:c>
      <x:c r="J32" s="5" t="n">
        <x:f>F32-G32</x:f>
        <x:v>0</x:v>
      </x:c>
      <x:c r="K32" s="5" t="str">
        <x:f>IF(J32=0,"paid",IF(G32=0,"unpaid","partial"))</x:f>
        <x:v>paid</x:v>
      </x:c>
    </x:row>
    <x:row r="33" ht="21" customHeight="1">
      <x:c r="A33" s="3" t="str">
        <x:v>2201010</x:v>
      </x:c>
      <x:c r="B33" s="3" t="str">
        <x:v>2024-2</x:v>
      </x:c>
      <x:c r="C33" s="3" t="n">
        <x:v>7</x:v>
      </x:c>
      <x:c r="D33" s="3" t="n">
        <x:v>1050000</x:v>
      </x:c>
      <x:c r="E33" s="3" t="n">
        <x:v>0</x:v>
      </x:c>
      <x:c r="F33" s="3" t="n">
        <x:v>7350000</x:v>
      </x:c>
      <x:c r="G33" s="3" t="n">
        <x:v>7350000</x:v>
      </x:c>
      <x:c r="H33" s="3" t="str">
        <x:v>2025-03-15</x:v>
      </x:c>
      <x:c r="I33" s="3" t="str">
        <x:v>2025-04-13</x:v>
      </x:c>
      <x:c r="J33" s="5" t="n">
        <x:f>F33-G33</x:f>
        <x:v>0</x:v>
      </x:c>
      <x:c r="K33" s="5" t="str">
        <x:f>IF(J33=0,"paid",IF(G33=0,"unpaid","partial"))</x:f>
        <x:v>paid</x:v>
      </x:c>
    </x:row>
    <x:row r="34" ht="21" customHeight="1">
      <x:c r="A34" s="3" t="str">
        <x:v>2201010</x:v>
      </x:c>
      <x:c r="B34" s="3" t="str">
        <x:v>2025-1</x:v>
      </x:c>
      <x:c r="C34" s="3" t="n">
        <x:v>15</x:v>
      </x:c>
      <x:c r="D34" s="3" t="n">
        <x:v>1050000</x:v>
      </x:c>
      <x:c r="E34" s="3" t="n">
        <x:v>0</x:v>
      </x:c>
      <x:c r="F34" s="3" t="n">
        <x:v>15750000</x:v>
      </x:c>
      <x:c r="G34" s="3" t="n">
        <x:v>15750000</x:v>
      </x:c>
      <x:c r="H34" s="3" t="str">
        <x:v>2025-10-15</x:v>
      </x:c>
      <x:c r="I34" s="3" t="str">
        <x:v>2025-10-01</x:v>
      </x:c>
      <x:c r="J34" s="5" t="n">
        <x:f>F34-G34</x:f>
        <x:v>0</x:v>
      </x:c>
      <x:c r="K34" s="5" t="str">
        <x:f>IF(J34=0,"paid",IF(G34=0,"unpaid","partial"))</x:f>
        <x:v>paid</x:v>
      </x:c>
    </x:row>
    <x:row r="35" ht="21" customHeight="1">
      <x:c r="A35" s="3" t="str">
        <x:v>2201011</x:v>
      </x:c>
      <x:c r="B35" s="3" t="str">
        <x:v>2024-1</x:v>
      </x:c>
      <x:c r="C35" s="3" t="n">
        <x:v>8</x:v>
      </x:c>
      <x:c r="D35" s="3" t="n">
        <x:v>1050000</x:v>
      </x:c>
      <x:c r="E35" s="3" t="n">
        <x:v>0</x:v>
      </x:c>
      <x:c r="F35" s="3" t="n">
        <x:v>8400000</x:v>
      </x:c>
      <x:c r="G35" s="3" t="n">
        <x:v>8400000</x:v>
      </x:c>
      <x:c r="H35" s="3" t="str">
        <x:v>2024-10-15</x:v>
      </x:c>
      <x:c r="I35" s="3" t="str">
        <x:v>2024-10-13</x:v>
      </x:c>
      <x:c r="J35" s="5" t="n">
        <x:f>F35-G35</x:f>
        <x:v>0</x:v>
      </x:c>
      <x:c r="K35" s="5" t="str">
        <x:f>IF(J35=0,"paid",IF(G35=0,"unpaid","partial"))</x:f>
        <x:v>paid</x:v>
      </x:c>
    </x:row>
    <x:row r="36" ht="21" customHeight="1">
      <x:c r="A36" s="3" t="str">
        <x:v>2201011</x:v>
      </x:c>
      <x:c r="B36" s="3" t="str">
        <x:v>2024-2</x:v>
      </x:c>
      <x:c r="C36" s="3" t="n">
        <x:v>7</x:v>
      </x:c>
      <x:c r="D36" s="3" t="n">
        <x:v>1050000</x:v>
      </x:c>
      <x:c r="E36" s="3" t="n">
        <x:v>0</x:v>
      </x:c>
      <x:c r="F36" s="3" t="n">
        <x:v>7350000</x:v>
      </x:c>
      <x:c r="G36" s="3" t="n">
        <x:v>7350000</x:v>
      </x:c>
      <x:c r="H36" s="3" t="str">
        <x:v>2025-03-15</x:v>
      </x:c>
      <x:c r="I36" s="3" t="str">
        <x:v>2025-02-26</x:v>
      </x:c>
      <x:c r="J36" s="5" t="n">
        <x:f>F36-G36</x:f>
        <x:v>0</x:v>
      </x:c>
      <x:c r="K36" s="5" t="str">
        <x:f>IF(J36=0,"paid",IF(G36=0,"unpaid","partial"))</x:f>
        <x:v>paid</x:v>
      </x:c>
    </x:row>
    <x:row r="37" ht="21" customHeight="1">
      <x:c r="A37" s="3" t="str">
        <x:v>2201011</x:v>
      </x:c>
      <x:c r="B37" s="3" t="str">
        <x:v>2025-1</x:v>
      </x:c>
      <x:c r="C37" s="3" t="n">
        <x:v>3</x:v>
      </x:c>
      <x:c r="D37" s="3" t="n">
        <x:v>1050000</x:v>
      </x:c>
      <x:c r="E37" s="3" t="n">
        <x:v>0</x:v>
      </x:c>
      <x:c r="F37" s="3" t="n">
        <x:v>3150000</x:v>
      </x:c>
      <x:c r="G37" s="3" t="n">
        <x:v>3150000</x:v>
      </x:c>
      <x:c r="H37" s="3" t="str">
        <x:v>2025-10-15</x:v>
      </x:c>
      <x:c r="I37" s="3" t="str">
        <x:v>2025-10-12</x:v>
      </x:c>
      <x:c r="J37" s="5" t="n">
        <x:f>F37-G37</x:f>
        <x:v>0</x:v>
      </x:c>
      <x:c r="K37" s="5" t="str">
        <x:f>IF(J37=0,"paid",IF(G37=0,"unpaid","partial"))</x:f>
        <x:v>paid</x:v>
      </x:c>
    </x:row>
    <x:row r="38" ht="21" customHeight="1">
      <x:c r="A38" s="3" t="str">
        <x:v>2201012</x:v>
      </x:c>
      <x:c r="B38" s="3" t="str">
        <x:v>2024-1</x:v>
      </x:c>
      <x:c r="C38" s="3" t="n">
        <x:v>8</x:v>
      </x:c>
      <x:c r="D38" s="3" t="n">
        <x:v>1050000</x:v>
      </x:c>
      <x:c r="E38" s="3" t="n">
        <x:v>0</x:v>
      </x:c>
      <x:c r="F38" s="3" t="n">
        <x:v>8400000</x:v>
      </x:c>
      <x:c r="G38" s="3" t="n">
        <x:v>8400000</x:v>
      </x:c>
      <x:c r="H38" s="3" t="str">
        <x:v>2024-10-15</x:v>
      </x:c>
      <x:c r="I38" s="3" t="str">
        <x:v>2024-09-29</x:v>
      </x:c>
      <x:c r="J38" s="5" t="n">
        <x:f>F38-G38</x:f>
        <x:v>0</x:v>
      </x:c>
      <x:c r="K38" s="5" t="str">
        <x:f>IF(J38=0,"paid",IF(G38=0,"unpaid","partial"))</x:f>
        <x:v>paid</x:v>
      </x:c>
    </x:row>
    <x:row r="39" ht="21" customHeight="1">
      <x:c r="A39" s="3" t="str">
        <x:v>2201012</x:v>
      </x:c>
      <x:c r="B39" s="3" t="str">
        <x:v>2024-2</x:v>
      </x:c>
      <x:c r="C39" s="3" t="n">
        <x:v>7</x:v>
      </x:c>
      <x:c r="D39" s="3" t="n">
        <x:v>1050000</x:v>
      </x:c>
      <x:c r="E39" s="3" t="n">
        <x:v>0</x:v>
      </x:c>
      <x:c r="F39" s="3" t="n">
        <x:v>7350000</x:v>
      </x:c>
      <x:c r="G39" s="3" t="n">
        <x:v>7350000</x:v>
      </x:c>
      <x:c r="H39" s="3" t="str">
        <x:v>2025-03-15</x:v>
      </x:c>
      <x:c r="I39" s="3" t="str">
        <x:v>2025-03-04</x:v>
      </x:c>
      <x:c r="J39" s="5" t="n">
        <x:f>F39-G39</x:f>
        <x:v>0</x:v>
      </x:c>
      <x:c r="K39" s="5" t="str">
        <x:f>IF(J39=0,"paid",IF(G39=0,"unpaid","partial"))</x:f>
        <x:v>paid</x:v>
      </x:c>
    </x:row>
    <x:row r="40" ht="21" customHeight="1">
      <x:c r="A40" s="3" t="str">
        <x:v>2201012</x:v>
      </x:c>
      <x:c r="B40" s="3" t="str">
        <x:v>2025-1</x:v>
      </x:c>
      <x:c r="C40" s="3" t="n">
        <x:v>3</x:v>
      </x:c>
      <x:c r="D40" s="3" t="n">
        <x:v>1050000</x:v>
      </x:c>
      <x:c r="E40" s="3" t="n">
        <x:v>0</x:v>
      </x:c>
      <x:c r="F40" s="3" t="n">
        <x:v>3150000</x:v>
      </x:c>
      <x:c r="G40" s="3" t="n">
        <x:v>3150000</x:v>
      </x:c>
      <x:c r="H40" s="3" t="str">
        <x:v>2025-10-15</x:v>
      </x:c>
      <x:c r="I40" s="3" t="str">
        <x:v>2025-10-11</x:v>
      </x:c>
      <x:c r="J40" s="5" t="n">
        <x:f>F40-G40</x:f>
        <x:v>0</x:v>
      </x:c>
      <x:c r="K40" s="5" t="str">
        <x:f>IF(J40=0,"paid",IF(G40=0,"unpaid","partial"))</x:f>
        <x:v>paid</x:v>
      </x:c>
    </x:row>
    <x:row r="41" ht="21" customHeight="1">
      <x:c r="A41" s="3" t="str">
        <x:v>2201013</x:v>
      </x:c>
      <x:c r="B41" s="3" t="str">
        <x:v>2024-1</x:v>
      </x:c>
      <x:c r="C41" s="3" t="n">
        <x:v>8</x:v>
      </x:c>
      <x:c r="D41" s="3" t="n">
        <x:v>1050000</x:v>
      </x:c>
      <x:c r="E41" s="3" t="n">
        <x:v>0</x:v>
      </x:c>
      <x:c r="F41" s="3" t="n">
        <x:v>8400000</x:v>
      </x:c>
      <x:c r="G41" s="3" t="n">
        <x:v>8400000</x:v>
      </x:c>
      <x:c r="H41" s="3" t="str">
        <x:v>2024-10-15</x:v>
      </x:c>
      <x:c r="I41" s="3" t="str">
        <x:v>2024-10-02</x:v>
      </x:c>
      <x:c r="J41" s="5" t="n">
        <x:f>F41-G41</x:f>
        <x:v>0</x:v>
      </x:c>
      <x:c r="K41" s="5" t="str">
        <x:f>IF(J41=0,"paid",IF(G41=0,"unpaid","partial"))</x:f>
        <x:v>paid</x:v>
      </x:c>
    </x:row>
    <x:row r="42" ht="21" customHeight="1">
      <x:c r="A42" s="3" t="str">
        <x:v>2201013</x:v>
      </x:c>
      <x:c r="B42" s="3" t="str">
        <x:v>2024-2</x:v>
      </x:c>
      <x:c r="C42" s="3" t="n">
        <x:v>7</x:v>
      </x:c>
      <x:c r="D42" s="3" t="n">
        <x:v>1050000</x:v>
      </x:c>
      <x:c r="E42" s="3" t="n">
        <x:v>20</x:v>
      </x:c>
      <x:c r="F42" s="3" t="n">
        <x:v>5880000</x:v>
      </x:c>
      <x:c r="G42" s="3" t="n">
        <x:v>5880000</x:v>
      </x:c>
      <x:c r="H42" s="3" t="str">
        <x:v>2025-03-15</x:v>
      </x:c>
      <x:c r="I42" s="3" t="str">
        <x:v>2025-03-01</x:v>
      </x:c>
      <x:c r="J42" s="5" t="n">
        <x:f>F42-G42</x:f>
        <x:v>0</x:v>
      </x:c>
      <x:c r="K42" s="5" t="str">
        <x:f>IF(J42=0,"paid",IF(G42=0,"unpaid","partial"))</x:f>
        <x:v>paid</x:v>
      </x:c>
    </x:row>
    <x:row r="43" ht="21" customHeight="1">
      <x:c r="A43" s="3" t="str">
        <x:v>2201013</x:v>
      </x:c>
      <x:c r="B43" s="3" t="str">
        <x:v>2025-1</x:v>
      </x:c>
      <x:c r="C43" s="3" t="n">
        <x:v>3</x:v>
      </x:c>
      <x:c r="D43" s="3" t="n">
        <x:v>1050000</x:v>
      </x:c>
      <x:c r="E43" s="3" t="n">
        <x:v>0</x:v>
      </x:c>
      <x:c r="F43" s="3" t="n">
        <x:v>3150000</x:v>
      </x:c>
      <x:c r="G43" s="3" t="n">
        <x:v>3150000</x:v>
      </x:c>
      <x:c r="H43" s="3" t="str">
        <x:v>2025-10-15</x:v>
      </x:c>
      <x:c r="I43" s="3" t="str">
        <x:v>2025-09-27</x:v>
      </x:c>
      <x:c r="J43" s="5" t="n">
        <x:f>F43-G43</x:f>
        <x:v>0</x:v>
      </x:c>
      <x:c r="K43" s="5" t="str">
        <x:f>IF(J43=0,"paid",IF(G43=0,"unpaid","partial"))</x:f>
        <x:v>paid</x:v>
      </x:c>
    </x:row>
    <x:row r="44" ht="21" customHeight="1">
      <x:c r="A44" s="3" t="str">
        <x:v>2201014</x:v>
      </x:c>
      <x:c r="B44" s="3" t="str">
        <x:v>2024-1</x:v>
      </x:c>
      <x:c r="C44" s="3" t="n">
        <x:v>8</x:v>
      </x:c>
      <x:c r="D44" s="3" t="n">
        <x:v>1050000</x:v>
      </x:c>
      <x:c r="E44" s="3" t="n">
        <x:v>0</x:v>
      </x:c>
      <x:c r="F44" s="3" t="n">
        <x:v>8400000</x:v>
      </x:c>
      <x:c r="G44" s="3" t="n">
        <x:v>8400000</x:v>
      </x:c>
      <x:c r="H44" s="3" t="str">
        <x:v>2024-10-15</x:v>
      </x:c>
      <x:c r="I44" s="3" t="str">
        <x:v>2024-09-26</x:v>
      </x:c>
      <x:c r="J44" s="5" t="n">
        <x:f>F44-G44</x:f>
        <x:v>0</x:v>
      </x:c>
      <x:c r="K44" s="5" t="str">
        <x:f>IF(J44=0,"paid",IF(G44=0,"unpaid","partial"))</x:f>
        <x:v>paid</x:v>
      </x:c>
    </x:row>
    <x:row r="45" ht="21" customHeight="1">
      <x:c r="A45" s="3" t="str">
        <x:v>2201014</x:v>
      </x:c>
      <x:c r="B45" s="3" t="str">
        <x:v>2024-2</x:v>
      </x:c>
      <x:c r="C45" s="3" t="n">
        <x:v>7</x:v>
      </x:c>
      <x:c r="D45" s="3" t="n">
        <x:v>1050000</x:v>
      </x:c>
      <x:c r="E45" s="3" t="n">
        <x:v>0</x:v>
      </x:c>
      <x:c r="F45" s="3" t="n">
        <x:v>7350000</x:v>
      </x:c>
      <x:c r="G45" s="3" t="n">
        <x:v>7350000</x:v>
      </x:c>
      <x:c r="H45" s="3" t="str">
        <x:v>2025-03-15</x:v>
      </x:c>
      <x:c r="I45" s="3" t="str">
        <x:v>2025-02-28</x:v>
      </x:c>
      <x:c r="J45" s="5" t="n">
        <x:f>F45-G45</x:f>
        <x:v>0</x:v>
      </x:c>
      <x:c r="K45" s="5" t="str">
        <x:f>IF(J45=0,"paid",IF(G45=0,"unpaid","partial"))</x:f>
        <x:v>paid</x:v>
      </x:c>
    </x:row>
    <x:row r="46" ht="21" customHeight="1">
      <x:c r="A46" s="3" t="str">
        <x:v>2201014</x:v>
      </x:c>
      <x:c r="B46" s="3" t="str">
        <x:v>2025-1</x:v>
      </x:c>
      <x:c r="C46" s="3" t="n">
        <x:v>3</x:v>
      </x:c>
      <x:c r="D46" s="3" t="n">
        <x:v>1050000</x:v>
      </x:c>
      <x:c r="E46" s="3" t="n">
        <x:v>0</x:v>
      </x:c>
      <x:c r="F46" s="3" t="n">
        <x:v>3150000</x:v>
      </x:c>
      <x:c r="G46" s="3" t="n">
        <x:v>3150000</x:v>
      </x:c>
      <x:c r="H46" s="3" t="str">
        <x:v>2025-10-15</x:v>
      </x:c>
      <x:c r="I46" s="3" t="str">
        <x:v>2025-10-13</x:v>
      </x:c>
      <x:c r="J46" s="5" t="n">
        <x:f>F46-G46</x:f>
        <x:v>0</x:v>
      </x:c>
      <x:c r="K46" s="5" t="str">
        <x:f>IF(J46=0,"paid",IF(G46=0,"unpaid","partial"))</x:f>
        <x:v>paid</x:v>
      </x:c>
    </x:row>
    <x:row r="47" ht="21" customHeight="1">
      <x:c r="A47" s="3" t="str">
        <x:v>2201015</x:v>
      </x:c>
      <x:c r="B47" s="3" t="str">
        <x:v>2024-1</x:v>
      </x:c>
      <x:c r="C47" s="3" t="n">
        <x:v>8</x:v>
      </x:c>
      <x:c r="D47" s="3" t="n">
        <x:v>1050000</x:v>
      </x:c>
      <x:c r="E47" s="3" t="n">
        <x:v>10</x:v>
      </x:c>
      <x:c r="F47" s="3" t="n">
        <x:v>7560000</x:v>
      </x:c>
      <x:c r="G47" s="3" t="n">
        <x:v>7560000</x:v>
      </x:c>
      <x:c r="H47" s="3" t="str">
        <x:v>2024-10-15</x:v>
      </x:c>
      <x:c r="I47" s="3" t="str">
        <x:v>2024-09-28</x:v>
      </x:c>
      <x:c r="J47" s="5" t="n">
        <x:f>F47-G47</x:f>
        <x:v>0</x:v>
      </x:c>
      <x:c r="K47" s="5" t="str">
        <x:f>IF(J47=0,"paid",IF(G47=0,"unpaid","partial"))</x:f>
        <x:v>paid</x:v>
      </x:c>
    </x:row>
    <x:row r="48" ht="21" customHeight="1">
      <x:c r="A48" s="3" t="str">
        <x:v>2201015</x:v>
      </x:c>
      <x:c r="B48" s="3" t="str">
        <x:v>2024-2</x:v>
      </x:c>
      <x:c r="C48" s="3" t="n">
        <x:v>7</x:v>
      </x:c>
      <x:c r="D48" s="3" t="n">
        <x:v>1050000</x:v>
      </x:c>
      <x:c r="E48" s="3" t="n">
        <x:v>0</x:v>
      </x:c>
      <x:c r="F48" s="3" t="n">
        <x:v>7350000</x:v>
      </x:c>
      <x:c r="G48" s="3" t="n">
        <x:v>3505000</x:v>
      </x:c>
      <x:c r="H48" s="3" t="str">
        <x:v>2025-03-15</x:v>
      </x:c>
      <x:c r="I48" s="3" t="str">
        <x:v>2025-03-08</x:v>
      </x:c>
      <x:c r="J48" s="5" t="n">
        <x:f>F48-G48</x:f>
        <x:v>3845000</x:v>
      </x:c>
      <x:c r="K48" s="5" t="str">
        <x:f>IF(J48=0,"paid",IF(G48=0,"unpaid","partial"))</x:f>
        <x:v>partial</x:v>
      </x:c>
    </x:row>
    <x:row r="49" ht="21" customHeight="1">
      <x:c r="A49" s="3" t="str">
        <x:v>2201015</x:v>
      </x:c>
      <x:c r="B49" s="3" t="str">
        <x:v>2025-1</x:v>
      </x:c>
      <x:c r="C49" s="3" t="n">
        <x:v>6</x:v>
      </x:c>
      <x:c r="D49" s="3" t="n">
        <x:v>1050000</x:v>
      </x:c>
      <x:c r="E49" s="3" t="n">
        <x:v>0</x:v>
      </x:c>
      <x:c r="F49" s="3" t="n">
        <x:v>6300000</x:v>
      </x:c>
      <x:c r="G49" s="3" t="n">
        <x:v>6300000</x:v>
      </x:c>
      <x:c r="H49" s="3" t="str">
        <x:v>2025-10-15</x:v>
      </x:c>
      <x:c r="I49" s="3" t="str">
        <x:v>2025-10-04</x:v>
      </x:c>
      <x:c r="J49" s="5" t="n">
        <x:f>F49-G49</x:f>
        <x:v>0</x:v>
      </x:c>
      <x:c r="K49" s="5" t="str">
        <x:f>IF(J49=0,"paid",IF(G49=0,"unpaid","partial"))</x:f>
        <x:v>paid</x:v>
      </x:c>
    </x:row>
    <x:row r="50" ht="21" customHeight="1">
      <x:c r="A50" s="3" t="str">
        <x:v>2201016</x:v>
      </x:c>
      <x:c r="B50" s="3" t="str">
        <x:v>2024-1</x:v>
      </x:c>
      <x:c r="C50" s="3" t="n">
        <x:v>8</x:v>
      </x:c>
      <x:c r="D50" s="3" t="n">
        <x:v>1050000</x:v>
      </x:c>
      <x:c r="E50" s="3" t="n">
        <x:v>0</x:v>
      </x:c>
      <x:c r="F50" s="3" t="n">
        <x:v>8400000</x:v>
      </x:c>
      <x:c r="G50" s="3" t="n">
        <x:v>8400000</x:v>
      </x:c>
      <x:c r="H50" s="3" t="str">
        <x:v>2024-10-15</x:v>
      </x:c>
      <x:c r="I50" s="3" t="str">
        <x:v>2024-10-12</x:v>
      </x:c>
      <x:c r="J50" s="5" t="n">
        <x:f>F50-G50</x:f>
        <x:v>0</x:v>
      </x:c>
      <x:c r="K50" s="5" t="str">
        <x:f>IF(J50=0,"paid",IF(G50=0,"unpaid","partial"))</x:f>
        <x:v>paid</x:v>
      </x:c>
    </x:row>
    <x:row r="51" ht="21" customHeight="1">
      <x:c r="A51" s="3" t="str">
        <x:v>2201016</x:v>
      </x:c>
      <x:c r="B51" s="3" t="str">
        <x:v>2024-2</x:v>
      </x:c>
      <x:c r="C51" s="3" t="n">
        <x:v>7</x:v>
      </x:c>
      <x:c r="D51" s="3" t="n">
        <x:v>1050000</x:v>
      </x:c>
      <x:c r="E51" s="3" t="n">
        <x:v>0</x:v>
      </x:c>
      <x:c r="F51" s="3" t="n">
        <x:v>7350000</x:v>
      </x:c>
      <x:c r="G51" s="3" t="n">
        <x:v>7350000</x:v>
      </x:c>
      <x:c r="H51" s="3" t="str">
        <x:v>2025-03-15</x:v>
      </x:c>
      <x:c r="I51" s="3" t="str">
        <x:v>2025-02-27</x:v>
      </x:c>
      <x:c r="J51" s="5" t="n">
        <x:f>F51-G51</x:f>
        <x:v>0</x:v>
      </x:c>
      <x:c r="K51" s="5" t="str">
        <x:f>IF(J51=0,"paid",IF(G51=0,"unpaid","partial"))</x:f>
        <x:v>paid</x:v>
      </x:c>
    </x:row>
    <x:row r="52" ht="21" customHeight="1">
      <x:c r="A52" s="3" t="str">
        <x:v>2201016</x:v>
      </x:c>
      <x:c r="B52" s="3" t="str">
        <x:v>2025-1</x:v>
      </x:c>
      <x:c r="C52" s="3" t="n">
        <x:v>3</x:v>
      </x:c>
      <x:c r="D52" s="3" t="n">
        <x:v>1050000</x:v>
      </x:c>
      <x:c r="E52" s="3" t="n">
        <x:v>0</x:v>
      </x:c>
      <x:c r="F52" s="3" t="n">
        <x:v>3150000</x:v>
      </x:c>
      <x:c r="G52" s="3" t="n">
        <x:v>1667000</x:v>
      </x:c>
      <x:c r="H52" s="3" t="str">
        <x:v>2025-10-15</x:v>
      </x:c>
      <x:c r="I52" s="3" t="str">
        <x:v>2025-10-15</x:v>
      </x:c>
      <x:c r="J52" s="5" t="n">
        <x:f>F52-G52</x:f>
        <x:v>1483000</x:v>
      </x:c>
      <x:c r="K52" s="5" t="str">
        <x:f>IF(J52=0,"paid",IF(G52=0,"unpaid","partial"))</x:f>
        <x:v>partial</x:v>
      </x:c>
    </x:row>
    <x:row r="53" ht="21" customHeight="1">
      <x:c r="A53" s="3" t="str">
        <x:v>2201017</x:v>
      </x:c>
      <x:c r="B53" s="3" t="str">
        <x:v>2024-1</x:v>
      </x:c>
      <x:c r="C53" s="3" t="n">
        <x:v>8</x:v>
      </x:c>
      <x:c r="D53" s="3" t="n">
        <x:v>1050000</x:v>
      </x:c>
      <x:c r="E53" s="3" t="n">
        <x:v>10</x:v>
      </x:c>
      <x:c r="F53" s="3" t="n">
        <x:v>7560000</x:v>
      </x:c>
      <x:c r="G53" s="3" t="n">
        <x:v>7560000</x:v>
      </x:c>
      <x:c r="H53" s="3" t="str">
        <x:v>2024-10-15</x:v>
      </x:c>
      <x:c r="I53" s="3" t="str">
        <x:v>2024-10-10</x:v>
      </x:c>
      <x:c r="J53" s="5" t="n">
        <x:f>F53-G53</x:f>
        <x:v>0</x:v>
      </x:c>
      <x:c r="K53" s="5" t="str">
        <x:f>IF(J53=0,"paid",IF(G53=0,"unpaid","partial"))</x:f>
        <x:v>paid</x:v>
      </x:c>
    </x:row>
    <x:row r="54" ht="21" customHeight="1">
      <x:c r="A54" s="3" t="str">
        <x:v>2201017</x:v>
      </x:c>
      <x:c r="B54" s="3" t="str">
        <x:v>2024-2</x:v>
      </x:c>
      <x:c r="C54" s="3" t="n">
        <x:v>7</x:v>
      </x:c>
      <x:c r="D54" s="3" t="n">
        <x:v>1050000</x:v>
      </x:c>
      <x:c r="E54" s="3" t="n">
        <x:v>0</x:v>
      </x:c>
      <x:c r="F54" s="3" t="n">
        <x:v>7350000</x:v>
      </x:c>
      <x:c r="G54" s="3" t="n">
        <x:v>7350000</x:v>
      </x:c>
      <x:c r="H54" s="3" t="str">
        <x:v>2025-03-15</x:v>
      </x:c>
      <x:c r="I54" s="3" t="str">
        <x:v>2025-02-27</x:v>
      </x:c>
      <x:c r="J54" s="5" t="n">
        <x:f>F54-G54</x:f>
        <x:v>0</x:v>
      </x:c>
      <x:c r="K54" s="5" t="str">
        <x:f>IF(J54=0,"paid",IF(G54=0,"unpaid","partial"))</x:f>
        <x:v>paid</x:v>
      </x:c>
    </x:row>
    <x:row r="55" ht="21" customHeight="1">
      <x:c r="A55" s="3" t="str">
        <x:v>2201017</x:v>
      </x:c>
      <x:c r="B55" s="3" t="str">
        <x:v>2025-1</x:v>
      </x:c>
      <x:c r="C55" s="3" t="n">
        <x:v>3</x:v>
      </x:c>
      <x:c r="D55" s="3" t="n">
        <x:v>1050000</x:v>
      </x:c>
      <x:c r="E55" s="3" t="n">
        <x:v>0</x:v>
      </x:c>
      <x:c r="F55" s="3" t="n">
        <x:v>3150000</x:v>
      </x:c>
      <x:c r="G55" s="3" t="n">
        <x:v>3150000</x:v>
      </x:c>
      <x:c r="H55" s="3" t="str">
        <x:v>2025-10-15</x:v>
      </x:c>
      <x:c r="I55" s="3" t="str">
        <x:v>2025-10-13</x:v>
      </x:c>
      <x:c r="J55" s="5" t="n">
        <x:f>F55-G55</x:f>
        <x:v>0</x:v>
      </x:c>
      <x:c r="K55" s="5" t="str">
        <x:f>IF(J55=0,"paid",IF(G55=0,"unpaid","partial"))</x:f>
        <x:v>paid</x:v>
      </x:c>
    </x:row>
    <x:row r="56" ht="21" customHeight="1">
      <x:c r="A56" s="3" t="str">
        <x:v>2201018</x:v>
      </x:c>
      <x:c r="B56" s="3" t="str">
        <x:v>2024-1</x:v>
      </x:c>
      <x:c r="C56" s="3" t="n">
        <x:v>8</x:v>
      </x:c>
      <x:c r="D56" s="3" t="n">
        <x:v>1050000</x:v>
      </x:c>
      <x:c r="E56" s="3" t="n">
        <x:v>0</x:v>
      </x:c>
      <x:c r="F56" s="3" t="n">
        <x:v>8400000</x:v>
      </x:c>
      <x:c r="G56" s="3" t="n">
        <x:v>8400000</x:v>
      </x:c>
      <x:c r="H56" s="3" t="str">
        <x:v>2024-10-15</x:v>
      </x:c>
      <x:c r="I56" s="3" t="str">
        <x:v>2024-10-03</x:v>
      </x:c>
      <x:c r="J56" s="5" t="n">
        <x:f>F56-G56</x:f>
        <x:v>0</x:v>
      </x:c>
      <x:c r="K56" s="5" t="str">
        <x:f>IF(J56=0,"paid",IF(G56=0,"unpaid","partial"))</x:f>
        <x:v>paid</x:v>
      </x:c>
    </x:row>
    <x:row r="57" ht="21" customHeight="1">
      <x:c r="A57" s="3" t="str">
        <x:v>2201018</x:v>
      </x:c>
      <x:c r="B57" s="3" t="str">
        <x:v>2024-2</x:v>
      </x:c>
      <x:c r="C57" s="3" t="n">
        <x:v>7</x:v>
      </x:c>
      <x:c r="D57" s="3" t="n">
        <x:v>1050000</x:v>
      </x:c>
      <x:c r="E57" s="3" t="n">
        <x:v>0</x:v>
      </x:c>
      <x:c r="F57" s="3" t="n">
        <x:v>7350000</x:v>
      </x:c>
      <x:c r="G57" s="3" t="n">
        <x:v>0</x:v>
      </x:c>
      <x:c r="H57" s="3" t="str">
        <x:v>2025-03-15</x:v>
      </x:c>
      <x:c r="I57" s="3" t="str"/>
      <x:c r="J57" s="5" t="n">
        <x:f>F57-G57</x:f>
        <x:v>7350000</x:v>
      </x:c>
      <x:c r="K57" s="5" t="str">
        <x:f>IF(J57=0,"paid",IF(G57=0,"unpaid","partial"))</x:f>
        <x:v>unpaid</x:v>
      </x:c>
    </x:row>
    <x:row r="58" ht="21" customHeight="1">
      <x:c r="A58" s="3" t="str">
        <x:v>2201018</x:v>
      </x:c>
      <x:c r="B58" s="3" t="str">
        <x:v>2025-1</x:v>
      </x:c>
      <x:c r="C58" s="3" t="n">
        <x:v>3</x:v>
      </x:c>
      <x:c r="D58" s="3" t="n">
        <x:v>1050000</x:v>
      </x:c>
      <x:c r="E58" s="3" t="n">
        <x:v>0</x:v>
      </x:c>
      <x:c r="F58" s="3" t="n">
        <x:v>3150000</x:v>
      </x:c>
      <x:c r="G58" s="3" t="n">
        <x:v>3150000</x:v>
      </x:c>
      <x:c r="H58" s="3" t="str">
        <x:v>2025-10-15</x:v>
      </x:c>
      <x:c r="I58" s="3" t="str">
        <x:v>2025-10-10</x:v>
      </x:c>
      <x:c r="J58" s="5" t="n">
        <x:f>F58-G58</x:f>
        <x:v>0</x:v>
      </x:c>
      <x:c r="K58" s="5" t="str">
        <x:f>IF(J58=0,"paid",IF(G58=0,"unpaid","partial"))</x:f>
        <x:v>paid</x:v>
      </x:c>
    </x:row>
    <x:row r="59" ht="21" customHeight="1">
      <x:c r="A59" s="3" t="str">
        <x:v>2201019</x:v>
      </x:c>
      <x:c r="B59" s="3" t="str">
        <x:v>2024-1</x:v>
      </x:c>
      <x:c r="C59" s="3" t="n">
        <x:v>8</x:v>
      </x:c>
      <x:c r="D59" s="3" t="n">
        <x:v>1050000</x:v>
      </x:c>
      <x:c r="E59" s="3" t="n">
        <x:v>0</x:v>
      </x:c>
      <x:c r="F59" s="3" t="n">
        <x:v>8400000</x:v>
      </x:c>
      <x:c r="G59" s="3" t="n">
        <x:v>8400000</x:v>
      </x:c>
      <x:c r="H59" s="3" t="str">
        <x:v>2024-10-15</x:v>
      </x:c>
      <x:c r="I59" s="3" t="str">
        <x:v>2024-10-05</x:v>
      </x:c>
      <x:c r="J59" s="5" t="n">
        <x:f>F59-G59</x:f>
        <x:v>0</x:v>
      </x:c>
      <x:c r="K59" s="5" t="str">
        <x:f>IF(J59=0,"paid",IF(G59=0,"unpaid","partial"))</x:f>
        <x:v>paid</x:v>
      </x:c>
    </x:row>
    <x:row r="60" ht="21" customHeight="1">
      <x:c r="A60" s="3" t="str">
        <x:v>2201019</x:v>
      </x:c>
      <x:c r="B60" s="3" t="str">
        <x:v>2024-2</x:v>
      </x:c>
      <x:c r="C60" s="3" t="n">
        <x:v>7</x:v>
      </x:c>
      <x:c r="D60" s="3" t="n">
        <x:v>1050000</x:v>
      </x:c>
      <x:c r="E60" s="3" t="n">
        <x:v>0</x:v>
      </x:c>
      <x:c r="F60" s="3" t="n">
        <x:v>7350000</x:v>
      </x:c>
      <x:c r="G60" s="3" t="n">
        <x:v>0</x:v>
      </x:c>
      <x:c r="H60" s="3" t="str">
        <x:v>2025-03-15</x:v>
      </x:c>
      <x:c r="I60" s="3" t="str"/>
      <x:c r="J60" s="5" t="n">
        <x:f>F60-G60</x:f>
        <x:v>7350000</x:v>
      </x:c>
      <x:c r="K60" s="5" t="str">
        <x:f>IF(J60=0,"paid",IF(G60=0,"unpaid","partial"))</x:f>
        <x:v>unpaid</x:v>
      </x:c>
    </x:row>
    <x:row r="61" ht="21" customHeight="1">
      <x:c r="A61" s="3" t="str">
        <x:v>2201019</x:v>
      </x:c>
      <x:c r="B61" s="3" t="str">
        <x:v>2025-1</x:v>
      </x:c>
      <x:c r="C61" s="3" t="n">
        <x:v>3</x:v>
      </x:c>
      <x:c r="D61" s="3" t="n">
        <x:v>1050000</x:v>
      </x:c>
      <x:c r="E61" s="3" t="n">
        <x:v>0</x:v>
      </x:c>
      <x:c r="F61" s="3" t="n">
        <x:v>3150000</x:v>
      </x:c>
      <x:c r="G61" s="3" t="n">
        <x:v>0</x:v>
      </x:c>
      <x:c r="H61" s="3" t="str">
        <x:v>2025-10-15</x:v>
      </x:c>
      <x:c r="I61" s="3" t="str"/>
      <x:c r="J61" s="5" t="n">
        <x:f>F61-G61</x:f>
        <x:v>3150000</x:v>
      </x:c>
      <x:c r="K61" s="5" t="str">
        <x:f>IF(J61=0,"paid",IF(G61=0,"unpaid","partial"))</x:f>
        <x:v>unpaid</x:v>
      </x:c>
    </x:row>
    <x:row r="62" ht="21" customHeight="1">
      <x:c r="A62" s="3" t="str">
        <x:v>2201020</x:v>
      </x:c>
      <x:c r="B62" s="3" t="str">
        <x:v>2024-1</x:v>
      </x:c>
      <x:c r="C62" s="3" t="n">
        <x:v>8</x:v>
      </x:c>
      <x:c r="D62" s="3" t="n">
        <x:v>1050000</x:v>
      </x:c>
      <x:c r="E62" s="3" t="n">
        <x:v>20</x:v>
      </x:c>
      <x:c r="F62" s="3" t="n">
        <x:v>6720000</x:v>
      </x:c>
      <x:c r="G62" s="3" t="n">
        <x:v>6720000</x:v>
      </x:c>
      <x:c r="H62" s="3" t="str">
        <x:v>2024-10-15</x:v>
      </x:c>
      <x:c r="I62" s="3" t="str">
        <x:v>2024-10-05</x:v>
      </x:c>
      <x:c r="J62" s="5" t="n">
        <x:f>F62-G62</x:f>
        <x:v>0</x:v>
      </x:c>
      <x:c r="K62" s="5" t="str">
        <x:f>IF(J62=0,"paid",IF(G62=0,"unpaid","partial"))</x:f>
        <x:v>paid</x:v>
      </x:c>
    </x:row>
    <x:row r="63" ht="21" customHeight="1">
      <x:c r="A63" s="3" t="str">
        <x:v>2201020</x:v>
      </x:c>
      <x:c r="B63" s="3" t="str">
        <x:v>2024-2</x:v>
      </x:c>
      <x:c r="C63" s="3" t="n">
        <x:v>7</x:v>
      </x:c>
      <x:c r="D63" s="3" t="n">
        <x:v>1050000</x:v>
      </x:c>
      <x:c r="E63" s="3" t="n">
        <x:v>0</x:v>
      </x:c>
      <x:c r="F63" s="3" t="n">
        <x:v>7350000</x:v>
      </x:c>
      <x:c r="G63" s="3" t="n">
        <x:v>4149000</x:v>
      </x:c>
      <x:c r="H63" s="3" t="str">
        <x:v>2025-03-15</x:v>
      </x:c>
      <x:c r="I63" s="3" t="str">
        <x:v>2025-03-11</x:v>
      </x:c>
      <x:c r="J63" s="5" t="n">
        <x:f>F63-G63</x:f>
        <x:v>3201000</x:v>
      </x:c>
      <x:c r="K63" s="5" t="str">
        <x:f>IF(J63=0,"paid",IF(G63=0,"unpaid","partial"))</x:f>
        <x:v>partial</x:v>
      </x:c>
    </x:row>
    <x:row r="64" ht="21" customHeight="1">
      <x:c r="A64" s="3" t="str">
        <x:v>2201020</x:v>
      </x:c>
      <x:c r="B64" s="3" t="str">
        <x:v>2025-1</x:v>
      </x:c>
      <x:c r="C64" s="3" t="n">
        <x:v>9</x:v>
      </x:c>
      <x:c r="D64" s="3" t="n">
        <x:v>1050000</x:v>
      </x:c>
      <x:c r="E64" s="3" t="n">
        <x:v>0</x:v>
      </x:c>
      <x:c r="F64" s="3" t="n">
        <x:v>9450000</x:v>
      </x:c>
      <x:c r="G64" s="3" t="n">
        <x:v>9450000</x:v>
      </x:c>
      <x:c r="H64" s="3" t="str">
        <x:v>2025-10-15</x:v>
      </x:c>
      <x:c r="I64" s="3" t="str">
        <x:v>2025-10-22</x:v>
      </x:c>
      <x:c r="J64" s="5" t="n">
        <x:f>F64-G64</x:f>
        <x:v>0</x:v>
      </x:c>
      <x:c r="K64" s="5" t="str">
        <x:f>IF(J64=0,"paid",IF(G64=0,"unpaid","partial"))</x:f>
        <x:v>paid</x:v>
      </x:c>
    </x:row>
    <x:row r="65" ht="21" customHeight="1">
      <x:c r="A65" s="3" t="str">
        <x:v>2202001</x:v>
      </x:c>
      <x:c r="B65" s="3" t="str">
        <x:v>2024-1</x:v>
      </x:c>
      <x:c r="C65" s="3" t="n">
        <x:v>8</x:v>
      </x:c>
      <x:c r="D65" s="3" t="n">
        <x:v>950000</x:v>
      </x:c>
      <x:c r="E65" s="3" t="n">
        <x:v>10</x:v>
      </x:c>
      <x:c r="F65" s="3" t="n">
        <x:v>6840000</x:v>
      </x:c>
      <x:c r="G65" s="3" t="n">
        <x:v>6840000</x:v>
      </x:c>
      <x:c r="H65" s="3" t="str">
        <x:v>2024-10-15</x:v>
      </x:c>
      <x:c r="I65" s="3" t="str">
        <x:v>2024-10-11</x:v>
      </x:c>
      <x:c r="J65" s="5" t="n">
        <x:f>F65-G65</x:f>
        <x:v>0</x:v>
      </x:c>
      <x:c r="K65" s="5" t="str">
        <x:f>IF(J65=0,"paid",IF(G65=0,"unpaid","partial"))</x:f>
        <x:v>paid</x:v>
      </x:c>
    </x:row>
    <x:row r="66" ht="21" customHeight="1">
      <x:c r="A66" s="3" t="str">
        <x:v>2202001</x:v>
      </x:c>
      <x:c r="B66" s="3" t="str">
        <x:v>2024-2</x:v>
      </x:c>
      <x:c r="C66" s="3" t="n">
        <x:v>7</x:v>
      </x:c>
      <x:c r="D66" s="3" t="n">
        <x:v>950000</x:v>
      </x:c>
      <x:c r="E66" s="3" t="n">
        <x:v>0</x:v>
      </x:c>
      <x:c r="F66" s="3" t="n">
        <x:v>6650000</x:v>
      </x:c>
      <x:c r="G66" s="3" t="n">
        <x:v>6650000</x:v>
      </x:c>
      <x:c r="H66" s="3" t="str">
        <x:v>2025-03-15</x:v>
      </x:c>
      <x:c r="I66" s="3" t="str">
        <x:v>2025-03-09</x:v>
      </x:c>
      <x:c r="J66" s="5" t="n">
        <x:f>F66-G66</x:f>
        <x:v>0</x:v>
      </x:c>
      <x:c r="K66" s="5" t="str">
        <x:f>IF(J66=0,"paid",IF(G66=0,"unpaid","partial"))</x:f>
        <x:v>paid</x:v>
      </x:c>
    </x:row>
    <x:row r="67" ht="21" customHeight="1">
      <x:c r="A67" s="3" t="str">
        <x:v>2202001</x:v>
      </x:c>
      <x:c r="B67" s="3" t="str">
        <x:v>2025-1</x:v>
      </x:c>
      <x:c r="C67" s="3" t="n">
        <x:v>3</x:v>
      </x:c>
      <x:c r="D67" s="3" t="n">
        <x:v>950000</x:v>
      </x:c>
      <x:c r="E67" s="3" t="n">
        <x:v>0</x:v>
      </x:c>
      <x:c r="F67" s="3" t="n">
        <x:v>2850000</x:v>
      </x:c>
      <x:c r="G67" s="3" t="n">
        <x:v>2850000</x:v>
      </x:c>
      <x:c r="H67" s="3" t="str">
        <x:v>2025-10-15</x:v>
      </x:c>
      <x:c r="I67" s="3" t="str">
        <x:v>2025-11-16</x:v>
      </x:c>
      <x:c r="J67" s="5" t="n">
        <x:f>F67-G67</x:f>
        <x:v>0</x:v>
      </x:c>
      <x:c r="K67" s="5" t="str">
        <x:f>IF(J67=0,"paid",IF(G67=0,"unpaid","partial"))</x:f>
        <x:v>paid</x:v>
      </x:c>
    </x:row>
    <x:row r="68" ht="21" customHeight="1">
      <x:c r="A68" s="3" t="str">
        <x:v>2202002</x:v>
      </x:c>
      <x:c r="B68" s="3" t="str">
        <x:v>2024-1</x:v>
      </x:c>
      <x:c r="C68" s="3" t="n">
        <x:v>8</x:v>
      </x:c>
      <x:c r="D68" s="3" t="n">
        <x:v>950000</x:v>
      </x:c>
      <x:c r="E68" s="3" t="n">
        <x:v>0</x:v>
      </x:c>
      <x:c r="F68" s="3" t="n">
        <x:v>7600000</x:v>
      </x:c>
      <x:c r="G68" s="3" t="n">
        <x:v>7600000</x:v>
      </x:c>
      <x:c r="H68" s="3" t="str">
        <x:v>2024-10-15</x:v>
      </x:c>
      <x:c r="I68" s="3" t="str">
        <x:v>2024-10-11</x:v>
      </x:c>
      <x:c r="J68" s="5" t="n">
        <x:f>F68-G68</x:f>
        <x:v>0</x:v>
      </x:c>
      <x:c r="K68" s="5" t="str">
        <x:f>IF(J68=0,"paid",IF(G68=0,"unpaid","partial"))</x:f>
        <x:v>paid</x:v>
      </x:c>
    </x:row>
    <x:row r="69" ht="21" customHeight="1">
      <x:c r="A69" s="3" t="str">
        <x:v>2202002</x:v>
      </x:c>
      <x:c r="B69" s="3" t="str">
        <x:v>2024-2</x:v>
      </x:c>
      <x:c r="C69" s="3" t="n">
        <x:v>7</x:v>
      </x:c>
      <x:c r="D69" s="3" t="n">
        <x:v>950000</x:v>
      </x:c>
      <x:c r="E69" s="3" t="n">
        <x:v>20</x:v>
      </x:c>
      <x:c r="F69" s="3" t="n">
        <x:v>5320000</x:v>
      </x:c>
      <x:c r="G69" s="3" t="n">
        <x:v>5320000</x:v>
      </x:c>
      <x:c r="H69" s="3" t="str">
        <x:v>2025-03-15</x:v>
      </x:c>
      <x:c r="I69" s="3" t="str">
        <x:v>2025-03-02</x:v>
      </x:c>
      <x:c r="J69" s="5" t="n">
        <x:f>F69-G69</x:f>
        <x:v>0</x:v>
      </x:c>
      <x:c r="K69" s="5" t="str">
        <x:f>IF(J69=0,"paid",IF(G69=0,"unpaid","partial"))</x:f>
        <x:v>paid</x:v>
      </x:c>
    </x:row>
    <x:row r="70" ht="21" customHeight="1">
      <x:c r="A70" s="3" t="str">
        <x:v>2202002</x:v>
      </x:c>
      <x:c r="B70" s="3" t="str">
        <x:v>2025-1</x:v>
      </x:c>
      <x:c r="C70" s="3" t="n">
        <x:v>3</x:v>
      </x:c>
      <x:c r="D70" s="3" t="n">
        <x:v>950000</x:v>
      </x:c>
      <x:c r="E70" s="3" t="n">
        <x:v>0</x:v>
      </x:c>
      <x:c r="F70" s="3" t="n">
        <x:v>2850000</x:v>
      </x:c>
      <x:c r="G70" s="3" t="n">
        <x:v>2850000</x:v>
      </x:c>
      <x:c r="H70" s="3" t="str">
        <x:v>2025-10-15</x:v>
      </x:c>
      <x:c r="I70" s="3" t="str">
        <x:v>2025-10-04</x:v>
      </x:c>
      <x:c r="J70" s="5" t="n">
        <x:f>F70-G70</x:f>
        <x:v>0</x:v>
      </x:c>
      <x:c r="K70" s="5" t="str">
        <x:f>IF(J70=0,"paid",IF(G70=0,"unpaid","partial"))</x:f>
        <x:v>paid</x:v>
      </x:c>
    </x:row>
    <x:row r="71" ht="21" customHeight="1">
      <x:c r="A71" s="3" t="str">
        <x:v>2202003</x:v>
      </x:c>
      <x:c r="B71" s="3" t="str">
        <x:v>2024-1</x:v>
      </x:c>
      <x:c r="C71" s="3" t="n">
        <x:v>8</x:v>
      </x:c>
      <x:c r="D71" s="3" t="n">
        <x:v>950000</x:v>
      </x:c>
      <x:c r="E71" s="3" t="n">
        <x:v>0</x:v>
      </x:c>
      <x:c r="F71" s="3" t="n">
        <x:v>7600000</x:v>
      </x:c>
      <x:c r="G71" s="3" t="n">
        <x:v>0</x:v>
      </x:c>
      <x:c r="H71" s="3" t="str">
        <x:v>2024-10-15</x:v>
      </x:c>
      <x:c r="I71" s="3" t="str"/>
      <x:c r="J71" s="5" t="n">
        <x:f>F71-G71</x:f>
        <x:v>7600000</x:v>
      </x:c>
      <x:c r="K71" s="5" t="str">
        <x:f>IF(J71=0,"paid",IF(G71=0,"unpaid","partial"))</x:f>
        <x:v>unpaid</x:v>
      </x:c>
    </x:row>
    <x:row r="72" ht="21" customHeight="1">
      <x:c r="A72" s="3" t="str">
        <x:v>2202003</x:v>
      </x:c>
      <x:c r="B72" s="3" t="str">
        <x:v>2024-2</x:v>
      </x:c>
      <x:c r="C72" s="3" t="n">
        <x:v>7</x:v>
      </x:c>
      <x:c r="D72" s="3" t="n">
        <x:v>950000</x:v>
      </x:c>
      <x:c r="E72" s="3" t="n">
        <x:v>0</x:v>
      </x:c>
      <x:c r="F72" s="3" t="n">
        <x:v>6650000</x:v>
      </x:c>
      <x:c r="G72" s="3" t="n">
        <x:v>6650000</x:v>
      </x:c>
      <x:c r="H72" s="3" t="str">
        <x:v>2025-03-15</x:v>
      </x:c>
      <x:c r="I72" s="3" t="str">
        <x:v>2025-03-11</x:v>
      </x:c>
      <x:c r="J72" s="5" t="n">
        <x:f>F72-G72</x:f>
        <x:v>0</x:v>
      </x:c>
      <x:c r="K72" s="5" t="str">
        <x:f>IF(J72=0,"paid",IF(G72=0,"unpaid","partial"))</x:f>
        <x:v>paid</x:v>
      </x:c>
    </x:row>
    <x:row r="73" ht="21" customHeight="1">
      <x:c r="A73" s="3" t="str">
        <x:v>2202003</x:v>
      </x:c>
      <x:c r="B73" s="3" t="str">
        <x:v>2025-1</x:v>
      </x:c>
      <x:c r="C73" s="3" t="n">
        <x:v>3</x:v>
      </x:c>
      <x:c r="D73" s="3" t="n">
        <x:v>950000</x:v>
      </x:c>
      <x:c r="E73" s="3" t="n">
        <x:v>0</x:v>
      </x:c>
      <x:c r="F73" s="3" t="n">
        <x:v>2850000</x:v>
      </x:c>
      <x:c r="G73" s="3" t="n">
        <x:v>0</x:v>
      </x:c>
      <x:c r="H73" s="3" t="str">
        <x:v>2025-10-15</x:v>
      </x:c>
      <x:c r="I73" s="3" t="str"/>
      <x:c r="J73" s="5" t="n">
        <x:f>F73-G73</x:f>
        <x:v>2850000</x:v>
      </x:c>
      <x:c r="K73" s="5" t="str">
        <x:f>IF(J73=0,"paid",IF(G73=0,"unpaid","partial"))</x:f>
        <x:v>unpaid</x:v>
      </x:c>
    </x:row>
    <x:row r="74" ht="21" customHeight="1">
      <x:c r="A74" s="3" t="str">
        <x:v>2202004</x:v>
      </x:c>
      <x:c r="B74" s="3" t="str">
        <x:v>2024-1</x:v>
      </x:c>
      <x:c r="C74" s="3" t="n">
        <x:v>8</x:v>
      </x:c>
      <x:c r="D74" s="3" t="n">
        <x:v>950000</x:v>
      </x:c>
      <x:c r="E74" s="3" t="n">
        <x:v>0</x:v>
      </x:c>
      <x:c r="F74" s="3" t="n">
        <x:v>7600000</x:v>
      </x:c>
      <x:c r="G74" s="3" t="n">
        <x:v>7600000</x:v>
      </x:c>
      <x:c r="H74" s="3" t="str">
        <x:v>2024-10-15</x:v>
      </x:c>
      <x:c r="I74" s="3" t="str">
        <x:v>2024-10-22</x:v>
      </x:c>
      <x:c r="J74" s="5" t="n">
        <x:f>F74-G74</x:f>
        <x:v>0</x:v>
      </x:c>
      <x:c r="K74" s="5" t="str">
        <x:f>IF(J74=0,"paid",IF(G74=0,"unpaid","partial"))</x:f>
        <x:v>paid</x:v>
      </x:c>
    </x:row>
    <x:row r="75" ht="21" customHeight="1">
      <x:c r="A75" s="3" t="str">
        <x:v>2202004</x:v>
      </x:c>
      <x:c r="B75" s="3" t="str">
        <x:v>2024-2</x:v>
      </x:c>
      <x:c r="C75" s="3" t="n">
        <x:v>7</x:v>
      </x:c>
      <x:c r="D75" s="3" t="n">
        <x:v>950000</x:v>
      </x:c>
      <x:c r="E75" s="3" t="n">
        <x:v>10</x:v>
      </x:c>
      <x:c r="F75" s="3" t="n">
        <x:v>5985000</x:v>
      </x:c>
      <x:c r="G75" s="3" t="n">
        <x:v>5985000</x:v>
      </x:c>
      <x:c r="H75" s="3" t="str">
        <x:v>2025-03-15</x:v>
      </x:c>
      <x:c r="I75" s="3" t="str">
        <x:v>2025-03-10</x:v>
      </x:c>
      <x:c r="J75" s="5" t="n">
        <x:f>F75-G75</x:f>
        <x:v>0</x:v>
      </x:c>
      <x:c r="K75" s="5" t="str">
        <x:f>IF(J75=0,"paid",IF(G75=0,"unpaid","partial"))</x:f>
        <x:v>paid</x:v>
      </x:c>
    </x:row>
    <x:row r="76" ht="21" customHeight="1">
      <x:c r="A76" s="3" t="str">
        <x:v>2202004</x:v>
      </x:c>
      <x:c r="B76" s="3" t="str">
        <x:v>2025-1</x:v>
      </x:c>
      <x:c r="C76" s="3" t="n">
        <x:v>3</x:v>
      </x:c>
      <x:c r="D76" s="3" t="n">
        <x:v>950000</x:v>
      </x:c>
      <x:c r="E76" s="3" t="n">
        <x:v>0</x:v>
      </x:c>
      <x:c r="F76" s="3" t="n">
        <x:v>2850000</x:v>
      </x:c>
      <x:c r="G76" s="3" t="n">
        <x:v>2850000</x:v>
      </x:c>
      <x:c r="H76" s="3" t="str">
        <x:v>2025-10-15</x:v>
      </x:c>
      <x:c r="I76" s="3" t="str">
        <x:v>2025-10-01</x:v>
      </x:c>
      <x:c r="J76" s="5" t="n">
        <x:f>F76-G76</x:f>
        <x:v>0</x:v>
      </x:c>
      <x:c r="K76" s="5" t="str">
        <x:f>IF(J76=0,"paid",IF(G76=0,"unpaid","partial"))</x:f>
        <x:v>paid</x:v>
      </x:c>
    </x:row>
    <x:row r="77" ht="21" customHeight="1">
      <x:c r="A77" s="3" t="str">
        <x:v>2202005</x:v>
      </x:c>
      <x:c r="B77" s="3" t="str">
        <x:v>2024-1</x:v>
      </x:c>
      <x:c r="C77" s="3" t="n">
        <x:v>8</x:v>
      </x:c>
      <x:c r="D77" s="3" t="n">
        <x:v>950000</x:v>
      </x:c>
      <x:c r="E77" s="3" t="n">
        <x:v>10</x:v>
      </x:c>
      <x:c r="F77" s="3" t="n">
        <x:v>6840000</x:v>
      </x:c>
      <x:c r="G77" s="3" t="n">
        <x:v>6840000</x:v>
      </x:c>
      <x:c r="H77" s="3" t="str">
        <x:v>2024-10-15</x:v>
      </x:c>
      <x:c r="I77" s="3" t="str">
        <x:v>2024-09-27</x:v>
      </x:c>
      <x:c r="J77" s="5" t="n">
        <x:f>F77-G77</x:f>
        <x:v>0</x:v>
      </x:c>
      <x:c r="K77" s="5" t="str">
        <x:f>IF(J77=0,"paid",IF(G77=0,"unpaid","partial"))</x:f>
        <x:v>paid</x:v>
      </x:c>
    </x:row>
    <x:row r="78" ht="21" customHeight="1">
      <x:c r="A78" s="3" t="str">
        <x:v>2202005</x:v>
      </x:c>
      <x:c r="B78" s="3" t="str">
        <x:v>2024-2</x:v>
      </x:c>
      <x:c r="C78" s="3" t="n">
        <x:v>7</x:v>
      </x:c>
      <x:c r="D78" s="3" t="n">
        <x:v>950000</x:v>
      </x:c>
      <x:c r="E78" s="3" t="n">
        <x:v>0</x:v>
      </x:c>
      <x:c r="F78" s="3" t="n">
        <x:v>6650000</x:v>
      </x:c>
      <x:c r="G78" s="3" t="n">
        <x:v>6650000</x:v>
      </x:c>
      <x:c r="H78" s="3" t="str">
        <x:v>2025-03-15</x:v>
      </x:c>
      <x:c r="I78" s="3" t="str">
        <x:v>2025-02-28</x:v>
      </x:c>
      <x:c r="J78" s="5" t="n">
        <x:f>F78-G78</x:f>
        <x:v>0</x:v>
      </x:c>
      <x:c r="K78" s="5" t="str">
        <x:f>IF(J78=0,"paid",IF(G78=0,"unpaid","partial"))</x:f>
        <x:v>paid</x:v>
      </x:c>
    </x:row>
    <x:row r="79" ht="21" customHeight="1">
      <x:c r="A79" s="3" t="str">
        <x:v>2202005</x:v>
      </x:c>
      <x:c r="B79" s="3" t="str">
        <x:v>2025-1</x:v>
      </x:c>
      <x:c r="C79" s="3" t="n">
        <x:v>9</x:v>
      </x:c>
      <x:c r="D79" s="3" t="n">
        <x:v>950000</x:v>
      </x:c>
      <x:c r="E79" s="3" t="n">
        <x:v>10</x:v>
      </x:c>
      <x:c r="F79" s="3" t="n">
        <x:v>7695000</x:v>
      </x:c>
      <x:c r="G79" s="3" t="n">
        <x:v>7695000</x:v>
      </x:c>
      <x:c r="H79" s="3" t="str">
        <x:v>2025-10-15</x:v>
      </x:c>
      <x:c r="I79" s="3" t="str">
        <x:v>2025-10-10</x:v>
      </x:c>
      <x:c r="J79" s="5" t="n">
        <x:f>F79-G79</x:f>
        <x:v>0</x:v>
      </x:c>
      <x:c r="K79" s="5" t="str">
        <x:f>IF(J79=0,"paid",IF(G79=0,"unpaid","partial"))</x:f>
        <x:v>paid</x:v>
      </x:c>
    </x:row>
    <x:row r="80" ht="21" customHeight="1">
      <x:c r="A80" s="3" t="str">
        <x:v>2202006</x:v>
      </x:c>
      <x:c r="B80" s="3" t="str">
        <x:v>2024-1</x:v>
      </x:c>
      <x:c r="C80" s="3" t="n">
        <x:v>8</x:v>
      </x:c>
      <x:c r="D80" s="3" t="n">
        <x:v>950000</x:v>
      </x:c>
      <x:c r="E80" s="3" t="n">
        <x:v>0</x:v>
      </x:c>
      <x:c r="F80" s="3" t="n">
        <x:v>7600000</x:v>
      </x:c>
      <x:c r="G80" s="3" t="n">
        <x:v>0</x:v>
      </x:c>
      <x:c r="H80" s="3" t="str">
        <x:v>2024-10-15</x:v>
      </x:c>
      <x:c r="I80" s="3" t="str"/>
      <x:c r="J80" s="5" t="n">
        <x:f>F80-G80</x:f>
        <x:v>7600000</x:v>
      </x:c>
      <x:c r="K80" s="5" t="str">
        <x:f>IF(J80=0,"paid",IF(G80=0,"unpaid","partial"))</x:f>
        <x:v>unpaid</x:v>
      </x:c>
    </x:row>
    <x:row r="81" ht="21" customHeight="1">
      <x:c r="A81" s="3" t="str">
        <x:v>2202006</x:v>
      </x:c>
      <x:c r="B81" s="3" t="str">
        <x:v>2024-2</x:v>
      </x:c>
      <x:c r="C81" s="3" t="n">
        <x:v>7</x:v>
      </x:c>
      <x:c r="D81" s="3" t="n">
        <x:v>950000</x:v>
      </x:c>
      <x:c r="E81" s="3" t="n">
        <x:v>0</x:v>
      </x:c>
      <x:c r="F81" s="3" t="n">
        <x:v>6650000</x:v>
      </x:c>
      <x:c r="G81" s="3" t="n">
        <x:v>6650000</x:v>
      </x:c>
      <x:c r="H81" s="3" t="str">
        <x:v>2025-03-15</x:v>
      </x:c>
      <x:c r="I81" s="3" t="str">
        <x:v>2025-03-14</x:v>
      </x:c>
      <x:c r="J81" s="5" t="n">
        <x:f>F81-G81</x:f>
        <x:v>0</x:v>
      </x:c>
      <x:c r="K81" s="5" t="str">
        <x:f>IF(J81=0,"paid",IF(G81=0,"unpaid","partial"))</x:f>
        <x:v>paid</x:v>
      </x:c>
    </x:row>
    <x:row r="82" ht="21" customHeight="1">
      <x:c r="A82" s="3" t="str">
        <x:v>2202006</x:v>
      </x:c>
      <x:c r="B82" s="3" t="str">
        <x:v>2025-1</x:v>
      </x:c>
      <x:c r="C82" s="3" t="n">
        <x:v>3</x:v>
      </x:c>
      <x:c r="D82" s="3" t="n">
        <x:v>950000</x:v>
      </x:c>
      <x:c r="E82" s="3" t="n">
        <x:v>0</x:v>
      </x:c>
      <x:c r="F82" s="3" t="n">
        <x:v>2850000</x:v>
      </x:c>
      <x:c r="G82" s="3" t="n">
        <x:v>2850000</x:v>
      </x:c>
      <x:c r="H82" s="3" t="str">
        <x:v>2025-10-15</x:v>
      </x:c>
      <x:c r="I82" s="3" t="str">
        <x:v>2025-10-07</x:v>
      </x:c>
      <x:c r="J82" s="5" t="n">
        <x:f>F82-G82</x:f>
        <x:v>0</x:v>
      </x:c>
      <x:c r="K82" s="5" t="str">
        <x:f>IF(J82=0,"paid",IF(G82=0,"unpaid","partial"))</x:f>
        <x:v>paid</x:v>
      </x:c>
    </x:row>
    <x:row r="83" ht="21" customHeight="1">
      <x:c r="A83" s="3" t="str">
        <x:v>2202007</x:v>
      </x:c>
      <x:c r="B83" s="3" t="str">
        <x:v>2024-1</x:v>
      </x:c>
      <x:c r="C83" s="3" t="n">
        <x:v>8</x:v>
      </x:c>
      <x:c r="D83" s="3" t="n">
        <x:v>950000</x:v>
      </x:c>
      <x:c r="E83" s="3" t="n">
        <x:v>0</x:v>
      </x:c>
      <x:c r="F83" s="3" t="n">
        <x:v>7600000</x:v>
      </x:c>
      <x:c r="G83" s="3" t="n">
        <x:v>4018000</x:v>
      </x:c>
      <x:c r="H83" s="3" t="str">
        <x:v>2024-10-15</x:v>
      </x:c>
      <x:c r="I83" s="3" t="str">
        <x:v>2024-10-11</x:v>
      </x:c>
      <x:c r="J83" s="5" t="n">
        <x:f>F83-G83</x:f>
        <x:v>3582000</x:v>
      </x:c>
      <x:c r="K83" s="5" t="str">
        <x:f>IF(J83=0,"paid",IF(G83=0,"unpaid","partial"))</x:f>
        <x:v>partial</x:v>
      </x:c>
    </x:row>
    <x:row r="84" ht="21" customHeight="1">
      <x:c r="A84" s="3" t="str">
        <x:v>2202007</x:v>
      </x:c>
      <x:c r="B84" s="3" t="str">
        <x:v>2024-2</x:v>
      </x:c>
      <x:c r="C84" s="3" t="n">
        <x:v>7</x:v>
      </x:c>
      <x:c r="D84" s="3" t="n">
        <x:v>950000</x:v>
      </x:c>
      <x:c r="E84" s="3" t="n">
        <x:v>0</x:v>
      </x:c>
      <x:c r="F84" s="3" t="n">
        <x:v>6650000</x:v>
      </x:c>
      <x:c r="G84" s="3" t="n">
        <x:v>6650000</x:v>
      </x:c>
      <x:c r="H84" s="3" t="str">
        <x:v>2025-03-15</x:v>
      </x:c>
      <x:c r="I84" s="3" t="str">
        <x:v>2025-02-25</x:v>
      </x:c>
      <x:c r="J84" s="5" t="n">
        <x:f>F84-G84</x:f>
        <x:v>0</x:v>
      </x:c>
      <x:c r="K84" s="5" t="str">
        <x:f>IF(J84=0,"paid",IF(G84=0,"unpaid","partial"))</x:f>
        <x:v>paid</x:v>
      </x:c>
    </x:row>
    <x:row r="85" ht="21" customHeight="1">
      <x:c r="A85" s="3" t="str">
        <x:v>2202007</x:v>
      </x:c>
      <x:c r="B85" s="3" t="str">
        <x:v>2025-1</x:v>
      </x:c>
      <x:c r="C85" s="3" t="n">
        <x:v>3</x:v>
      </x:c>
      <x:c r="D85" s="3" t="n">
        <x:v>950000</x:v>
      </x:c>
      <x:c r="E85" s="3" t="n">
        <x:v>0</x:v>
      </x:c>
      <x:c r="F85" s="3" t="n">
        <x:v>2850000</x:v>
      </x:c>
      <x:c r="G85" s="3" t="n">
        <x:v>0</x:v>
      </x:c>
      <x:c r="H85" s="3" t="str">
        <x:v>2025-10-15</x:v>
      </x:c>
      <x:c r="I85" s="3" t="str"/>
      <x:c r="J85" s="5" t="n">
        <x:f>F85-G85</x:f>
        <x:v>2850000</x:v>
      </x:c>
      <x:c r="K85" s="5" t="str">
        <x:f>IF(J85=0,"paid",IF(G85=0,"unpaid","partial"))</x:f>
        <x:v>unpaid</x:v>
      </x:c>
    </x:row>
    <x:row r="86" ht="21" customHeight="1">
      <x:c r="A86" s="3" t="str">
        <x:v>2202008</x:v>
      </x:c>
      <x:c r="B86" s="3" t="str">
        <x:v>2024-1</x:v>
      </x:c>
      <x:c r="C86" s="3" t="n">
        <x:v>8</x:v>
      </x:c>
      <x:c r="D86" s="3" t="n">
        <x:v>950000</x:v>
      </x:c>
      <x:c r="E86" s="3" t="n">
        <x:v>0</x:v>
      </x:c>
      <x:c r="F86" s="3" t="n">
        <x:v>7600000</x:v>
      </x:c>
      <x:c r="G86" s="3" t="n">
        <x:v>7600000</x:v>
      </x:c>
      <x:c r="H86" s="3" t="str">
        <x:v>2024-10-15</x:v>
      </x:c>
      <x:c r="I86" s="3" t="str">
        <x:v>2024-09-30</x:v>
      </x:c>
      <x:c r="J86" s="5" t="n">
        <x:f>F86-G86</x:f>
        <x:v>0</x:v>
      </x:c>
      <x:c r="K86" s="5" t="str">
        <x:f>IF(J86=0,"paid",IF(G86=0,"unpaid","partial"))</x:f>
        <x:v>paid</x:v>
      </x:c>
    </x:row>
    <x:row r="87" ht="21" customHeight="1">
      <x:c r="A87" s="3" t="str">
        <x:v>2202008</x:v>
      </x:c>
      <x:c r="B87" s="3" t="str">
        <x:v>2024-2</x:v>
      </x:c>
      <x:c r="C87" s="3" t="n">
        <x:v>7</x:v>
      </x:c>
      <x:c r="D87" s="3" t="n">
        <x:v>950000</x:v>
      </x:c>
      <x:c r="E87" s="3" t="n">
        <x:v>0</x:v>
      </x:c>
      <x:c r="F87" s="3" t="n">
        <x:v>6650000</x:v>
      </x:c>
      <x:c r="G87" s="3" t="n">
        <x:v>6650000</x:v>
      </x:c>
      <x:c r="H87" s="3" t="str">
        <x:v>2025-03-15</x:v>
      </x:c>
      <x:c r="I87" s="3" t="str">
        <x:v>2025-03-13</x:v>
      </x:c>
      <x:c r="J87" s="5" t="n">
        <x:f>F87-G87</x:f>
        <x:v>0</x:v>
      </x:c>
      <x:c r="K87" s="5" t="str">
        <x:f>IF(J87=0,"paid",IF(G87=0,"unpaid","partial"))</x:f>
        <x:v>paid</x:v>
      </x:c>
    </x:row>
    <x:row r="88" ht="21" customHeight="1">
      <x:c r="A88" s="3" t="str">
        <x:v>2202008</x:v>
      </x:c>
      <x:c r="B88" s="3" t="str">
        <x:v>2025-1</x:v>
      </x:c>
      <x:c r="C88" s="3" t="n">
        <x:v>3</x:v>
      </x:c>
      <x:c r="D88" s="3" t="n">
        <x:v>950000</x:v>
      </x:c>
      <x:c r="E88" s="3" t="n">
        <x:v>0</x:v>
      </x:c>
      <x:c r="F88" s="3" t="n">
        <x:v>2850000</x:v>
      </x:c>
      <x:c r="G88" s="3" t="n">
        <x:v>2850000</x:v>
      </x:c>
      <x:c r="H88" s="3" t="str">
        <x:v>2025-10-15</x:v>
      </x:c>
      <x:c r="I88" s="3" t="str">
        <x:v>2025-10-05</x:v>
      </x:c>
      <x:c r="J88" s="5" t="n">
        <x:f>F88-G88</x:f>
        <x:v>0</x:v>
      </x:c>
      <x:c r="K88" s="5" t="str">
        <x:f>IF(J88=0,"paid",IF(G88=0,"unpaid","partial"))</x:f>
        <x:v>paid</x:v>
      </x:c>
    </x:row>
    <x:row r="89" ht="21" customHeight="1">
      <x:c r="A89" s="3" t="str">
        <x:v>2202009</x:v>
      </x:c>
      <x:c r="B89" s="3" t="str">
        <x:v>2024-1</x:v>
      </x:c>
      <x:c r="C89" s="3" t="n">
        <x:v>8</x:v>
      </x:c>
      <x:c r="D89" s="3" t="n">
        <x:v>950000</x:v>
      </x:c>
      <x:c r="E89" s="3" t="n">
        <x:v>0</x:v>
      </x:c>
      <x:c r="F89" s="3" t="n">
        <x:v>7600000</x:v>
      </x:c>
      <x:c r="G89" s="3" t="n">
        <x:v>7600000</x:v>
      </x:c>
      <x:c r="H89" s="3" t="str">
        <x:v>2024-10-15</x:v>
      </x:c>
      <x:c r="I89" s="3" t="str">
        <x:v>2024-10-01</x:v>
      </x:c>
      <x:c r="J89" s="5" t="n">
        <x:f>F89-G89</x:f>
        <x:v>0</x:v>
      </x:c>
      <x:c r="K89" s="5" t="str">
        <x:f>IF(J89=0,"paid",IF(G89=0,"unpaid","partial"))</x:f>
        <x:v>paid</x:v>
      </x:c>
    </x:row>
    <x:row r="90" ht="21" customHeight="1">
      <x:c r="A90" s="3" t="str">
        <x:v>2202009</x:v>
      </x:c>
      <x:c r="B90" s="3" t="str">
        <x:v>2024-2</x:v>
      </x:c>
      <x:c r="C90" s="3" t="n">
        <x:v>7</x:v>
      </x:c>
      <x:c r="D90" s="3" t="n">
        <x:v>950000</x:v>
      </x:c>
      <x:c r="E90" s="3" t="n">
        <x:v>0</x:v>
      </x:c>
      <x:c r="F90" s="3" t="n">
        <x:v>6650000</x:v>
      </x:c>
      <x:c r="G90" s="3" t="n">
        <x:v>6650000</x:v>
      </x:c>
      <x:c r="H90" s="3" t="str">
        <x:v>2025-03-15</x:v>
      </x:c>
      <x:c r="I90" s="3" t="str">
        <x:v>2025-03-08</x:v>
      </x:c>
      <x:c r="J90" s="5" t="n">
        <x:f>F90-G90</x:f>
        <x:v>0</x:v>
      </x:c>
      <x:c r="K90" s="5" t="str">
        <x:f>IF(J90=0,"paid",IF(G90=0,"unpaid","partial"))</x:f>
        <x:v>paid</x:v>
      </x:c>
    </x:row>
    <x:row r="91" ht="21" customHeight="1">
      <x:c r="A91" s="3" t="str">
        <x:v>2202009</x:v>
      </x:c>
      <x:c r="B91" s="3" t="str">
        <x:v>2025-1</x:v>
      </x:c>
      <x:c r="C91" s="3" t="n">
        <x:v>3</x:v>
      </x:c>
      <x:c r="D91" s="3" t="n">
        <x:v>950000</x:v>
      </x:c>
      <x:c r="E91" s="3" t="n">
        <x:v>20</x:v>
      </x:c>
      <x:c r="F91" s="3" t="n">
        <x:v>2280000</x:v>
      </x:c>
      <x:c r="G91" s="3" t="n">
        <x:v>0</x:v>
      </x:c>
      <x:c r="H91" s="3" t="str">
        <x:v>2025-10-15</x:v>
      </x:c>
      <x:c r="I91" s="3" t="str"/>
      <x:c r="J91" s="5" t="n">
        <x:f>F91-G91</x:f>
        <x:v>2280000</x:v>
      </x:c>
      <x:c r="K91" s="5" t="str">
        <x:f>IF(J91=0,"paid",IF(G91=0,"unpaid","partial"))</x:f>
        <x:v>unpaid</x:v>
      </x:c>
    </x:row>
    <x:row r="92" ht="21" customHeight="1">
      <x:c r="A92" s="3" t="str">
        <x:v>2202010</x:v>
      </x:c>
      <x:c r="B92" s="3" t="str">
        <x:v>2024-1</x:v>
      </x:c>
      <x:c r="C92" s="3" t="n">
        <x:v>8</x:v>
      </x:c>
      <x:c r="D92" s="3" t="n">
        <x:v>950000</x:v>
      </x:c>
      <x:c r="E92" s="3" t="n">
        <x:v>10</x:v>
      </x:c>
      <x:c r="F92" s="3" t="n">
        <x:v>6840000</x:v>
      </x:c>
      <x:c r="G92" s="3" t="n">
        <x:v>6840000</x:v>
      </x:c>
      <x:c r="H92" s="3" t="str">
        <x:v>2024-10-15</x:v>
      </x:c>
      <x:c r="I92" s="3" t="str">
        <x:v>2024-10-13</x:v>
      </x:c>
      <x:c r="J92" s="5" t="n">
        <x:f>F92-G92</x:f>
        <x:v>0</x:v>
      </x:c>
      <x:c r="K92" s="5" t="str">
        <x:f>IF(J92=0,"paid",IF(G92=0,"unpaid","partial"))</x:f>
        <x:v>paid</x:v>
      </x:c>
    </x:row>
    <x:row r="93" ht="21" customHeight="1">
      <x:c r="A93" s="3" t="str">
        <x:v>2202010</x:v>
      </x:c>
      <x:c r="B93" s="3" t="str">
        <x:v>2024-2</x:v>
      </x:c>
      <x:c r="C93" s="3" t="n">
        <x:v>7</x:v>
      </x:c>
      <x:c r="D93" s="3" t="n">
        <x:v>950000</x:v>
      </x:c>
      <x:c r="E93" s="3" t="n">
        <x:v>0</x:v>
      </x:c>
      <x:c r="F93" s="3" t="n">
        <x:v>6650000</x:v>
      </x:c>
      <x:c r="G93" s="3" t="n">
        <x:v>6650000</x:v>
      </x:c>
      <x:c r="H93" s="3" t="str">
        <x:v>2025-03-15</x:v>
      </x:c>
      <x:c r="I93" s="3" t="str">
        <x:v>2025-04-16</x:v>
      </x:c>
      <x:c r="J93" s="5" t="n">
        <x:f>F93-G93</x:f>
        <x:v>0</x:v>
      </x:c>
      <x:c r="K93" s="5" t="str">
        <x:f>IF(J93=0,"paid",IF(G93=0,"unpaid","partial"))</x:f>
        <x:v>paid</x:v>
      </x:c>
    </x:row>
    <x:row r="94" ht="21" customHeight="1">
      <x:c r="A94" s="3" t="str">
        <x:v>2202010</x:v>
      </x:c>
      <x:c r="B94" s="3" t="str">
        <x:v>2025-1</x:v>
      </x:c>
      <x:c r="C94" s="3" t="n">
        <x:v>14</x:v>
      </x:c>
      <x:c r="D94" s="3" t="n">
        <x:v>950000</x:v>
      </x:c>
      <x:c r="E94" s="3" t="n">
        <x:v>0</x:v>
      </x:c>
      <x:c r="F94" s="3" t="n">
        <x:v>13300000</x:v>
      </x:c>
      <x:c r="G94" s="3" t="n">
        <x:v>13300000</x:v>
      </x:c>
      <x:c r="H94" s="3" t="str">
        <x:v>2025-10-15</x:v>
      </x:c>
      <x:c r="I94" s="3" t="str">
        <x:v>2025-10-07</x:v>
      </x:c>
      <x:c r="J94" s="5" t="n">
        <x:f>F94-G94</x:f>
        <x:v>0</x:v>
      </x:c>
      <x:c r="K94" s="5" t="str">
        <x:f>IF(J94=0,"paid",IF(G94=0,"unpaid","partial"))</x:f>
        <x:v>paid</x:v>
      </x:c>
    </x:row>
    <x:row r="95" ht="21" customHeight="1">
      <x:c r="A95" s="3" t="str">
        <x:v>2202011</x:v>
      </x:c>
      <x:c r="B95" s="3" t="str">
        <x:v>2024-1</x:v>
      </x:c>
      <x:c r="C95" s="3" t="n">
        <x:v>8</x:v>
      </x:c>
      <x:c r="D95" s="3" t="n">
        <x:v>950000</x:v>
      </x:c>
      <x:c r="E95" s="3" t="n">
        <x:v>10</x:v>
      </x:c>
      <x:c r="F95" s="3" t="n">
        <x:v>6840000</x:v>
      </x:c>
      <x:c r="G95" s="3" t="n">
        <x:v>6840000</x:v>
      </x:c>
      <x:c r="H95" s="3" t="str">
        <x:v>2024-10-15</x:v>
      </x:c>
      <x:c r="I95" s="3" t="str">
        <x:v>2024-10-04</x:v>
      </x:c>
      <x:c r="J95" s="5" t="n">
        <x:f>F95-G95</x:f>
        <x:v>0</x:v>
      </x:c>
      <x:c r="K95" s="5" t="str">
        <x:f>IF(J95=0,"paid",IF(G95=0,"unpaid","partial"))</x:f>
        <x:v>paid</x:v>
      </x:c>
    </x:row>
    <x:row r="96" ht="21" customHeight="1">
      <x:c r="A96" s="3" t="str">
        <x:v>2202011</x:v>
      </x:c>
      <x:c r="B96" s="3" t="str">
        <x:v>2024-2</x:v>
      </x:c>
      <x:c r="C96" s="3" t="n">
        <x:v>7</x:v>
      </x:c>
      <x:c r="D96" s="3" t="n">
        <x:v>950000</x:v>
      </x:c>
      <x:c r="E96" s="3" t="n">
        <x:v>0</x:v>
      </x:c>
      <x:c r="F96" s="3" t="n">
        <x:v>6650000</x:v>
      </x:c>
      <x:c r="G96" s="3" t="n">
        <x:v>6650000</x:v>
      </x:c>
      <x:c r="H96" s="3" t="str">
        <x:v>2025-03-15</x:v>
      </x:c>
      <x:c r="I96" s="3" t="str">
        <x:v>2025-03-01</x:v>
      </x:c>
      <x:c r="J96" s="5" t="n">
        <x:f>F96-G96</x:f>
        <x:v>0</x:v>
      </x:c>
      <x:c r="K96" s="5" t="str">
        <x:f>IF(J96=0,"paid",IF(G96=0,"unpaid","partial"))</x:f>
        <x:v>paid</x:v>
      </x:c>
    </x:row>
    <x:row r="97" ht="21" customHeight="1">
      <x:c r="A97" s="3" t="str">
        <x:v>2202011</x:v>
      </x:c>
      <x:c r="B97" s="3" t="str">
        <x:v>2025-1</x:v>
      </x:c>
      <x:c r="C97" s="3" t="n">
        <x:v>3</x:v>
      </x:c>
      <x:c r="D97" s="3" t="n">
        <x:v>950000</x:v>
      </x:c>
      <x:c r="E97" s="3" t="n">
        <x:v>0</x:v>
      </x:c>
      <x:c r="F97" s="3" t="n">
        <x:v>2850000</x:v>
      </x:c>
      <x:c r="G97" s="3" t="n">
        <x:v>2850000</x:v>
      </x:c>
      <x:c r="H97" s="3" t="str">
        <x:v>2025-10-15</x:v>
      </x:c>
      <x:c r="I97" s="3" t="str">
        <x:v>2025-10-09</x:v>
      </x:c>
      <x:c r="J97" s="5" t="n">
        <x:f>F97-G97</x:f>
        <x:v>0</x:v>
      </x:c>
      <x:c r="K97" s="5" t="str">
        <x:f>IF(J97=0,"paid",IF(G97=0,"unpaid","partial"))</x:f>
        <x:v>paid</x:v>
      </x:c>
    </x:row>
    <x:row r="98" ht="21" customHeight="1">
      <x:c r="A98" s="3" t="str">
        <x:v>2202012</x:v>
      </x:c>
      <x:c r="B98" s="3" t="str">
        <x:v>2024-1</x:v>
      </x:c>
      <x:c r="C98" s="3" t="n">
        <x:v>8</x:v>
      </x:c>
      <x:c r="D98" s="3" t="n">
        <x:v>950000</x:v>
      </x:c>
      <x:c r="E98" s="3" t="n">
        <x:v>0</x:v>
      </x:c>
      <x:c r="F98" s="3" t="n">
        <x:v>7600000</x:v>
      </x:c>
      <x:c r="G98" s="3" t="n">
        <x:v>7600000</x:v>
      </x:c>
      <x:c r="H98" s="3" t="str">
        <x:v>2024-10-15</x:v>
      </x:c>
      <x:c r="I98" s="3" t="str">
        <x:v>2024-10-01</x:v>
      </x:c>
      <x:c r="J98" s="5" t="n">
        <x:f>F98-G98</x:f>
        <x:v>0</x:v>
      </x:c>
      <x:c r="K98" s="5" t="str">
        <x:f>IF(J98=0,"paid",IF(G98=0,"unpaid","partial"))</x:f>
        <x:v>paid</x:v>
      </x:c>
    </x:row>
    <x:row r="99" ht="21" customHeight="1">
      <x:c r="A99" s="3" t="str">
        <x:v>2202012</x:v>
      </x:c>
      <x:c r="B99" s="3" t="str">
        <x:v>2024-2</x:v>
      </x:c>
      <x:c r="C99" s="3" t="n">
        <x:v>7</x:v>
      </x:c>
      <x:c r="D99" s="3" t="n">
        <x:v>950000</x:v>
      </x:c>
      <x:c r="E99" s="3" t="n">
        <x:v>0</x:v>
      </x:c>
      <x:c r="F99" s="3" t="n">
        <x:v>6650000</x:v>
      </x:c>
      <x:c r="G99" s="3" t="n">
        <x:v>6650000</x:v>
      </x:c>
      <x:c r="H99" s="3" t="str">
        <x:v>2025-03-15</x:v>
      </x:c>
      <x:c r="I99" s="3" t="str">
        <x:v>2025-02-25</x:v>
      </x:c>
      <x:c r="J99" s="5" t="n">
        <x:f>F99-G99</x:f>
        <x:v>0</x:v>
      </x:c>
      <x:c r="K99" s="5" t="str">
        <x:f>IF(J99=0,"paid",IF(G99=0,"unpaid","partial"))</x:f>
        <x:v>paid</x:v>
      </x:c>
    </x:row>
    <x:row r="100" ht="21" customHeight="1">
      <x:c r="A100" s="3" t="str">
        <x:v>2202012</x:v>
      </x:c>
      <x:c r="B100" s="3" t="str">
        <x:v>2025-1</x:v>
      </x:c>
      <x:c r="C100" s="3" t="n">
        <x:v>3</x:v>
      </x:c>
      <x:c r="D100" s="3" t="n">
        <x:v>950000</x:v>
      </x:c>
      <x:c r="E100" s="3" t="n">
        <x:v>0</x:v>
      </x:c>
      <x:c r="F100" s="3" t="n">
        <x:v>2850000</x:v>
      </x:c>
      <x:c r="G100" s="3" t="n">
        <x:v>0</x:v>
      </x:c>
      <x:c r="H100" s="3" t="str">
        <x:v>2025-10-15</x:v>
      </x:c>
      <x:c r="I100" s="3" t="str"/>
      <x:c r="J100" s="5" t="n">
        <x:f>F100-G100</x:f>
        <x:v>2850000</x:v>
      </x:c>
      <x:c r="K100" s="5" t="str">
        <x:f>IF(J100=0,"paid",IF(G100=0,"unpaid","partial"))</x:f>
        <x:v>unpaid</x:v>
      </x:c>
    </x:row>
    <x:row r="101" ht="21" customHeight="1">
      <x:c r="A101" s="3" t="str">
        <x:v>2202013</x:v>
      </x:c>
      <x:c r="B101" s="3" t="str">
        <x:v>2024-1</x:v>
      </x:c>
      <x:c r="C101" s="3" t="n">
        <x:v>8</x:v>
      </x:c>
      <x:c r="D101" s="3" t="n">
        <x:v>950000</x:v>
      </x:c>
      <x:c r="E101" s="3" t="n">
        <x:v>0</x:v>
      </x:c>
      <x:c r="F101" s="3" t="n">
        <x:v>7600000</x:v>
      </x:c>
      <x:c r="G101" s="3" t="n">
        <x:v>3436000</x:v>
      </x:c>
      <x:c r="H101" s="3" t="str">
        <x:v>2024-10-15</x:v>
      </x:c>
      <x:c r="I101" s="3" t="str">
        <x:v>2024-10-06</x:v>
      </x:c>
      <x:c r="J101" s="5" t="n">
        <x:f>F101-G101</x:f>
        <x:v>4164000</x:v>
      </x:c>
      <x:c r="K101" s="5" t="str">
        <x:f>IF(J101=0,"paid",IF(G101=0,"unpaid","partial"))</x:f>
        <x:v>partial</x:v>
      </x:c>
    </x:row>
    <x:row r="102" ht="21" customHeight="1">
      <x:c r="A102" s="3" t="str">
        <x:v>2202013</x:v>
      </x:c>
      <x:c r="B102" s="3" t="str">
        <x:v>2024-2</x:v>
      </x:c>
      <x:c r="C102" s="3" t="n">
        <x:v>7</x:v>
      </x:c>
      <x:c r="D102" s="3" t="n">
        <x:v>950000</x:v>
      </x:c>
      <x:c r="E102" s="3" t="n">
        <x:v>0</x:v>
      </x:c>
      <x:c r="F102" s="3" t="n">
        <x:v>6650000</x:v>
      </x:c>
      <x:c r="G102" s="3" t="n">
        <x:v>6650000</x:v>
      </x:c>
      <x:c r="H102" s="3" t="str">
        <x:v>2025-03-15</x:v>
      </x:c>
      <x:c r="I102" s="3" t="str">
        <x:v>2025-03-04</x:v>
      </x:c>
      <x:c r="J102" s="5" t="n">
        <x:f>F102-G102</x:f>
        <x:v>0</x:v>
      </x:c>
      <x:c r="K102" s="5" t="str">
        <x:f>IF(J102=0,"paid",IF(G102=0,"unpaid","partial"))</x:f>
        <x:v>paid</x:v>
      </x:c>
    </x:row>
    <x:row r="103" ht="21" customHeight="1">
      <x:c r="A103" s="3" t="str">
        <x:v>2202013</x:v>
      </x:c>
      <x:c r="B103" s="3" t="str">
        <x:v>2025-1</x:v>
      </x:c>
      <x:c r="C103" s="3" t="n">
        <x:v>3</x:v>
      </x:c>
      <x:c r="D103" s="3" t="n">
        <x:v>950000</x:v>
      </x:c>
      <x:c r="E103" s="3" t="n">
        <x:v>0</x:v>
      </x:c>
      <x:c r="F103" s="3" t="n">
        <x:v>2850000</x:v>
      </x:c>
      <x:c r="G103" s="3" t="n">
        <x:v>2850000</x:v>
      </x:c>
      <x:c r="H103" s="3" t="str">
        <x:v>2025-10-15</x:v>
      </x:c>
      <x:c r="I103" s="3" t="str">
        <x:v>2025-10-06</x:v>
      </x:c>
      <x:c r="J103" s="5" t="n">
        <x:f>F103-G103</x:f>
        <x:v>0</x:v>
      </x:c>
      <x:c r="K103" s="5" t="str">
        <x:f>IF(J103=0,"paid",IF(G103=0,"unpaid","partial"))</x:f>
        <x:v>paid</x:v>
      </x:c>
    </x:row>
    <x:row r="104" ht="21" customHeight="1">
      <x:c r="A104" s="3" t="str">
        <x:v>2202014</x:v>
      </x:c>
      <x:c r="B104" s="3" t="str">
        <x:v>2024-1</x:v>
      </x:c>
      <x:c r="C104" s="3" t="n">
        <x:v>8</x:v>
      </x:c>
      <x:c r="D104" s="3" t="n">
        <x:v>950000</x:v>
      </x:c>
      <x:c r="E104" s="3" t="n">
        <x:v>0</x:v>
      </x:c>
      <x:c r="F104" s="3" t="n">
        <x:v>7600000</x:v>
      </x:c>
      <x:c r="G104" s="3" t="n">
        <x:v>7600000</x:v>
      </x:c>
      <x:c r="H104" s="3" t="str">
        <x:v>2024-10-15</x:v>
      </x:c>
      <x:c r="I104" s="3" t="str">
        <x:v>2024-10-06</x:v>
      </x:c>
      <x:c r="J104" s="5" t="n">
        <x:f>F104-G104</x:f>
        <x:v>0</x:v>
      </x:c>
      <x:c r="K104" s="5" t="str">
        <x:f>IF(J104=0,"paid",IF(G104=0,"unpaid","partial"))</x:f>
        <x:v>paid</x:v>
      </x:c>
    </x:row>
    <x:row r="105" ht="21" customHeight="1">
      <x:c r="A105" s="3" t="str">
        <x:v>2202014</x:v>
      </x:c>
      <x:c r="B105" s="3" t="str">
        <x:v>2024-2</x:v>
      </x:c>
      <x:c r="C105" s="3" t="n">
        <x:v>7</x:v>
      </x:c>
      <x:c r="D105" s="3" t="n">
        <x:v>950000</x:v>
      </x:c>
      <x:c r="E105" s="3" t="n">
        <x:v>0</x:v>
      </x:c>
      <x:c r="F105" s="3" t="n">
        <x:v>6650000</x:v>
      </x:c>
      <x:c r="G105" s="3" t="n">
        <x:v>6650000</x:v>
      </x:c>
      <x:c r="H105" s="3" t="str">
        <x:v>2025-03-15</x:v>
      </x:c>
      <x:c r="I105" s="3" t="str">
        <x:v>2025-03-13</x:v>
      </x:c>
      <x:c r="J105" s="5" t="n">
        <x:f>F105-G105</x:f>
        <x:v>0</x:v>
      </x:c>
      <x:c r="K105" s="5" t="str">
        <x:f>IF(J105=0,"paid",IF(G105=0,"unpaid","partial"))</x:f>
        <x:v>paid</x:v>
      </x:c>
    </x:row>
    <x:row r="106" ht="21" customHeight="1">
      <x:c r="A106" s="3" t="str">
        <x:v>2202014</x:v>
      </x:c>
      <x:c r="B106" s="3" t="str">
        <x:v>2025-1</x:v>
      </x:c>
      <x:c r="C106" s="3" t="n">
        <x:v>3</x:v>
      </x:c>
      <x:c r="D106" s="3" t="n">
        <x:v>950000</x:v>
      </x:c>
      <x:c r="E106" s="3" t="n">
        <x:v>0</x:v>
      </x:c>
      <x:c r="F106" s="3" t="n">
        <x:v>2850000</x:v>
      </x:c>
      <x:c r="G106" s="3" t="n">
        <x:v>0</x:v>
      </x:c>
      <x:c r="H106" s="3" t="str">
        <x:v>2025-10-15</x:v>
      </x:c>
      <x:c r="I106" s="3" t="str"/>
      <x:c r="J106" s="5" t="n">
        <x:f>F106-G106</x:f>
        <x:v>2850000</x:v>
      </x:c>
      <x:c r="K106" s="5" t="str">
        <x:f>IF(J106=0,"paid",IF(G106=0,"unpaid","partial"))</x:f>
        <x:v>unpaid</x:v>
      </x:c>
    </x:row>
    <x:row r="107" ht="21" customHeight="1">
      <x:c r="A107" s="3" t="str">
        <x:v>2202015</x:v>
      </x:c>
      <x:c r="B107" s="3" t="str">
        <x:v>2024-1</x:v>
      </x:c>
      <x:c r="C107" s="3" t="n">
        <x:v>8</x:v>
      </x:c>
      <x:c r="D107" s="3" t="n">
        <x:v>950000</x:v>
      </x:c>
      <x:c r="E107" s="3" t="n">
        <x:v>0</x:v>
      </x:c>
      <x:c r="F107" s="3" t="n">
        <x:v>7600000</x:v>
      </x:c>
      <x:c r="G107" s="3" t="n">
        <x:v>7600000</x:v>
      </x:c>
      <x:c r="H107" s="3" t="str">
        <x:v>2024-10-15</x:v>
      </x:c>
      <x:c r="I107" s="3" t="str">
        <x:v>2024-11-09</x:v>
      </x:c>
      <x:c r="J107" s="5" t="n">
        <x:f>F107-G107</x:f>
        <x:v>0</x:v>
      </x:c>
      <x:c r="K107" s="5" t="str">
        <x:f>IF(J107=0,"paid",IF(G107=0,"unpaid","partial"))</x:f>
        <x:v>paid</x:v>
      </x:c>
    </x:row>
    <x:row r="108" ht="21" customHeight="1">
      <x:c r="A108" s="3" t="str">
        <x:v>2202015</x:v>
      </x:c>
      <x:c r="B108" s="3" t="str">
        <x:v>2024-2</x:v>
      </x:c>
      <x:c r="C108" s="3" t="n">
        <x:v>7</x:v>
      </x:c>
      <x:c r="D108" s="3" t="n">
        <x:v>950000</x:v>
      </x:c>
      <x:c r="E108" s="3" t="n">
        <x:v>20</x:v>
      </x:c>
      <x:c r="F108" s="3" t="n">
        <x:v>5320000</x:v>
      </x:c>
      <x:c r="G108" s="3" t="n">
        <x:v>5320000</x:v>
      </x:c>
      <x:c r="H108" s="3" t="str">
        <x:v>2025-03-15</x:v>
      </x:c>
      <x:c r="I108" s="3" t="str">
        <x:v>2025-02-26</x:v>
      </x:c>
      <x:c r="J108" s="5" t="n">
        <x:f>F108-G108</x:f>
        <x:v>0</x:v>
      </x:c>
      <x:c r="K108" s="5" t="str">
        <x:f>IF(J108=0,"paid",IF(G108=0,"unpaid","partial"))</x:f>
        <x:v>paid</x:v>
      </x:c>
    </x:row>
    <x:row r="109" ht="21" customHeight="1">
      <x:c r="A109" s="3" t="str">
        <x:v>2202015</x:v>
      </x:c>
      <x:c r="B109" s="3" t="str">
        <x:v>2025-1</x:v>
      </x:c>
      <x:c r="C109" s="3" t="n">
        <x:v>15</x:v>
      </x:c>
      <x:c r="D109" s="3" t="n">
        <x:v>950000</x:v>
      </x:c>
      <x:c r="E109" s="3" t="n">
        <x:v>0</x:v>
      </x:c>
      <x:c r="F109" s="3" t="n">
        <x:v>14250000</x:v>
      </x:c>
      <x:c r="G109" s="3" t="n">
        <x:v>14250000</x:v>
      </x:c>
      <x:c r="H109" s="3" t="str">
        <x:v>2025-10-15</x:v>
      </x:c>
      <x:c r="I109" s="3" t="str">
        <x:v>2025-10-11</x:v>
      </x:c>
      <x:c r="J109" s="5" t="n">
        <x:f>F109-G109</x:f>
        <x:v>0</x:v>
      </x:c>
      <x:c r="K109" s="5" t="str">
        <x:f>IF(J109=0,"paid",IF(G109=0,"unpaid","partial"))</x:f>
        <x:v>paid</x:v>
      </x:c>
    </x:row>
    <x:row r="110" ht="21" customHeight="1">
      <x:c r="A110" s="3" t="str">
        <x:v>2202016</x:v>
      </x:c>
      <x:c r="B110" s="3" t="str">
        <x:v>2024-1</x:v>
      </x:c>
      <x:c r="C110" s="3" t="n">
        <x:v>8</x:v>
      </x:c>
      <x:c r="D110" s="3" t="n">
        <x:v>950000</x:v>
      </x:c>
      <x:c r="E110" s="3" t="n">
        <x:v>0</x:v>
      </x:c>
      <x:c r="F110" s="3" t="n">
        <x:v>7600000</x:v>
      </x:c>
      <x:c r="G110" s="3" t="n">
        <x:v>7600000</x:v>
      </x:c>
      <x:c r="H110" s="3" t="str">
        <x:v>2024-10-15</x:v>
      </x:c>
      <x:c r="I110" s="3" t="str">
        <x:v>2024-10-05</x:v>
      </x:c>
      <x:c r="J110" s="5" t="n">
        <x:f>F110-G110</x:f>
        <x:v>0</x:v>
      </x:c>
      <x:c r="K110" s="5" t="str">
        <x:f>IF(J110=0,"paid",IF(G110=0,"unpaid","partial"))</x:f>
        <x:v>paid</x:v>
      </x:c>
    </x:row>
    <x:row r="111" ht="21" customHeight="1">
      <x:c r="A111" s="3" t="str">
        <x:v>2202016</x:v>
      </x:c>
      <x:c r="B111" s="3" t="str">
        <x:v>2024-2</x:v>
      </x:c>
      <x:c r="C111" s="3" t="n">
        <x:v>7</x:v>
      </x:c>
      <x:c r="D111" s="3" t="n">
        <x:v>950000</x:v>
      </x:c>
      <x:c r="E111" s="3" t="n">
        <x:v>0</x:v>
      </x:c>
      <x:c r="F111" s="3" t="n">
        <x:v>6650000</x:v>
      </x:c>
      <x:c r="G111" s="3" t="n">
        <x:v>6650000</x:v>
      </x:c>
      <x:c r="H111" s="3" t="str">
        <x:v>2025-03-15</x:v>
      </x:c>
      <x:c r="I111" s="3" t="str">
        <x:v>2025-03-09</x:v>
      </x:c>
      <x:c r="J111" s="5" t="n">
        <x:f>F111-G111</x:f>
        <x:v>0</x:v>
      </x:c>
      <x:c r="K111" s="5" t="str">
        <x:f>IF(J111=0,"paid",IF(G111=0,"unpaid","partial"))</x:f>
        <x:v>paid</x:v>
      </x:c>
    </x:row>
    <x:row r="112" ht="21" customHeight="1">
      <x:c r="A112" s="3" t="str">
        <x:v>2202016</x:v>
      </x:c>
      <x:c r="B112" s="3" t="str">
        <x:v>2025-1</x:v>
      </x:c>
      <x:c r="C112" s="3" t="n">
        <x:v>3</x:v>
      </x:c>
      <x:c r="D112" s="3" t="n">
        <x:v>950000</x:v>
      </x:c>
      <x:c r="E112" s="3" t="n">
        <x:v>0</x:v>
      </x:c>
      <x:c r="F112" s="3" t="n">
        <x:v>2850000</x:v>
      </x:c>
      <x:c r="G112" s="3" t="n">
        <x:v>2850000</x:v>
      </x:c>
      <x:c r="H112" s="3" t="str">
        <x:v>2025-10-15</x:v>
      </x:c>
      <x:c r="I112" s="3" t="str">
        <x:v>2025-10-06</x:v>
      </x:c>
      <x:c r="J112" s="5" t="n">
        <x:f>F112-G112</x:f>
        <x:v>0</x:v>
      </x:c>
      <x:c r="K112" s="5" t="str">
        <x:f>IF(J112=0,"paid",IF(G112=0,"unpaid","partial"))</x:f>
        <x:v>paid</x:v>
      </x:c>
    </x:row>
    <x:row r="113" ht="21" customHeight="1">
      <x:c r="A113" s="3" t="str">
        <x:v>2202017</x:v>
      </x:c>
      <x:c r="B113" s="3" t="str">
        <x:v>2024-1</x:v>
      </x:c>
      <x:c r="C113" s="3" t="n">
        <x:v>8</x:v>
      </x:c>
      <x:c r="D113" s="3" t="n">
        <x:v>950000</x:v>
      </x:c>
      <x:c r="E113" s="3" t="n">
        <x:v>0</x:v>
      </x:c>
      <x:c r="F113" s="3" t="n">
        <x:v>7600000</x:v>
      </x:c>
      <x:c r="G113" s="3" t="n">
        <x:v>7600000</x:v>
      </x:c>
      <x:c r="H113" s="3" t="str">
        <x:v>2024-10-15</x:v>
      </x:c>
      <x:c r="I113" s="3" t="str">
        <x:v>2024-09-28</x:v>
      </x:c>
      <x:c r="J113" s="5" t="n">
        <x:f>F113-G113</x:f>
        <x:v>0</x:v>
      </x:c>
      <x:c r="K113" s="5" t="str">
        <x:f>IF(J113=0,"paid",IF(G113=0,"unpaid","partial"))</x:f>
        <x:v>paid</x:v>
      </x:c>
    </x:row>
    <x:row r="114" ht="21" customHeight="1">
      <x:c r="A114" s="3" t="str">
        <x:v>2202017</x:v>
      </x:c>
      <x:c r="B114" s="3" t="str">
        <x:v>2024-2</x:v>
      </x:c>
      <x:c r="C114" s="3" t="n">
        <x:v>7</x:v>
      </x:c>
      <x:c r="D114" s="3" t="n">
        <x:v>950000</x:v>
      </x:c>
      <x:c r="E114" s="3" t="n">
        <x:v>0</x:v>
      </x:c>
      <x:c r="F114" s="3" t="n">
        <x:v>6650000</x:v>
      </x:c>
      <x:c r="G114" s="3" t="n">
        <x:v>4065000</x:v>
      </x:c>
      <x:c r="H114" s="3" t="str">
        <x:v>2025-03-15</x:v>
      </x:c>
      <x:c r="I114" s="3" t="str">
        <x:v>2025-03-11</x:v>
      </x:c>
      <x:c r="J114" s="5" t="n">
        <x:f>F114-G114</x:f>
        <x:v>2585000</x:v>
      </x:c>
      <x:c r="K114" s="5" t="str">
        <x:f>IF(J114=0,"paid",IF(G114=0,"unpaid","partial"))</x:f>
        <x:v>partial</x:v>
      </x:c>
    </x:row>
    <x:row r="115" ht="21" customHeight="1">
      <x:c r="A115" s="3" t="str">
        <x:v>2202017</x:v>
      </x:c>
      <x:c r="B115" s="3" t="str">
        <x:v>2025-1</x:v>
      </x:c>
      <x:c r="C115" s="3" t="n">
        <x:v>3</x:v>
      </x:c>
      <x:c r="D115" s="3" t="n">
        <x:v>950000</x:v>
      </x:c>
      <x:c r="E115" s="3" t="n">
        <x:v>0</x:v>
      </x:c>
      <x:c r="F115" s="3" t="n">
        <x:v>2850000</x:v>
      </x:c>
      <x:c r="G115" s="3" t="n">
        <x:v>2850000</x:v>
      </x:c>
      <x:c r="H115" s="3" t="str">
        <x:v>2025-10-15</x:v>
      </x:c>
      <x:c r="I115" s="3" t="str">
        <x:v>2025-09-26</x:v>
      </x:c>
      <x:c r="J115" s="5" t="n">
        <x:f>F115-G115</x:f>
        <x:v>0</x:v>
      </x:c>
      <x:c r="K115" s="5" t="str">
        <x:f>IF(J115=0,"paid",IF(G115=0,"unpaid","partial"))</x:f>
        <x:v>paid</x:v>
      </x:c>
    </x:row>
    <x:row r="116" ht="21" customHeight="1">
      <x:c r="A116" s="3" t="str">
        <x:v>2202018</x:v>
      </x:c>
      <x:c r="B116" s="3" t="str">
        <x:v>2024-1</x:v>
      </x:c>
      <x:c r="C116" s="3" t="n">
        <x:v>8</x:v>
      </x:c>
      <x:c r="D116" s="3" t="n">
        <x:v>950000</x:v>
      </x:c>
      <x:c r="E116" s="3" t="n">
        <x:v>0</x:v>
      </x:c>
      <x:c r="F116" s="3" t="n">
        <x:v>7600000</x:v>
      </x:c>
      <x:c r="G116" s="3" t="n">
        <x:v>4073000</x:v>
      </x:c>
      <x:c r="H116" s="3" t="str">
        <x:v>2024-10-15</x:v>
      </x:c>
      <x:c r="I116" s="3" t="str">
        <x:v>2024-10-07</x:v>
      </x:c>
      <x:c r="J116" s="5" t="n">
        <x:f>F116-G116</x:f>
        <x:v>3527000</x:v>
      </x:c>
      <x:c r="K116" s="5" t="str">
        <x:f>IF(J116=0,"paid",IF(G116=0,"unpaid","partial"))</x:f>
        <x:v>partial</x:v>
      </x:c>
    </x:row>
    <x:row r="117" ht="21" customHeight="1">
      <x:c r="A117" s="3" t="str">
        <x:v>2202018</x:v>
      </x:c>
      <x:c r="B117" s="3" t="str">
        <x:v>2024-2</x:v>
      </x:c>
      <x:c r="C117" s="3" t="n">
        <x:v>7</x:v>
      </x:c>
      <x:c r="D117" s="3" t="n">
        <x:v>950000</x:v>
      </x:c>
      <x:c r="E117" s="3" t="n">
        <x:v>0</x:v>
      </x:c>
      <x:c r="F117" s="3" t="n">
        <x:v>6650000</x:v>
      </x:c>
      <x:c r="G117" s="3" t="n">
        <x:v>6650000</x:v>
      </x:c>
      <x:c r="H117" s="3" t="str">
        <x:v>2025-03-15</x:v>
      </x:c>
      <x:c r="I117" s="3" t="str">
        <x:v>2025-03-13</x:v>
      </x:c>
      <x:c r="J117" s="5" t="n">
        <x:f>F117-G117</x:f>
        <x:v>0</x:v>
      </x:c>
      <x:c r="K117" s="5" t="str">
        <x:f>IF(J117=0,"paid",IF(G117=0,"unpaid","partial"))</x:f>
        <x:v>paid</x:v>
      </x:c>
    </x:row>
    <x:row r="118" ht="21" customHeight="1">
      <x:c r="A118" s="3" t="str">
        <x:v>2202018</x:v>
      </x:c>
      <x:c r="B118" s="3" t="str">
        <x:v>2025-1</x:v>
      </x:c>
      <x:c r="C118" s="3" t="n">
        <x:v>3</x:v>
      </x:c>
      <x:c r="D118" s="3" t="n">
        <x:v>950000</x:v>
      </x:c>
      <x:c r="E118" s="3" t="n">
        <x:v>0</x:v>
      </x:c>
      <x:c r="F118" s="3" t="n">
        <x:v>2850000</x:v>
      </x:c>
      <x:c r="G118" s="3" t="n">
        <x:v>2850000</x:v>
      </x:c>
      <x:c r="H118" s="3" t="str">
        <x:v>2025-10-15</x:v>
      </x:c>
      <x:c r="I118" s="3" t="str">
        <x:v>2025-10-04</x:v>
      </x:c>
      <x:c r="J118" s="5" t="n">
        <x:f>F118-G118</x:f>
        <x:v>0</x:v>
      </x:c>
      <x:c r="K118" s="5" t="str">
        <x:f>IF(J118=0,"paid",IF(G118=0,"unpaid","partial"))</x:f>
        <x:v>paid</x:v>
      </x:c>
    </x:row>
    <x:row r="119" ht="21" customHeight="1">
      <x:c r="A119" s="3" t="str">
        <x:v>2202019</x:v>
      </x:c>
      <x:c r="B119" s="3" t="str">
        <x:v>2024-1</x:v>
      </x:c>
      <x:c r="C119" s="3" t="n">
        <x:v>8</x:v>
      </x:c>
      <x:c r="D119" s="3" t="n">
        <x:v>950000</x:v>
      </x:c>
      <x:c r="E119" s="3" t="n">
        <x:v>0</x:v>
      </x:c>
      <x:c r="F119" s="3" t="n">
        <x:v>7600000</x:v>
      </x:c>
      <x:c r="G119" s="3" t="n">
        <x:v>7600000</x:v>
      </x:c>
      <x:c r="H119" s="3" t="str">
        <x:v>2024-10-15</x:v>
      </x:c>
      <x:c r="I119" s="3" t="str">
        <x:v>2024-09-30</x:v>
      </x:c>
      <x:c r="J119" s="5" t="n">
        <x:f>F119-G119</x:f>
        <x:v>0</x:v>
      </x:c>
      <x:c r="K119" s="5" t="str">
        <x:f>IF(J119=0,"paid",IF(G119=0,"unpaid","partial"))</x:f>
        <x:v>paid</x:v>
      </x:c>
    </x:row>
    <x:row r="120" ht="21" customHeight="1">
      <x:c r="A120" s="3" t="str">
        <x:v>2202019</x:v>
      </x:c>
      <x:c r="B120" s="3" t="str">
        <x:v>2024-2</x:v>
      </x:c>
      <x:c r="C120" s="3" t="n">
        <x:v>7</x:v>
      </x:c>
      <x:c r="D120" s="3" t="n">
        <x:v>950000</x:v>
      </x:c>
      <x:c r="E120" s="3" t="n">
        <x:v>0</x:v>
      </x:c>
      <x:c r="F120" s="3" t="n">
        <x:v>6650000</x:v>
      </x:c>
      <x:c r="G120" s="3" t="n">
        <x:v>6650000</x:v>
      </x:c>
      <x:c r="H120" s="3" t="str">
        <x:v>2025-03-15</x:v>
      </x:c>
      <x:c r="I120" s="3" t="str">
        <x:v>2025-03-07</x:v>
      </x:c>
      <x:c r="J120" s="5" t="n">
        <x:f>F120-G120</x:f>
        <x:v>0</x:v>
      </x:c>
      <x:c r="K120" s="5" t="str">
        <x:f>IF(J120=0,"paid",IF(G120=0,"unpaid","partial"))</x:f>
        <x:v>paid</x:v>
      </x:c>
    </x:row>
    <x:row r="121" ht="21" customHeight="1">
      <x:c r="A121" s="3" t="str">
        <x:v>2202019</x:v>
      </x:c>
      <x:c r="B121" s="3" t="str">
        <x:v>2025-1</x:v>
      </x:c>
      <x:c r="C121" s="3" t="n">
        <x:v>3</x:v>
      </x:c>
      <x:c r="D121" s="3" t="n">
        <x:v>950000</x:v>
      </x:c>
      <x:c r="E121" s="3" t="n">
        <x:v>10</x:v>
      </x:c>
      <x:c r="F121" s="3" t="n">
        <x:v>2565000</x:v>
      </x:c>
      <x:c r="G121" s="3" t="n">
        <x:v>0</x:v>
      </x:c>
      <x:c r="H121" s="3" t="str">
        <x:v>2025-10-15</x:v>
      </x:c>
      <x:c r="I121" s="3" t="str"/>
      <x:c r="J121" s="5" t="n">
        <x:f>F121-G121</x:f>
        <x:v>2565000</x:v>
      </x:c>
      <x:c r="K121" s="5" t="str">
        <x:f>IF(J121=0,"paid",IF(G121=0,"unpaid","partial"))</x:f>
        <x:v>unpaid</x:v>
      </x:c>
    </x:row>
    <x:row r="122" ht="21" customHeight="1">
      <x:c r="A122" s="3" t="str">
        <x:v>2202020</x:v>
      </x:c>
      <x:c r="B122" s="3" t="str">
        <x:v>2024-1</x:v>
      </x:c>
      <x:c r="C122" s="3" t="n">
        <x:v>8</x:v>
      </x:c>
      <x:c r="D122" s="3" t="n">
        <x:v>950000</x:v>
      </x:c>
      <x:c r="E122" s="3" t="n">
        <x:v>0</x:v>
      </x:c>
      <x:c r="F122" s="3" t="n">
        <x:v>7600000</x:v>
      </x:c>
      <x:c r="G122" s="3" t="n">
        <x:v>4935000</x:v>
      </x:c>
      <x:c r="H122" s="3" t="str">
        <x:v>2024-10-15</x:v>
      </x:c>
      <x:c r="I122" s="3" t="str">
        <x:v>2024-10-09</x:v>
      </x:c>
      <x:c r="J122" s="5" t="n">
        <x:f>F122-G122</x:f>
        <x:v>2665000</x:v>
      </x:c>
      <x:c r="K122" s="5" t="str">
        <x:f>IF(J122=0,"paid",IF(G122=0,"unpaid","partial"))</x:f>
        <x:v>partial</x:v>
      </x:c>
    </x:row>
    <x:row r="123" ht="21" customHeight="1">
      <x:c r="A123" s="3" t="str">
        <x:v>2202020</x:v>
      </x:c>
      <x:c r="B123" s="3" t="str">
        <x:v>2024-2</x:v>
      </x:c>
      <x:c r="C123" s="3" t="n">
        <x:v>7</x:v>
      </x:c>
      <x:c r="D123" s="3" t="n">
        <x:v>950000</x:v>
      </x:c>
      <x:c r="E123" s="3" t="n">
        <x:v>10</x:v>
      </x:c>
      <x:c r="F123" s="3" t="n">
        <x:v>5985000</x:v>
      </x:c>
      <x:c r="G123" s="3" t="n">
        <x:v>5985000</x:v>
      </x:c>
      <x:c r="H123" s="3" t="str">
        <x:v>2025-03-15</x:v>
      </x:c>
      <x:c r="I123" s="3" t="str">
        <x:v>2025-03-06</x:v>
      </x:c>
      <x:c r="J123" s="5" t="n">
        <x:f>F123-G123</x:f>
        <x:v>0</x:v>
      </x:c>
      <x:c r="K123" s="5" t="str">
        <x:f>IF(J123=0,"paid",IF(G123=0,"unpaid","partial"))</x:f>
        <x:v>paid</x:v>
      </x:c>
    </x:row>
    <x:row r="124" ht="21" customHeight="1">
      <x:c r="A124" s="3" t="str">
        <x:v>2202020</x:v>
      </x:c>
      <x:c r="B124" s="3" t="str">
        <x:v>2025-1</x:v>
      </x:c>
      <x:c r="C124" s="3" t="n">
        <x:v>12</x:v>
      </x:c>
      <x:c r="D124" s="3" t="n">
        <x:v>950000</x:v>
      </x:c>
      <x:c r="E124" s="3" t="n">
        <x:v>0</x:v>
      </x:c>
      <x:c r="F124" s="3" t="n">
        <x:v>11400000</x:v>
      </x:c>
      <x:c r="G124" s="3" t="n">
        <x:v>11400000</x:v>
      </x:c>
      <x:c r="H124" s="3" t="str">
        <x:v>2025-10-15</x:v>
      </x:c>
      <x:c r="I124" s="3" t="str">
        <x:v>2025-10-09</x:v>
      </x:c>
      <x:c r="J124" s="5" t="n">
        <x:f>F124-G124</x:f>
        <x:v>0</x:v>
      </x:c>
      <x:c r="K124" s="5" t="str">
        <x:f>IF(J124=0,"paid",IF(G124=0,"unpaid","partial"))</x:f>
        <x:v>paid</x:v>
      </x:c>
    </x:row>
    <x:row r="125" ht="21" customHeight="1">
      <x:c r="A125" s="3" t="str">
        <x:v>2201001</x:v>
      </x:c>
      <x:c r="B125" s="3" t="str">
        <x:v>2024-1</x:v>
      </x:c>
      <x:c r="C125" s="3" t="n">
        <x:v>8</x:v>
      </x:c>
      <x:c r="D125" s="3" t="n">
        <x:v>1050000</x:v>
      </x:c>
      <x:c r="E125" s="3" t="n">
        <x:v>0</x:v>
      </x:c>
      <x:c r="F125" s="3" t="n">
        <x:v>8400000</x:v>
      </x:c>
      <x:c r="G125" s="3" t="n">
        <x:v>8400000</x:v>
      </x:c>
      <x:c r="H125" s="3" t="str">
        <x:v>2024-10-15</x:v>
      </x:c>
      <x:c r="I125" s="3" t="str">
        <x:v>2024-09-26</x:v>
      </x:c>
      <x:c r="J125" s="5" t="n">
        <x:f>F125-G125</x:f>
        <x:v>0</x:v>
      </x:c>
      <x:c r="K125" s="5" t="str">
        <x:f>IF(J125=0,"paid",IF(G125=0,"unpaid","partial"))</x:f>
        <x:v>paid</x:v>
      </x:c>
    </x:row>
    <x:row r="126" ht="21" customHeight="1">
      <x:c r="A126" s="3" t="str">
        <x:v>2299998</x:v>
      </x:c>
      <x:c r="B126" s="3" t="str">
        <x:v>2024-2</x:v>
      </x:c>
      <x:c r="C126" s="3" t="n">
        <x:v>7</x:v>
      </x:c>
      <x:c r="D126" s="3" t="n">
        <x:v>1050000</x:v>
      </x:c>
      <x:c r="E126" s="3" t="n">
        <x:v>0</x:v>
      </x:c>
      <x:c r="F126" s="3" t="n">
        <x:v>1234567</x:v>
      </x:c>
      <x:c r="G126" s="3" t="n">
        <x:v>7350000</x:v>
      </x:c>
      <x:c r="H126" s="3" t="str">
        <x:v>2025-03-15</x:v>
      </x:c>
      <x:c r="I126" s="3" t="str">
        <x:v>2025-03-02</x:v>
      </x:c>
      <x:c r="J126" s="5" t="n">
        <x:f>F126-G126</x:f>
        <x:v>-6115433</x:v>
      </x:c>
      <x:c r="K126" s="5" t="str">
        <x:f>IF(J126=0,"paid",IF(G126=0,"unpaid","partial"))</x:f>
        <x:v>partial</x:v>
      </x:c>
    </x:row>
    <x:row r="127" ht="21" customHeight="1">
      <x:c r="A127" s="3" t="str">
        <x:v>2299997</x:v>
      </x:c>
      <x:c r="B127" s="3" t="str">
        <x:v>2025-1</x:v>
      </x:c>
      <x:c r="C127" s="3" t="n">
        <x:v>3</x:v>
      </x:c>
      <x:c r="D127" s="3" t="n">
        <x:v>1050000</x:v>
      </x:c>
      <x:c r="E127" s="3" t="n">
        <x:v>150</x:v>
      </x:c>
      <x:c r="F127" s="3" t="n">
        <x:v>3150000</x:v>
      </x:c>
      <x:c r="G127" s="3" t="n">
        <x:v>3150000</x:v>
      </x:c>
      <x:c r="H127" s="3" t="str">
        <x:v>2025-10-15</x:v>
      </x:c>
      <x:c r="I127" s="3" t="str">
        <x:v>2025-09-27</x:v>
      </x:c>
      <x:c r="J127" s="5" t="n">
        <x:f>F127-G127</x:f>
        <x:v>0</x:v>
      </x:c>
      <x:c r="K127" s="5" t="str">
        <x:f>IF(J127=0,"paid",IF(G127=0,"unpaid","partial"))</x:f>
        <x:v>paid</x:v>
      </x:c>
    </x:row>
    <x:row r="128" ht="21" customHeight="1">
      <x:c r="A128" s="3" t="str">
        <x:v>2299996</x:v>
      </x:c>
      <x:c r="B128" s="3" t="str">
        <x:v>2024-1</x:v>
      </x:c>
      <x:c r="C128" s="3" t="n">
        <x:v>8</x:v>
      </x:c>
      <x:c r="D128" s="3" t="n">
        <x:v>1050000</x:v>
      </x:c>
      <x:c r="E128" s="3" t="n">
        <x:v>0</x:v>
      </x:c>
      <x:c r="F128" s="3" t="n">
        <x:v>8400000</x:v>
      </x:c>
      <x:c r="G128" s="3" t="n">
        <x:v>9400000</x:v>
      </x:c>
      <x:c r="H128" s="3" t="str">
        <x:v>2024-10-15</x:v>
      </x:c>
      <x:c r="I128" s="3" t="str"/>
      <x:c r="J128" s="5" t="n">
        <x:f>F128-G128</x:f>
        <x:v>-1000000</x:v>
      </x:c>
      <x:c r="K128" s="5" t="str">
        <x:f>IF(J128=0,"paid",IF(G128=0,"unpaid","partial"))</x:f>
        <x:v>partial</x:v>
      </x:c>
    </x:row>
    <x:row r="129" ht="21" customHeight="1">
      <x:c r="A129" s="3" t="str">
        <x:v>2299995</x:v>
      </x:c>
      <x:c r="B129" s="3" t="str">
        <x:v>2024-2</x:v>
      </x:c>
      <x:c r="C129" s="3" t="n">
        <x:v>7</x:v>
      </x:c>
      <x:c r="D129" s="3" t="n">
        <x:v>1050000</x:v>
      </x:c>
      <x:c r="E129" s="3" t="n">
        <x:v>0</x:v>
      </x:c>
      <x:c r="F129" s="3" t="n">
        <x:v>7350000</x:v>
      </x:c>
      <x:c r="G129" s="3" t="n">
        <x:v>7350000</x:v>
      </x:c>
      <x:c r="H129" s="3" t="str">
        <x:v>15/10/2024</x:v>
      </x:c>
      <x:c r="I129" s="3" t="str">
        <x:v>2025-02-28</x:v>
      </x:c>
      <x:c r="J129" s="5" t="n">
        <x:f>F129-G129</x:f>
        <x:v>0</x:v>
      </x:c>
      <x:c r="K129" s="5" t="str">
        <x:f>IF(J129=0,"paid",IF(G129=0,"unpaid","partial"))</x:f>
        <x:v>paid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19" hidden="0" customWidth="1"/>
    <x:col min="5" max="5" width="19" hidden="0" customWidth="1"/>
  </x:cols>
  <x:sheetData>
    <x:row r="1">
      <x:c r="A1" s="1" t="str">
        <x:v>Payroll</x:v>
      </x:c>
    </x:row>
    <x:row r="2">
      <x:c r="A2" t="str">
        <x:v>5d72748:mcp-academic/data/sample-finance/payroll.csv</x:v>
      </x:c>
    </x:row>
    <x:row r="3">
      <x:c r="A3" t="str">
        <x:v>CSV values start on row 5. Blue inputs, black calculations. Sources and hashes: reference-manifest.json.</x:v>
      </x:c>
    </x:row>
    <x:row r="4" ht="21" customHeight="1">
      <x:c r="A4" s="7" t="str">
        <x:v>teacher_id</x:v>
      </x:c>
      <x:c r="B4" s="7" t="str">
        <x:v>month</x:v>
      </x:c>
      <x:c r="C4" s="7" t="str">
        <x:v>base_salary</x:v>
      </x:c>
      <x:c r="D4" s="7" t="str">
        <x:v>bonus</x:v>
      </x:c>
      <x:c r="E4" s="7" t="str">
        <x:v>deductions</x:v>
      </x:c>
    </x:row>
    <x:row r="5" ht="21" customHeight="1">
      <x:c r="A5" s="3" t="str">
        <x:v>T001</x:v>
      </x:c>
      <x:c r="B5" s="3" t="str">
        <x:v>2024-09</x:v>
      </x:c>
      <x:c r="C5" s="3" t="n">
        <x:v>18000000</x:v>
      </x:c>
      <x:c r="D5" s="3" t="n">
        <x:v>2000000</x:v>
      </x:c>
      <x:c r="E5" s="3" t="n">
        <x:v>1890000</x:v>
      </x:c>
    </x:row>
    <x:row r="6" ht="21" customHeight="1">
      <x:c r="A6" s="3" t="str">
        <x:v>T001</x:v>
      </x:c>
      <x:c r="B6" s="3" t="str">
        <x:v>2024-10</x:v>
      </x:c>
      <x:c r="C6" s="3" t="n">
        <x:v>18000000</x:v>
      </x:c>
      <x:c r="D6" s="3" t="n">
        <x:v>2500000</x:v>
      </x:c>
      <x:c r="E6" s="3" t="n">
        <x:v>1890000</x:v>
      </x:c>
    </x:row>
    <x:row r="7" ht="21" customHeight="1">
      <x:c r="A7" s="3" t="str">
        <x:v>T001</x:v>
      </x:c>
      <x:c r="B7" s="3" t="str">
        <x:v>2024-11</x:v>
      </x:c>
      <x:c r="C7" s="3" t="n">
        <x:v>18000000</x:v>
      </x:c>
      <x:c r="D7" s="3" t="n">
        <x:v>1500000</x:v>
      </x:c>
      <x:c r="E7" s="3" t="n">
        <x:v>1890000</x:v>
      </x:c>
    </x:row>
    <x:row r="8" ht="21" customHeight="1">
      <x:c r="A8" s="3" t="str">
        <x:v>T001</x:v>
      </x:c>
      <x:c r="B8" s="3" t="str">
        <x:v>2024-12</x:v>
      </x:c>
      <x:c r="C8" s="3" t="n">
        <x:v>18000000</x:v>
      </x:c>
      <x:c r="D8" s="3" t="n">
        <x:v>3000000</x:v>
      </x:c>
      <x:c r="E8" s="3" t="n">
        <x:v>1890000</x:v>
      </x:c>
    </x:row>
    <x:row r="9" ht="21" customHeight="1">
      <x:c r="A9" s="3" t="str">
        <x:v>T002</x:v>
      </x:c>
      <x:c r="B9" s="3" t="str">
        <x:v>2024-09</x:v>
      </x:c>
      <x:c r="C9" s="3" t="n">
        <x:v>16500000</x:v>
      </x:c>
      <x:c r="D9" s="3" t="n">
        <x:v>1500000</x:v>
      </x:c>
      <x:c r="E9" s="3" t="n">
        <x:v>1732500</x:v>
      </x:c>
    </x:row>
    <x:row r="10" ht="21" customHeight="1">
      <x:c r="A10" s="3" t="str">
        <x:v>T002</x:v>
      </x:c>
      <x:c r="B10" s="3" t="str">
        <x:v>2024-10</x:v>
      </x:c>
      <x:c r="C10" s="3" t="n">
        <x:v>16500000</x:v>
      </x:c>
      <x:c r="D10" s="3" t="n">
        <x:v>2000000</x:v>
      </x:c>
      <x:c r="E10" s="3" t="n">
        <x:v>1732500</x:v>
      </x:c>
    </x:row>
    <x:row r="11" ht="21" customHeight="1">
      <x:c r="A11" s="3" t="str">
        <x:v>T002</x:v>
      </x:c>
      <x:c r="B11" s="3" t="str">
        <x:v>2024-11</x:v>
      </x:c>
      <x:c r="C11" s="3" t="n">
        <x:v>16500000</x:v>
      </x:c>
      <x:c r="D11" s="3" t="n">
        <x:v>1000000</x:v>
      </x:c>
      <x:c r="E11" s="3" t="n">
        <x:v>1732500</x:v>
      </x:c>
    </x:row>
    <x:row r="12" ht="21" customHeight="1">
      <x:c r="A12" s="3" t="str">
        <x:v>T002</x:v>
      </x:c>
      <x:c r="B12" s="3" t="str">
        <x:v>2024-12</x:v>
      </x:c>
      <x:c r="C12" s="3" t="n">
        <x:v>16500000</x:v>
      </x:c>
      <x:c r="D12" s="3" t="n">
        <x:v>2500000</x:v>
      </x:c>
      <x:c r="E12" s="3" t="n">
        <x:v>1732500</x:v>
      </x:c>
    </x:row>
    <x:row r="13" ht="21" customHeight="1">
      <x:c r="A13" s="3" t="str">
        <x:v>T003</x:v>
      </x:c>
      <x:c r="B13" s="3" t="str">
        <x:v>2024-09</x:v>
      </x:c>
      <x:c r="C13" s="3" t="n">
        <x:v>15000000</x:v>
      </x:c>
      <x:c r="D13" s="3" t="n">
        <x:v>1000000</x:v>
      </x:c>
      <x:c r="E13" s="3" t="n">
        <x:v>1575000</x:v>
      </x:c>
    </x:row>
    <x:row r="14" ht="21" customHeight="1">
      <x:c r="A14" s="3" t="str">
        <x:v>T003</x:v>
      </x:c>
      <x:c r="B14" s="3" t="str">
        <x:v>2024-10</x:v>
      </x:c>
      <x:c r="C14" s="3" t="n">
        <x:v>15000000</x:v>
      </x:c>
      <x:c r="D14" s="3" t="n">
        <x:v>1500000</x:v>
      </x:c>
      <x:c r="E14" s="3" t="n">
        <x:v>1575000</x:v>
      </x:c>
    </x:row>
    <x:row r="15" ht="21" customHeight="1">
      <x:c r="A15" s="3" t="str">
        <x:v>T003</x:v>
      </x:c>
      <x:c r="B15" s="3" t="str">
        <x:v>2024-11</x:v>
      </x:c>
      <x:c r="C15" s="3" t="n">
        <x:v>15000000</x:v>
      </x:c>
      <x:c r="D15" s="3" t="n">
        <x:v>1000000</x:v>
      </x:c>
      <x:c r="E15" s="3" t="n">
        <x:v>1575000</x:v>
      </x:c>
    </x:row>
    <x:row r="16" ht="21" customHeight="1">
      <x:c r="A16" s="3" t="str">
        <x:v>T003</x:v>
      </x:c>
      <x:c r="B16" s="3" t="str">
        <x:v>2024-12</x:v>
      </x:c>
      <x:c r="C16" s="3" t="n">
        <x:v>15000000</x:v>
      </x:c>
      <x:c r="D16" s="3" t="n">
        <x:v>2000000</x:v>
      </x:c>
      <x:c r="E16" s="3" t="n">
        <x:v>1575000</x:v>
      </x:c>
    </x:row>
    <x:row r="17" ht="21" customHeight="1">
      <x:c r="A17" s="3" t="str">
        <x:v>T004</x:v>
      </x:c>
      <x:c r="B17" s="3" t="str">
        <x:v>2024-09</x:v>
      </x:c>
      <x:c r="C17" s="3" t="n">
        <x:v>20000000</x:v>
      </x:c>
      <x:c r="D17" s="3" t="n">
        <x:v>3000000</x:v>
      </x:c>
      <x:c r="E17" s="3" t="n">
        <x:v>2100000</x:v>
      </x:c>
    </x:row>
    <x:row r="18" ht="21" customHeight="1">
      <x:c r="A18" s="3" t="str">
        <x:v>T004</x:v>
      </x:c>
      <x:c r="B18" s="3" t="str">
        <x:v>2024-10</x:v>
      </x:c>
      <x:c r="C18" s="3" t="n">
        <x:v>20000000</x:v>
      </x:c>
      <x:c r="D18" s="3" t="n">
        <x:v>3500000</x:v>
      </x:c>
      <x:c r="E18" s="3" t="n">
        <x:v>2100000</x:v>
      </x:c>
    </x:row>
    <x:row r="19" ht="21" customHeight="1">
      <x:c r="A19" s="3" t="str">
        <x:v>T004</x:v>
      </x:c>
      <x:c r="B19" s="3" t="str">
        <x:v>2024-11</x:v>
      </x:c>
      <x:c r="C19" s="3" t="n">
        <x:v>20000000</x:v>
      </x:c>
      <x:c r="D19" s="3" t="n">
        <x:v>2500000</x:v>
      </x:c>
      <x:c r="E19" s="3" t="n">
        <x:v>2100000</x:v>
      </x:c>
    </x:row>
    <x:row r="20" ht="21" customHeight="1">
      <x:c r="A20" s="3" t="str">
        <x:v>T004</x:v>
      </x:c>
      <x:c r="B20" s="3" t="str">
        <x:v>2024-12</x:v>
      </x:c>
      <x:c r="C20" s="3" t="n">
        <x:v>20000000</x:v>
      </x:c>
      <x:c r="D20" s="3" t="n">
        <x:v>4000000</x:v>
      </x:c>
      <x:c r="E20" s="3" t="n">
        <x:v>2100000</x:v>
      </x:c>
    </x:row>
    <x:row r="21" ht="21" customHeight="1">
      <x:c r="A21" s="3" t="str">
        <x:v>T005</x:v>
      </x:c>
      <x:c r="B21" s="3" t="str">
        <x:v>2024-09</x:v>
      </x:c>
      <x:c r="C21" s="3" t="n">
        <x:v>14000000</x:v>
      </x:c>
      <x:c r="D21" s="3" t="n">
        <x:v>500000</x:v>
      </x:c>
      <x:c r="E21" s="3" t="n">
        <x:v>1470000</x:v>
      </x:c>
    </x:row>
    <x:row r="22" ht="21" customHeight="1">
      <x:c r="A22" s="3" t="str">
        <x:v>T005</x:v>
      </x:c>
      <x:c r="B22" s="3" t="str">
        <x:v>2024-10</x:v>
      </x:c>
      <x:c r="C22" s="3" t="n">
        <x:v>14000000</x:v>
      </x:c>
      <x:c r="D22" s="3" t="n">
        <x:v>1000000</x:v>
      </x:c>
      <x:c r="E22" s="3" t="n">
        <x:v>1470000</x:v>
      </x:c>
    </x:row>
    <x:row r="23" ht="21" customHeight="1">
      <x:c r="A23" s="3" t="str">
        <x:v>T005</x:v>
      </x:c>
      <x:c r="B23" s="3" t="str">
        <x:v>2024-11</x:v>
      </x:c>
      <x:c r="C23" s="3" t="n">
        <x:v>14000000</x:v>
      </x:c>
      <x:c r="D23" s="3" t="n">
        <x:v>500000</x:v>
      </x:c>
      <x:c r="E23" s="3" t="n">
        <x:v>1470000</x:v>
      </x:c>
    </x:row>
    <x:row r="24" ht="21" customHeight="1">
      <x:c r="A24" s="3" t="str">
        <x:v>T005</x:v>
      </x:c>
      <x:c r="B24" s="3" t="str">
        <x:v>2024-12</x:v>
      </x:c>
      <x:c r="C24" s="3" t="n">
        <x:v>14000000</x:v>
      </x:c>
      <x:c r="D24" s="3" t="n">
        <x:v>1500000</x:v>
      </x:c>
      <x:c r="E24" s="3" t="n">
        <x:v>1470000</x:v>
      </x:c>
    </x:row>
    <x:row r="25" ht="21" customHeight="1">
      <x:c r="A25" s="3" t="str">
        <x:v>T006</x:v>
      </x:c>
      <x:c r="B25" s="3" t="str">
        <x:v>2024-09</x:v>
      </x:c>
      <x:c r="C25" s="3" t="n">
        <x:v>17000000</x:v>
      </x:c>
      <x:c r="D25" s="3" t="n">
        <x:v>2000000</x:v>
      </x:c>
      <x:c r="E25" s="3" t="n">
        <x:v>1785000</x:v>
      </x:c>
    </x:row>
    <x:row r="26" ht="21" customHeight="1">
      <x:c r="A26" s="3" t="str">
        <x:v>T006</x:v>
      </x:c>
      <x:c r="B26" s="3" t="str">
        <x:v>2024-10</x:v>
      </x:c>
      <x:c r="C26" s="3" t="n">
        <x:v>17000000</x:v>
      </x:c>
      <x:c r="D26" s="3" t="n">
        <x:v>2000000</x:v>
      </x:c>
      <x:c r="E26" s="3" t="n">
        <x:v>1785000</x:v>
      </x:c>
    </x:row>
    <x:row r="27" ht="21" customHeight="1">
      <x:c r="A27" s="3" t="str">
        <x:v>T006</x:v>
      </x:c>
      <x:c r="B27" s="3" t="str">
        <x:v>2024-11</x:v>
      </x:c>
      <x:c r="C27" s="3" t="n">
        <x:v>17000000</x:v>
      </x:c>
      <x:c r="D27" s="3" t="n">
        <x:v>1500000</x:v>
      </x:c>
      <x:c r="E27" s="3" t="n">
        <x:v>1785000</x:v>
      </x:c>
    </x:row>
    <x:row r="28" ht="21" customHeight="1">
      <x:c r="A28" s="3" t="str">
        <x:v>T006</x:v>
      </x:c>
      <x:c r="B28" s="3" t="str">
        <x:v>2024-12</x:v>
      </x:c>
      <x:c r="C28" s="3" t="n">
        <x:v>17000000</x:v>
      </x:c>
      <x:c r="D28" s="3" t="n">
        <x:v>2500000</x:v>
      </x:c>
      <x:c r="E28" s="3" t="n">
        <x:v>1785000</x:v>
      </x:c>
    </x:row>
    <x:row r="29" ht="21" customHeight="1">
      <x:c r="A29" s="3" t="str">
        <x:v>T007</x:v>
      </x:c>
      <x:c r="B29" s="3" t="str">
        <x:v>2024-09</x:v>
      </x:c>
      <x:c r="C29" s="3" t="n">
        <x:v>15500000</x:v>
      </x:c>
      <x:c r="D29" s="3" t="n">
        <x:v>1000000</x:v>
      </x:c>
      <x:c r="E29" s="3" t="n">
        <x:v>1627500</x:v>
      </x:c>
    </x:row>
    <x:row r="30" ht="21" customHeight="1">
      <x:c r="A30" s="3" t="str">
        <x:v>T007</x:v>
      </x:c>
      <x:c r="B30" s="3" t="str">
        <x:v>2024-10</x:v>
      </x:c>
      <x:c r="C30" s="3" t="n">
        <x:v>15500000</x:v>
      </x:c>
      <x:c r="D30" s="3" t="n">
        <x:v>1200000</x:v>
      </x:c>
      <x:c r="E30" s="3" t="n">
        <x:v>1627500</x:v>
      </x:c>
    </x:row>
    <x:row r="31" ht="21" customHeight="1">
      <x:c r="A31" s="3" t="str">
        <x:v>T007</x:v>
      </x:c>
      <x:c r="B31" s="3" t="str">
        <x:v>2024-11</x:v>
      </x:c>
      <x:c r="C31" s="3" t="n">
        <x:v>15500000</x:v>
      </x:c>
      <x:c r="D31" s="3" t="n">
        <x:v>800000</x:v>
      </x:c>
      <x:c r="E31" s="3" t="n">
        <x:v>1627500</x:v>
      </x:c>
    </x:row>
    <x:row r="32" ht="21" customHeight="1">
      <x:c r="A32" s="3" t="str">
        <x:v>T007</x:v>
      </x:c>
      <x:c r="B32" s="3" t="str">
        <x:v>2024-12</x:v>
      </x:c>
      <x:c r="C32" s="3" t="n">
        <x:v>15500000</x:v>
      </x:c>
      <x:c r="D32" s="3" t="n">
        <x:v>1800000</x:v>
      </x:c>
      <x:c r="E32" s="3" t="n">
        <x:v>1627500</x:v>
      </x:c>
    </x:row>
    <x:row r="33" ht="21" customHeight="1">
      <x:c r="A33" s="3" t="str">
        <x:v>T008</x:v>
      </x:c>
      <x:c r="B33" s="3" t="str">
        <x:v>2024-09</x:v>
      </x:c>
      <x:c r="C33" s="3" t="n">
        <x:v>19000000</x:v>
      </x:c>
      <x:c r="D33" s="3" t="n">
        <x:v>2500000</x:v>
      </x:c>
      <x:c r="E33" s="3" t="n">
        <x:v>1995000</x:v>
      </x:c>
    </x:row>
    <x:row r="34" ht="21" customHeight="1">
      <x:c r="A34" s="3" t="str">
        <x:v>T008</x:v>
      </x:c>
      <x:c r="B34" s="3" t="str">
        <x:v>2024-10</x:v>
      </x:c>
      <x:c r="C34" s="3" t="n">
        <x:v>19000000</x:v>
      </x:c>
      <x:c r="D34" s="3" t="n">
        <x:v>3000000</x:v>
      </x:c>
      <x:c r="E34" s="3" t="n">
        <x:v>1995000</x:v>
      </x:c>
    </x:row>
    <x:row r="35" ht="21" customHeight="1">
      <x:c r="A35" s="3" t="str">
        <x:v>T008</x:v>
      </x:c>
      <x:c r="B35" s="3" t="str">
        <x:v>2024-11</x:v>
      </x:c>
      <x:c r="C35" s="3" t="n">
        <x:v>19000000</x:v>
      </x:c>
      <x:c r="D35" s="3" t="n">
        <x:v>2000000</x:v>
      </x:c>
      <x:c r="E35" s="3" t="n">
        <x:v>1995000</x:v>
      </x:c>
    </x:row>
    <x:row r="36" ht="21" customHeight="1">
      <x:c r="A36" s="3" t="str">
        <x:v>T008</x:v>
      </x:c>
      <x:c r="B36" s="3" t="str">
        <x:v>2024-12</x:v>
      </x:c>
      <x:c r="C36" s="3" t="n">
        <x:v>19000000</x:v>
      </x:c>
      <x:c r="D36" s="3" t="n">
        <x:v>3500000</x:v>
      </x:c>
      <x:c r="E36" s="3" t="n">
        <x:v>1995000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>
      <x:c r="A1" s="1" t="str">
        <x:v>Scholarships</x:v>
      </x:c>
    </x:row>
    <x:row r="2">
      <x:c r="A2" t="str">
        <x:v>5d72748:mcp-academic/data/sample-finance/scholarships.csv</x:v>
      </x:c>
    </x:row>
    <x:row r="3">
      <x:c r="A3" t="str">
        <x:v>CSV values start on row 5. Blue inputs, black calculations. Sources and hashes: reference-manifest.json.</x:v>
      </x:c>
    </x:row>
    <x:row r="4" ht="21" customHeight="1">
      <x:c r="A4" s="7" t="str">
        <x:v>scholarship_id</x:v>
      </x:c>
      <x:c r="B4" s="7" t="str">
        <x:v>name</x:v>
      </x:c>
      <x:c r="C4" s="7" t="str">
        <x:v>type</x:v>
      </x:c>
      <x:c r="D4" s="7" t="str">
        <x:v>amount</x:v>
      </x:c>
      <x:c r="E4" s="7" t="str">
        <x:v>min_gpa</x:v>
      </x:c>
      <x:c r="F4" s="7" t="str">
        <x:v>min_conduct</x:v>
      </x:c>
      <x:c r="G4" s="7" t="str">
        <x:v>slots_per_faculty</x:v>
      </x:c>
    </x:row>
    <x:row r="5" ht="21" customHeight="1">
      <x:c r="A5" s="3" t="str">
        <x:v>SCH01</x:v>
      </x:c>
      <x:c r="B5" s="3" t="str">
        <x:v>Excellence Scholarship</x:v>
      </x:c>
      <x:c r="C5" s="3" t="str">
        <x:v>merit</x:v>
      </x:c>
      <x:c r="D5" s="3" t="n">
        <x:v>10000000</x:v>
      </x:c>
      <x:c r="E5" s="3" t="n">
        <x:v>3.6</x:v>
      </x:c>
      <x:c r="F5" s="3" t="n">
        <x:v>90</x:v>
      </x:c>
      <x:c r="G5" s="3" t="n">
        <x:v>2</x:v>
      </x:c>
    </x:row>
    <x:row r="6" ht="21" customHeight="1">
      <x:c r="A6" s="3" t="str">
        <x:v>SCH02</x:v>
      </x:c>
      <x:c r="B6" s="3" t="str">
        <x:v>Merit Scholarship</x:v>
      </x:c>
      <x:c r="C6" s="3" t="str">
        <x:v>merit</x:v>
      </x:c>
      <x:c r="D6" s="3" t="n">
        <x:v>5000000</x:v>
      </x:c>
      <x:c r="E6" s="3" t="n">
        <x:v>3.2</x:v>
      </x:c>
      <x:c r="F6" s="3" t="n">
        <x:v>80</x:v>
      </x:c>
      <x:c r="G6" s="3" t="n">
        <x:v>4</x:v>
      </x:c>
    </x:row>
    <x:row r="7" ht="21" customHeight="1">
      <x:c r="A7" s="3" t="str">
        <x:v>SCH03</x:v>
      </x:c>
      <x:c r="B7" s="3" t="str">
        <x:v>Student Support Grant</x:v>
      </x:c>
      <x:c r="C7" s="3" t="str">
        <x:v>need</x:v>
      </x:c>
      <x:c r="D7" s="3" t="n">
        <x:v>4000000</x:v>
      </x:c>
      <x:c r="E7" s="3" t="n">
        <x:v>2.5</x:v>
      </x:c>
      <x:c r="F7" s="3" t="n">
        <x:v>65</x:v>
      </x:c>
      <x:c r="G7" s="3" t="n">
        <x:v>3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</x:cols>
  <x:sheetData>
    <x:row r="1">
      <x:c r="A1" s="1" t="str">
        <x:v>Rules</x:v>
      </x:c>
    </x:row>
    <x:row r="2">
      <x:c r="A2" t="str">
        <x:v>Independent calculation from the cited CSV inputs</x:v>
      </x:c>
    </x:row>
    <x:row r="3">
      <x:c r="A3" t="str">
        <x:v>CSV values start on row 5. Blue inputs, black calculations. Sources and hashes: reference-manifest.json.</x:v>
      </x:c>
    </x:row>
    <x:row r="4" ht="21" customHeight="1">
      <x:c r="A4" s="7" t="str">
        <x:v>rule_or_band</x:v>
      </x:c>
      <x:c r="B4" s="7" t="str">
        <x:v>value_or_min</x:v>
      </x:c>
      <x:c r="C4" s="7" t="str">
        <x:v>grade_point</x:v>
      </x:c>
    </x:row>
    <x:row r="5" ht="21" customHeight="1">
      <x:c r="A5" s="3" t="str">
        <x:v>process_weight</x:v>
      </x:c>
      <x:c r="B5" s="3" t="n">
        <x:v>0.4</x:v>
      </x:c>
      <x:c r="C5" s="3"/>
    </x:row>
    <x:row r="6" ht="21" customHeight="1">
      <x:c r="A6" s="3" t="str">
        <x:v>final_weight</x:v>
      </x:c>
      <x:c r="B6" s="3" t="n">
        <x:v>0.6</x:v>
      </x:c>
      <x:c r="C6" s="3"/>
    </x:row>
    <x:row r="7" ht="21" customHeight="1">
      <x:c r="A7" s="3" t="str">
        <x:v>absence_limit</x:v>
      </x:c>
      <x:c r="B7" s="3" t="n">
        <x:v>0.2</x:v>
      </x:c>
      <x:c r="C7" s="3"/>
    </x:row>
    <x:row r="8" ht="21" customHeight="1">
      <x:c r="A8" s="3" t="str">
        <x:v>low_gpa</x:v>
      </x:c>
      <x:c r="B8" s="3" t="n">
        <x:v>2</x:v>
      </x:c>
      <x:c r="C8" s="3"/>
    </x:row>
    <x:row r="9" ht="21" customHeight="1">
      <x:c r="A9" s="3" t="str">
        <x:v>low_conduct</x:v>
      </x:c>
      <x:c r="B9" s="3" t="n">
        <x:v>50</x:v>
      </x:c>
      <x:c r="C9" s="3"/>
    </x:row>
    <x:row r="10" ht="21" customHeight="1">
      <x:c r="A10" s="3" t="str">
        <x:v>weeks_per_month</x:v>
      </x:c>
      <x:c r="B10" s="3" t="n">
        <x:v>4</x:v>
      </x:c>
      <x:c r="C10" s="3"/>
    </x:row>
    <x:row r="11" ht="21" customHeight="1">
      <x:c r="A11" s="3" t="str">
        <x:v>standard_periods</x:v>
      </x:c>
      <x:c r="B11" s="3" t="n">
        <x:v>24</x:v>
      </x:c>
      <x:c r="C11" s="3"/>
    </x:row>
    <x:row r="12" ht="21" customHeight="1">
      <x:c r="A12" s="3" t="str">
        <x:v>overtime_ratio</x:v>
      </x:c>
      <x:c r="B12" s="3" t="n">
        <x:v>0.5</x:v>
      </x:c>
      <x:c r="C12" s="3"/>
    </x:row>
    <x:row r="13" ht="21" customHeight="1">
      <x:c r="A13" s="3" t="str">
        <x:v>A</x:v>
      </x:c>
      <x:c r="B13" s="3" t="n">
        <x:v>8.5</x:v>
      </x:c>
      <x:c r="C13" s="3" t="n">
        <x:v>4</x:v>
      </x:c>
    </x:row>
    <x:row r="14" ht="21" customHeight="1">
      <x:c r="A14" s="3" t="str">
        <x:v>B</x:v>
      </x:c>
      <x:c r="B14" s="3" t="n">
        <x:v>7</x:v>
      </x:c>
      <x:c r="C14" s="3" t="n">
        <x:v>3</x:v>
      </x:c>
    </x:row>
    <x:row r="15" ht="21" customHeight="1">
      <x:c r="A15" s="3" t="str">
        <x:v>C</x:v>
      </x:c>
      <x:c r="B15" s="3" t="n">
        <x:v>5.5</x:v>
      </x:c>
      <x:c r="C15" s="3" t="n">
        <x:v>2</x:v>
      </x:c>
    </x:row>
    <x:row r="16" ht="21" customHeight="1">
      <x:c r="A16" s="3" t="str">
        <x:v>D</x:v>
      </x:c>
      <x:c r="B16" s="3" t="n">
        <x:v>4</x:v>
      </x:c>
      <x:c r="C16" s="3" t="n">
        <x:v>1</x:v>
      </x:c>
    </x:row>
    <x:row r="17" ht="21" customHeight="1">
      <x:c r="A17" s="3" t="str">
        <x:v>F</x:v>
      </x:c>
      <x:c r="B17" s="3" t="n">
        <x:v>0</x:v>
      </x:c>
      <x:c r="C17" s="3" t="n">
        <x:v>0</x:v>
      </x:c>
    </x:row>
    <x:row r="18" ht="21" customHeight="1">
      <x:c r="A18" s="3" t="str">
        <x:v>Excellent</x:v>
      </x:c>
      <x:c r="B18" s="3" t="n">
        <x:v>90</x:v>
      </x:c>
      <x:c r="C18" s="3"/>
    </x:row>
    <x:row r="19" ht="21" customHeight="1">
      <x:c r="A19" s="3" t="str">
        <x:v>Good</x:v>
      </x:c>
      <x:c r="B19" s="3" t="n">
        <x:v>80</x:v>
      </x:c>
      <x:c r="C19" s="3"/>
    </x:row>
    <x:row r="20" ht="21" customHeight="1">
      <x:c r="A20" s="3" t="str">
        <x:v>Fairly good</x:v>
      </x:c>
      <x:c r="B20" s="3" t="n">
        <x:v>65</x:v>
      </x:c>
      <x:c r="C20" s="3"/>
    </x:row>
    <x:row r="21" ht="21" customHeight="1">
      <x:c r="A21" s="3" t="str">
        <x:v>Average</x:v>
      </x:c>
      <x:c r="B21" s="3" t="n">
        <x:v>50</x:v>
      </x:c>
      <x:c r="C21" s="3"/>
    </x:row>
    <x:row r="22" ht="21" customHeight="1">
      <x:c r="A22" s="3" t="str">
        <x:v>Weak</x:v>
      </x:c>
      <x:c r="B22" s="3" t="n">
        <x:v>0</x:v>
      </x:c>
      <x:c r="C22" s="3"/>
    </x:row>
    <x:row r="23" ht="21" customHeight="1">
      <x:c r="A23" s="3" t="str">
        <x:v>Lecturer</x:v>
      </x:c>
      <x:c r="B23" s="3" t="n">
        <x:v>120000</x:v>
      </x:c>
      <x:c r="C23" s="3"/>
    </x:row>
    <x:row r="24" ht="21" customHeight="1">
      <x:c r="A24" s="3" t="str">
        <x:v>Senior Lecturer</x:v>
      </x:c>
      <x:c r="B24" s="3" t="n">
        <x:v>150000</x:v>
      </x:c>
      <x:c r="C24" s="3"/>
    </x:row>
    <x:row r="25" ht="21" customHeight="1">
      <x:c r="A25" s="3" t="str">
        <x:v>Associate Professor</x:v>
      </x:c>
      <x:c r="B25" s="3" t="n">
        <x:v>200000</x:v>
      </x:c>
      <x:c r="C25" s="3"/>
    </x:row>
    <x:row r="26" ht="21" customHeight="1">
      <x:c r="A26" s="3" t="str">
        <x:v>Professor</x:v>
      </x:c>
      <x:c r="B26" s="3" t="n">
        <x:v>250000</x:v>
      </x:c>
      <x:c r="C26" s="3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>
      <x:c r="A1" s="1" t="str">
        <x:v>AttendanceGroups</x:v>
      </x:c>
    </x:row>
    <x:row r="2">
      <x:c r="A2" t="str">
        <x:v>Independent calculation from the cited CSV inputs</x:v>
      </x:c>
    </x:row>
    <x:row r="3">
      <x:c r="A3" t="str">
        <x:v>CSV values start on row 5. Blue inputs, black calculations. Sources and hashes: reference-manifest.json.</x:v>
      </x:c>
    </x:row>
    <x:row r="4" ht="21" customHeight="1">
      <x:c r="A4" s="7" t="str">
        <x:v>student_id</x:v>
      </x:c>
      <x:c r="B4" s="7" t="str">
        <x:v>section_id</x:v>
      </x:c>
      <x:c r="C4" s="7" t="str">
        <x:v>semester</x:v>
      </x:c>
      <x:c r="D4" s="7" t="str">
        <x:v>sessions</x:v>
      </x:c>
      <x:c r="E4" s="7" t="str">
        <x:v>absent</x:v>
      </x:c>
      <x:c r="F4" s="7" t="str">
        <x:v>ratio</x:v>
      </x:c>
      <x:c r="G4" s="7" t="str">
        <x:v>exam_ban</x:v>
      </x:c>
    </x:row>
    <x:row r="5" ht="21" customHeight="1">
      <x:c r="A5" s="3" t="str">
        <x:v>2202001</x:v>
      </x:c>
      <x:c r="B5" s="3" t="str">
        <x:v>SEC001</x:v>
      </x:c>
      <x:c r="C5" s="3" t="str">
        <x:v>2024-1</x:v>
      </x:c>
      <x:c r="D5" s="5" t="n">
        <x:f>COUNTIFS('Attendance'!$A$5:$A$3919,A5,'Attendance'!$B$5:$B$3919,B5)</x:f>
        <x:v>15</x:v>
      </x:c>
      <x:c r="E5" s="5" t="n">
        <x:f>COUNTIFS('Attendance'!$A$5:$A$3919,A5,'Attendance'!$B$5:$B$3919,B5,'Attendance'!$D$5:$D$3919,"absent")</x:f>
        <x:v>0</x:v>
      </x:c>
      <x:c r="F5" s="5" t="n">
        <x:f>E5/D5</x:f>
        <x:v>0</x:v>
      </x:c>
      <x:c r="G5" s="5" t="n">
        <x:f>IF(F5&gt;Rules!$B$7,1,0)</x:f>
        <x:v>0</x:v>
      </x:c>
    </x:row>
    <x:row r="6" ht="21" customHeight="1">
      <x:c r="A6" s="3" t="str">
        <x:v>2202002</x:v>
      </x:c>
      <x:c r="B6" s="3" t="str">
        <x:v>SEC001</x:v>
      </x:c>
      <x:c r="C6" s="3" t="str">
        <x:v>2024-1</x:v>
      </x:c>
      <x:c r="D6" s="5" t="n">
        <x:f>COUNTIFS('Attendance'!$A$5:$A$3919,A6,'Attendance'!$B$5:$B$3919,B6)</x:f>
        <x:v>15</x:v>
      </x:c>
      <x:c r="E6" s="5" t="n">
        <x:f>COUNTIFS('Attendance'!$A$5:$A$3919,A6,'Attendance'!$B$5:$B$3919,B6,'Attendance'!$D$5:$D$3919,"absent")</x:f>
        <x:v>0</x:v>
      </x:c>
      <x:c r="F6" s="5" t="n">
        <x:f>E6/D6</x:f>
        <x:v>0</x:v>
      </x:c>
      <x:c r="G6" s="5" t="n">
        <x:f>IF(F6&gt;Rules!$B$7,1,0)</x:f>
        <x:v>0</x:v>
      </x:c>
    </x:row>
    <x:row r="7" ht="21" customHeight="1">
      <x:c r="A7" s="3" t="str">
        <x:v>2202003</x:v>
      </x:c>
      <x:c r="B7" s="3" t="str">
        <x:v>SEC001</x:v>
      </x:c>
      <x:c r="C7" s="3" t="str">
        <x:v>2024-1</x:v>
      </x:c>
      <x:c r="D7" s="5" t="n">
        <x:f>COUNTIFS('Attendance'!$A$5:$A$3919,A7,'Attendance'!$B$5:$B$3919,B7)</x:f>
        <x:v>15</x:v>
      </x:c>
      <x:c r="E7" s="5" t="n">
        <x:f>COUNTIFS('Attendance'!$A$5:$A$3919,A7,'Attendance'!$B$5:$B$3919,B7,'Attendance'!$D$5:$D$3919,"absent")</x:f>
        <x:v>0</x:v>
      </x:c>
      <x:c r="F7" s="5" t="n">
        <x:f>E7/D7</x:f>
        <x:v>0</x:v>
      </x:c>
      <x:c r="G7" s="5" t="n">
        <x:f>IF(F7&gt;Rules!$B$7,1,0)</x:f>
        <x:v>0</x:v>
      </x:c>
    </x:row>
    <x:row r="8" ht="21" customHeight="1">
      <x:c r="A8" s="3" t="str">
        <x:v>2202004</x:v>
      </x:c>
      <x:c r="B8" s="3" t="str">
        <x:v>SEC001</x:v>
      </x:c>
      <x:c r="C8" s="3" t="str">
        <x:v>2024-1</x:v>
      </x:c>
      <x:c r="D8" s="5" t="n">
        <x:f>COUNTIFS('Attendance'!$A$5:$A$3919,A8,'Attendance'!$B$5:$B$3919,B8)</x:f>
        <x:v>15</x:v>
      </x:c>
      <x:c r="E8" s="5" t="n">
        <x:f>COUNTIFS('Attendance'!$A$5:$A$3919,A8,'Attendance'!$B$5:$B$3919,B8,'Attendance'!$D$5:$D$3919,"absent")</x:f>
        <x:v>2</x:v>
      </x:c>
      <x:c r="F8" s="5" t="n">
        <x:f>E8/D8</x:f>
        <x:v>0.13333333333333333</x:v>
      </x:c>
      <x:c r="G8" s="5" t="n">
        <x:f>IF(F8&gt;Rules!$B$7,1,0)</x:f>
        <x:v>0</x:v>
      </x:c>
    </x:row>
    <x:row r="9" ht="21" customHeight="1">
      <x:c r="A9" s="3" t="str">
        <x:v>2202005</x:v>
      </x:c>
      <x:c r="B9" s="3" t="str">
        <x:v>SEC001</x:v>
      </x:c>
      <x:c r="C9" s="3" t="str">
        <x:v>2024-1</x:v>
      </x:c>
      <x:c r="D9" s="5" t="n">
        <x:f>COUNTIFS('Attendance'!$A$5:$A$3919,A9,'Attendance'!$B$5:$B$3919,B9)</x:f>
        <x:v>15</x:v>
      </x:c>
      <x:c r="E9" s="5" t="n">
        <x:f>COUNTIFS('Attendance'!$A$5:$A$3919,A9,'Attendance'!$B$5:$B$3919,B9,'Attendance'!$D$5:$D$3919,"absent")</x:f>
        <x:v>5</x:v>
      </x:c>
      <x:c r="F9" s="5" t="n">
        <x:f>E9/D9</x:f>
        <x:v>0.3333333333333333</x:v>
      </x:c>
      <x:c r="G9" s="5" t="n">
        <x:f>IF(F9&gt;Rules!$B$7,1,0)</x:f>
        <x:v>1</x:v>
      </x:c>
    </x:row>
    <x:row r="10" ht="21" customHeight="1">
      <x:c r="A10" s="3" t="str">
        <x:v>2202006</x:v>
      </x:c>
      <x:c r="B10" s="3" t="str">
        <x:v>SEC001</x:v>
      </x:c>
      <x:c r="C10" s="3" t="str">
        <x:v>2024-1</x:v>
      </x:c>
      <x:c r="D10" s="5" t="n">
        <x:f>COUNTIFS('Attendance'!$A$5:$A$3919,A10,'Attendance'!$B$5:$B$3919,B10)</x:f>
        <x:v>15</x:v>
      </x:c>
      <x:c r="E10" s="5" t="n">
        <x:f>COUNTIFS('Attendance'!$A$5:$A$3919,A10,'Attendance'!$B$5:$B$3919,B10,'Attendance'!$D$5:$D$3919,"absent")</x:f>
        <x:v>1</x:v>
      </x:c>
      <x:c r="F10" s="5" t="n">
        <x:f>E10/D10</x:f>
        <x:v>0.06666666666666667</x:v>
      </x:c>
      <x:c r="G10" s="5" t="n">
        <x:f>IF(F10&gt;Rules!$B$7,1,0)</x:f>
        <x:v>0</x:v>
      </x:c>
    </x:row>
    <x:row r="11" ht="21" customHeight="1">
      <x:c r="A11" s="3" t="str">
        <x:v>2202007</x:v>
      </x:c>
      <x:c r="B11" s="3" t="str">
        <x:v>SEC001</x:v>
      </x:c>
      <x:c r="C11" s="3" t="str">
        <x:v>2024-1</x:v>
      </x:c>
      <x:c r="D11" s="5" t="n">
        <x:f>COUNTIFS('Attendance'!$A$5:$A$3919,A11,'Attendance'!$B$5:$B$3919,B11)</x:f>
        <x:v>15</x:v>
      </x:c>
      <x:c r="E11" s="5" t="n">
        <x:f>COUNTIFS('Attendance'!$A$5:$A$3919,A11,'Attendance'!$B$5:$B$3919,B11,'Attendance'!$D$5:$D$3919,"absent")</x:f>
        <x:v>0</x:v>
      </x:c>
      <x:c r="F11" s="5" t="n">
        <x:f>E11/D11</x:f>
        <x:v>0</x:v>
      </x:c>
      <x:c r="G11" s="5" t="n">
        <x:f>IF(F11&gt;Rules!$B$7,1,0)</x:f>
        <x:v>0</x:v>
      </x:c>
    </x:row>
    <x:row r="12" ht="21" customHeight="1">
      <x:c r="A12" s="3" t="str">
        <x:v>2202008</x:v>
      </x:c>
      <x:c r="B12" s="3" t="str">
        <x:v>SEC001</x:v>
      </x:c>
      <x:c r="C12" s="3" t="str">
        <x:v>2024-1</x:v>
      </x:c>
      <x:c r="D12" s="5" t="n">
        <x:f>COUNTIFS('Attendance'!$A$5:$A$3919,A12,'Attendance'!$B$5:$B$3919,B12)</x:f>
        <x:v>15</x:v>
      </x:c>
      <x:c r="E12" s="5" t="n">
        <x:f>COUNTIFS('Attendance'!$A$5:$A$3919,A12,'Attendance'!$B$5:$B$3919,B12,'Attendance'!$D$5:$D$3919,"absent")</x:f>
        <x:v>0</x:v>
      </x:c>
      <x:c r="F12" s="5" t="n">
        <x:f>E12/D12</x:f>
        <x:v>0</x:v>
      </x:c>
      <x:c r="G12" s="5" t="n">
        <x:f>IF(F12&gt;Rules!$B$7,1,0)</x:f>
        <x:v>0</x:v>
      </x:c>
    </x:row>
    <x:row r="13" ht="21" customHeight="1">
      <x:c r="A13" s="3" t="str">
        <x:v>2202009</x:v>
      </x:c>
      <x:c r="B13" s="3" t="str">
        <x:v>SEC001</x:v>
      </x:c>
      <x:c r="C13" s="3" t="str">
        <x:v>2024-1</x:v>
      </x:c>
      <x:c r="D13" s="5" t="n">
        <x:f>COUNTIFS('Attendance'!$A$5:$A$3919,A13,'Attendance'!$B$5:$B$3919,B13)</x:f>
        <x:v>15</x:v>
      </x:c>
      <x:c r="E13" s="5" t="n">
        <x:f>COUNTIFS('Attendance'!$A$5:$A$3919,A13,'Attendance'!$B$5:$B$3919,B13,'Attendance'!$D$5:$D$3919,"absent")</x:f>
        <x:v>0</x:v>
      </x:c>
      <x:c r="F13" s="5" t="n">
        <x:f>E13/D13</x:f>
        <x:v>0</x:v>
      </x:c>
      <x:c r="G13" s="5" t="n">
        <x:f>IF(F13&gt;Rules!$B$7,1,0)</x:f>
        <x:v>0</x:v>
      </x:c>
    </x:row>
    <x:row r="14" ht="21" customHeight="1">
      <x:c r="A14" s="3" t="str">
        <x:v>2202010</x:v>
      </x:c>
      <x:c r="B14" s="3" t="str">
        <x:v>SEC001</x:v>
      </x:c>
      <x:c r="C14" s="3" t="str">
        <x:v>2024-1</x:v>
      </x:c>
      <x:c r="D14" s="5" t="n">
        <x:f>COUNTIFS('Attendance'!$A$5:$A$3919,A14,'Attendance'!$B$5:$B$3919,B14)</x:f>
        <x:v>15</x:v>
      </x:c>
      <x:c r="E14" s="5" t="n">
        <x:f>COUNTIFS('Attendance'!$A$5:$A$3919,A14,'Attendance'!$B$5:$B$3919,B14,'Attendance'!$D$5:$D$3919,"absent")</x:f>
        <x:v>4</x:v>
      </x:c>
      <x:c r="F14" s="5" t="n">
        <x:f>E14/D14</x:f>
        <x:v>0.26666666666666666</x:v>
      </x:c>
      <x:c r="G14" s="5" t="n">
        <x:f>IF(F14&gt;Rules!$B$7,1,0)</x:f>
        <x:v>1</x:v>
      </x:c>
    </x:row>
    <x:row r="15" ht="21" customHeight="1">
      <x:c r="A15" s="3" t="str">
        <x:v>2202011</x:v>
      </x:c>
      <x:c r="B15" s="3" t="str">
        <x:v>SEC002</x:v>
      </x:c>
      <x:c r="C15" s="3" t="str">
        <x:v>2024-1</x:v>
      </x:c>
      <x:c r="D15" s="5" t="n">
        <x:f>COUNTIFS('Attendance'!$A$5:$A$3919,A15,'Attendance'!$B$5:$B$3919,B15)</x:f>
        <x:v>15</x:v>
      </x:c>
      <x:c r="E15" s="5" t="n">
        <x:f>COUNTIFS('Attendance'!$A$5:$A$3919,A15,'Attendance'!$B$5:$B$3919,B15,'Attendance'!$D$5:$D$3919,"absent")</x:f>
        <x:v>0</x:v>
      </x:c>
      <x:c r="F15" s="5" t="n">
        <x:f>E15/D15</x:f>
        <x:v>0</x:v>
      </x:c>
      <x:c r="G15" s="5" t="n">
        <x:f>IF(F15&gt;Rules!$B$7,1,0)</x:f>
        <x:v>0</x:v>
      </x:c>
    </x:row>
    <x:row r="16" ht="21" customHeight="1">
      <x:c r="A16" s="3" t="str">
        <x:v>2202012</x:v>
      </x:c>
      <x:c r="B16" s="3" t="str">
        <x:v>SEC002</x:v>
      </x:c>
      <x:c r="C16" s="3" t="str">
        <x:v>2024-1</x:v>
      </x:c>
      <x:c r="D16" s="5" t="n">
        <x:f>COUNTIFS('Attendance'!$A$5:$A$3919,A16,'Attendance'!$B$5:$B$3919,B16)</x:f>
        <x:v>15</x:v>
      </x:c>
      <x:c r="E16" s="5" t="n">
        <x:f>COUNTIFS('Attendance'!$A$5:$A$3919,A16,'Attendance'!$B$5:$B$3919,B16,'Attendance'!$D$5:$D$3919,"absent")</x:f>
        <x:v>2</x:v>
      </x:c>
      <x:c r="F16" s="5" t="n">
        <x:f>E16/D16</x:f>
        <x:v>0.13333333333333333</x:v>
      </x:c>
      <x:c r="G16" s="5" t="n">
        <x:f>IF(F16&gt;Rules!$B$7,1,0)</x:f>
        <x:v>0</x:v>
      </x:c>
    </x:row>
    <x:row r="17" ht="21" customHeight="1">
      <x:c r="A17" s="3" t="str">
        <x:v>2202013</x:v>
      </x:c>
      <x:c r="B17" s="3" t="str">
        <x:v>SEC002</x:v>
      </x:c>
      <x:c r="C17" s="3" t="str">
        <x:v>2024-1</x:v>
      </x:c>
      <x:c r="D17" s="5" t="n">
        <x:f>COUNTIFS('Attendance'!$A$5:$A$3919,A17,'Attendance'!$B$5:$B$3919,B17)</x:f>
        <x:v>15</x:v>
      </x:c>
      <x:c r="E17" s="5" t="n">
        <x:f>COUNTIFS('Attendance'!$A$5:$A$3919,A17,'Attendance'!$B$5:$B$3919,B17,'Attendance'!$D$5:$D$3919,"absent")</x:f>
        <x:v>2</x:v>
      </x:c>
      <x:c r="F17" s="5" t="n">
        <x:f>E17/D17</x:f>
        <x:v>0.13333333333333333</x:v>
      </x:c>
      <x:c r="G17" s="5" t="n">
        <x:f>IF(F17&gt;Rules!$B$7,1,0)</x:f>
        <x:v>0</x:v>
      </x:c>
    </x:row>
    <x:row r="18" ht="21" customHeight="1">
      <x:c r="A18" s="3" t="str">
        <x:v>2202014</x:v>
      </x:c>
      <x:c r="B18" s="3" t="str">
        <x:v>SEC002</x:v>
      </x:c>
      <x:c r="C18" s="3" t="str">
        <x:v>2024-1</x:v>
      </x:c>
      <x:c r="D18" s="5" t="n">
        <x:f>COUNTIFS('Attendance'!$A$5:$A$3919,A18,'Attendance'!$B$5:$B$3919,B18)</x:f>
        <x:v>15</x:v>
      </x:c>
      <x:c r="E18" s="5" t="n">
        <x:f>COUNTIFS('Attendance'!$A$5:$A$3919,A18,'Attendance'!$B$5:$B$3919,B18,'Attendance'!$D$5:$D$3919,"absent")</x:f>
        <x:v>2</x:v>
      </x:c>
      <x:c r="F18" s="5" t="n">
        <x:f>E18/D18</x:f>
        <x:v>0.13333333333333333</x:v>
      </x:c>
      <x:c r="G18" s="5" t="n">
        <x:f>IF(F18&gt;Rules!$B$7,1,0)</x:f>
        <x:v>0</x:v>
      </x:c>
    </x:row>
    <x:row r="19" ht="21" customHeight="1">
      <x:c r="A19" s="3" t="str">
        <x:v>2202015</x:v>
      </x:c>
      <x:c r="B19" s="3" t="str">
        <x:v>SEC002</x:v>
      </x:c>
      <x:c r="C19" s="3" t="str">
        <x:v>2024-1</x:v>
      </x:c>
      <x:c r="D19" s="5" t="n">
        <x:f>COUNTIFS('Attendance'!$A$5:$A$3919,A19,'Attendance'!$B$5:$B$3919,B19)</x:f>
        <x:v>15</x:v>
      </x:c>
      <x:c r="E19" s="5" t="n">
        <x:f>COUNTIFS('Attendance'!$A$5:$A$3919,A19,'Attendance'!$B$5:$B$3919,B19,'Attendance'!$D$5:$D$3919,"absent")</x:f>
        <x:v>3</x:v>
      </x:c>
      <x:c r="F19" s="5" t="n">
        <x:f>E19/D19</x:f>
        <x:v>0.2</x:v>
      </x:c>
      <x:c r="G19" s="5" t="n">
        <x:f>IF(F19&gt;Rules!$B$7,1,0)</x:f>
        <x:v>0</x:v>
      </x:c>
    </x:row>
    <x:row r="20" ht="21" customHeight="1">
      <x:c r="A20" s="3" t="str">
        <x:v>2202016</x:v>
      </x:c>
      <x:c r="B20" s="3" t="str">
        <x:v>SEC002</x:v>
      </x:c>
      <x:c r="C20" s="3" t="str">
        <x:v>2024-1</x:v>
      </x:c>
      <x:c r="D20" s="5" t="n">
        <x:f>COUNTIFS('Attendance'!$A$5:$A$3919,A20,'Attendance'!$B$5:$B$3919,B20)</x:f>
        <x:v>15</x:v>
      </x:c>
      <x:c r="E20" s="5" t="n">
        <x:f>COUNTIFS('Attendance'!$A$5:$A$3919,A20,'Attendance'!$B$5:$B$3919,B20,'Attendance'!$D$5:$D$3919,"absent")</x:f>
        <x:v>1</x:v>
      </x:c>
      <x:c r="F20" s="5" t="n">
        <x:f>E20/D20</x:f>
        <x:v>0.06666666666666667</x:v>
      </x:c>
      <x:c r="G20" s="5" t="n">
        <x:f>IF(F20&gt;Rules!$B$7,1,0)</x:f>
        <x:v>0</x:v>
      </x:c>
    </x:row>
    <x:row r="21" ht="21" customHeight="1">
      <x:c r="A21" s="3" t="str">
        <x:v>2202017</x:v>
      </x:c>
      <x:c r="B21" s="3" t="str">
        <x:v>SEC002</x:v>
      </x:c>
      <x:c r="C21" s="3" t="str">
        <x:v>2024-1</x:v>
      </x:c>
      <x:c r="D21" s="5" t="n">
        <x:f>COUNTIFS('Attendance'!$A$5:$A$3919,A21,'Attendance'!$B$5:$B$3919,B21)</x:f>
        <x:v>15</x:v>
      </x:c>
      <x:c r="E21" s="5" t="n">
        <x:f>COUNTIFS('Attendance'!$A$5:$A$3919,A21,'Attendance'!$B$5:$B$3919,B21,'Attendance'!$D$5:$D$3919,"absent")</x:f>
        <x:v>1</x:v>
      </x:c>
      <x:c r="F21" s="5" t="n">
        <x:f>E21/D21</x:f>
        <x:v>0.06666666666666667</x:v>
      </x:c>
      <x:c r="G21" s="5" t="n">
        <x:f>IF(F21&gt;Rules!$B$7,1,0)</x:f>
        <x:v>0</x:v>
      </x:c>
    </x:row>
    <x:row r="22" ht="21" customHeight="1">
      <x:c r="A22" s="3" t="str">
        <x:v>2202018</x:v>
      </x:c>
      <x:c r="B22" s="3" t="str">
        <x:v>SEC002</x:v>
      </x:c>
      <x:c r="C22" s="3" t="str">
        <x:v>2024-1</x:v>
      </x:c>
      <x:c r="D22" s="5" t="n">
        <x:f>COUNTIFS('Attendance'!$A$5:$A$3919,A22,'Attendance'!$B$5:$B$3919,B22)</x:f>
        <x:v>15</x:v>
      </x:c>
      <x:c r="E22" s="5" t="n">
        <x:f>COUNTIFS('Attendance'!$A$5:$A$3919,A22,'Attendance'!$B$5:$B$3919,B22,'Attendance'!$D$5:$D$3919,"absent")</x:f>
        <x:v>1</x:v>
      </x:c>
      <x:c r="F22" s="5" t="n">
        <x:f>E22/D22</x:f>
        <x:v>0.06666666666666667</x:v>
      </x:c>
      <x:c r="G22" s="5" t="n">
        <x:f>IF(F22&gt;Rules!$B$7,1,0)</x:f>
        <x:v>0</x:v>
      </x:c>
    </x:row>
    <x:row r="23" ht="21" customHeight="1">
      <x:c r="A23" s="3" t="str">
        <x:v>2202019</x:v>
      </x:c>
      <x:c r="B23" s="3" t="str">
        <x:v>SEC002</x:v>
      </x:c>
      <x:c r="C23" s="3" t="str">
        <x:v>2024-1</x:v>
      </x:c>
      <x:c r="D23" s="5" t="n">
        <x:f>COUNTIFS('Attendance'!$A$5:$A$3919,A23,'Attendance'!$B$5:$B$3919,B23)</x:f>
        <x:v>15</x:v>
      </x:c>
      <x:c r="E23" s="5" t="n">
        <x:f>COUNTIFS('Attendance'!$A$5:$A$3919,A23,'Attendance'!$B$5:$B$3919,B23,'Attendance'!$D$5:$D$3919,"absent")</x:f>
        <x:v>0</x:v>
      </x:c>
      <x:c r="F23" s="5" t="n">
        <x:f>E23/D23</x:f>
        <x:v>0</x:v>
      </x:c>
      <x:c r="G23" s="5" t="n">
        <x:f>IF(F23&gt;Rules!$B$7,1,0)</x:f>
        <x:v>0</x:v>
      </x:c>
    </x:row>
    <x:row r="24" ht="21" customHeight="1">
      <x:c r="A24" s="3" t="str">
        <x:v>2202020</x:v>
      </x:c>
      <x:c r="B24" s="3" t="str">
        <x:v>SEC002</x:v>
      </x:c>
      <x:c r="C24" s="3" t="str">
        <x:v>2024-1</x:v>
      </x:c>
      <x:c r="D24" s="5" t="n">
        <x:f>COUNTIFS('Attendance'!$A$5:$A$3919,A24,'Attendance'!$B$5:$B$3919,B24)</x:f>
        <x:v>15</x:v>
      </x:c>
      <x:c r="E24" s="5" t="n">
        <x:f>COUNTIFS('Attendance'!$A$5:$A$3919,A24,'Attendance'!$B$5:$B$3919,B24,'Attendance'!$D$5:$D$3919,"absent")</x:f>
        <x:v>5</x:v>
      </x:c>
      <x:c r="F24" s="5" t="n">
        <x:f>E24/D24</x:f>
        <x:v>0.3333333333333333</x:v>
      </x:c>
      <x:c r="G24" s="5" t="n">
        <x:f>IF(F24&gt;Rules!$B$7,1,0)</x:f>
        <x:v>1</x:v>
      </x:c>
    </x:row>
    <x:row r="25" ht="21" customHeight="1">
      <x:c r="A25" s="3" t="str">
        <x:v>2202005</x:v>
      </x:c>
      <x:c r="B25" s="3" t="str">
        <x:v>SEC003</x:v>
      </x:c>
      <x:c r="C25" s="3" t="str">
        <x:v>2025-1</x:v>
      </x:c>
      <x:c r="D25" s="5" t="n">
        <x:f>COUNTIFS('Attendance'!$A$5:$A$3919,A25,'Attendance'!$B$5:$B$3919,B25)</x:f>
        <x:v>15</x:v>
      </x:c>
      <x:c r="E25" s="5" t="n">
        <x:f>COUNTIFS('Attendance'!$A$5:$A$3919,A25,'Attendance'!$B$5:$B$3919,B25,'Attendance'!$D$5:$D$3919,"absent")</x:f>
        <x:v>2</x:v>
      </x:c>
      <x:c r="F25" s="5" t="n">
        <x:f>E25/D25</x:f>
        <x:v>0.13333333333333333</x:v>
      </x:c>
      <x:c r="G25" s="5" t="n">
        <x:f>IF(F25&gt;Rules!$B$7,1,0)</x:f>
        <x:v>0</x:v>
      </x:c>
    </x:row>
    <x:row r="26" ht="21" customHeight="1">
      <x:c r="A26" s="3" t="str">
        <x:v>2202010</x:v>
      </x:c>
      <x:c r="B26" s="3" t="str">
        <x:v>SEC003</x:v>
      </x:c>
      <x:c r="C26" s="3" t="str">
        <x:v>2025-1</x:v>
      </x:c>
      <x:c r="D26" s="5" t="n">
        <x:f>COUNTIFS('Attendance'!$A$5:$A$3919,A26,'Attendance'!$B$5:$B$3919,B26)</x:f>
        <x:v>15</x:v>
      </x:c>
      <x:c r="E26" s="5" t="n">
        <x:f>COUNTIFS('Attendance'!$A$5:$A$3919,A26,'Attendance'!$B$5:$B$3919,B26,'Attendance'!$D$5:$D$3919,"absent")</x:f>
        <x:v>6</x:v>
      </x:c>
      <x:c r="F26" s="5" t="n">
        <x:f>E26/D26</x:f>
        <x:v>0.4</x:v>
      </x:c>
      <x:c r="G26" s="5" t="n">
        <x:f>IF(F26&gt;Rules!$B$7,1,0)</x:f>
        <x:v>1</x:v>
      </x:c>
    </x:row>
    <x:row r="27" ht="21" customHeight="1">
      <x:c r="A27" s="3" t="str">
        <x:v>2202015</x:v>
      </x:c>
      <x:c r="B27" s="3" t="str">
        <x:v>SEC004</x:v>
      </x:c>
      <x:c r="C27" s="3" t="str">
        <x:v>2025-1</x:v>
      </x:c>
      <x:c r="D27" s="5" t="n">
        <x:f>COUNTIFS('Attendance'!$A$5:$A$3919,A27,'Attendance'!$B$5:$B$3919,B27)</x:f>
        <x:v>15</x:v>
      </x:c>
      <x:c r="E27" s="5" t="n">
        <x:f>COUNTIFS('Attendance'!$A$5:$A$3919,A27,'Attendance'!$B$5:$B$3919,B27,'Attendance'!$D$5:$D$3919,"absent")</x:f>
        <x:v>6</x:v>
      </x:c>
      <x:c r="F27" s="5" t="n">
        <x:f>E27/D27</x:f>
        <x:v>0.4</x:v>
      </x:c>
      <x:c r="G27" s="5" t="n">
        <x:f>IF(F27&gt;Rules!$B$7,1,0)</x:f>
        <x:v>1</x:v>
      </x:c>
    </x:row>
    <x:row r="28" ht="21" customHeight="1">
      <x:c r="A28" s="3" t="str">
        <x:v>2202020</x:v>
      </x:c>
      <x:c r="B28" s="3" t="str">
        <x:v>SEC004</x:v>
      </x:c>
      <x:c r="C28" s="3" t="str">
        <x:v>2025-1</x:v>
      </x:c>
      <x:c r="D28" s="5" t="n">
        <x:f>COUNTIFS('Attendance'!$A$5:$A$3919,A28,'Attendance'!$B$5:$B$3919,B28)</x:f>
        <x:v>15</x:v>
      </x:c>
      <x:c r="E28" s="5" t="n">
        <x:f>COUNTIFS('Attendance'!$A$5:$A$3919,A28,'Attendance'!$B$5:$B$3919,B28,'Attendance'!$D$5:$D$3919,"absent")</x:f>
        <x:v>5</x:v>
      </x:c>
      <x:c r="F28" s="5" t="n">
        <x:f>E28/D28</x:f>
        <x:v>0.3333333333333333</x:v>
      </x:c>
      <x:c r="G28" s="5" t="n">
        <x:f>IF(F28&gt;Rules!$B$7,1,0)</x:f>
        <x:v>1</x:v>
      </x:c>
    </x:row>
    <x:row r="29" ht="21" customHeight="1">
      <x:c r="A29" s="3" t="str">
        <x:v>2202001</x:v>
      </x:c>
      <x:c r="B29" s="3" t="str">
        <x:v>SEC005</x:v>
      </x:c>
      <x:c r="C29" s="3" t="str">
        <x:v>2024-2</x:v>
      </x:c>
      <x:c r="D29" s="5" t="n">
        <x:f>COUNTIFS('Attendance'!$A$5:$A$3919,A29,'Attendance'!$B$5:$B$3919,B29)</x:f>
        <x:v>15</x:v>
      </x:c>
      <x:c r="E29" s="5" t="n">
        <x:f>COUNTIFS('Attendance'!$A$5:$A$3919,A29,'Attendance'!$B$5:$B$3919,B29,'Attendance'!$D$5:$D$3919,"absent")</x:f>
        <x:v>1</x:v>
      </x:c>
      <x:c r="F29" s="5" t="n">
        <x:f>E29/D29</x:f>
        <x:v>0.06666666666666667</x:v>
      </x:c>
      <x:c r="G29" s="5" t="n">
        <x:f>IF(F29&gt;Rules!$B$7,1,0)</x:f>
        <x:v>0</x:v>
      </x:c>
    </x:row>
    <x:row r="30" ht="21" customHeight="1">
      <x:c r="A30" s="3" t="str">
        <x:v>2202002</x:v>
      </x:c>
      <x:c r="B30" s="3" t="str">
        <x:v>SEC005</x:v>
      </x:c>
      <x:c r="C30" s="3" t="str">
        <x:v>2024-2</x:v>
      </x:c>
      <x:c r="D30" s="5" t="n">
        <x:f>COUNTIFS('Attendance'!$A$5:$A$3919,A30,'Attendance'!$B$5:$B$3919,B30)</x:f>
        <x:v>15</x:v>
      </x:c>
      <x:c r="E30" s="5" t="n">
        <x:f>COUNTIFS('Attendance'!$A$5:$A$3919,A30,'Attendance'!$B$5:$B$3919,B30,'Attendance'!$D$5:$D$3919,"absent")</x:f>
        <x:v>1</x:v>
      </x:c>
      <x:c r="F30" s="5" t="n">
        <x:f>E30/D30</x:f>
        <x:v>0.06666666666666667</x:v>
      </x:c>
      <x:c r="G30" s="5" t="n">
        <x:f>IF(F30&gt;Rules!$B$7,1,0)</x:f>
        <x:v>0</x:v>
      </x:c>
    </x:row>
    <x:row r="31" ht="21" customHeight="1">
      <x:c r="A31" s="3" t="str">
        <x:v>2202003</x:v>
      </x:c>
      <x:c r="B31" s="3" t="str">
        <x:v>SEC005</x:v>
      </x:c>
      <x:c r="C31" s="3" t="str">
        <x:v>2024-2</x:v>
      </x:c>
      <x:c r="D31" s="5" t="n">
        <x:f>COUNTIFS('Attendance'!$A$5:$A$3919,A31,'Attendance'!$B$5:$B$3919,B31)</x:f>
        <x:v>15</x:v>
      </x:c>
      <x:c r="E31" s="5" t="n">
        <x:f>COUNTIFS('Attendance'!$A$5:$A$3919,A31,'Attendance'!$B$5:$B$3919,B31,'Attendance'!$D$5:$D$3919,"absent")</x:f>
        <x:v>0</x:v>
      </x:c>
      <x:c r="F31" s="5" t="n">
        <x:f>E31/D31</x:f>
        <x:v>0</x:v>
      </x:c>
      <x:c r="G31" s="5" t="n">
        <x:f>IF(F31&gt;Rules!$B$7,1,0)</x:f>
        <x:v>0</x:v>
      </x:c>
    </x:row>
    <x:row r="32" ht="21" customHeight="1">
      <x:c r="A32" s="3" t="str">
        <x:v>2202004</x:v>
      </x:c>
      <x:c r="B32" s="3" t="str">
        <x:v>SEC005</x:v>
      </x:c>
      <x:c r="C32" s="3" t="str">
        <x:v>2024-2</x:v>
      </x:c>
      <x:c r="D32" s="5" t="n">
        <x:f>COUNTIFS('Attendance'!$A$5:$A$3919,A32,'Attendance'!$B$5:$B$3919,B32)</x:f>
        <x:v>15</x:v>
      </x:c>
      <x:c r="E32" s="5" t="n">
        <x:f>COUNTIFS('Attendance'!$A$5:$A$3919,A32,'Attendance'!$B$5:$B$3919,B32,'Attendance'!$D$5:$D$3919,"absent")</x:f>
        <x:v>2</x:v>
      </x:c>
      <x:c r="F32" s="5" t="n">
        <x:f>E32/D32</x:f>
        <x:v>0.13333333333333333</x:v>
      </x:c>
      <x:c r="G32" s="5" t="n">
        <x:f>IF(F32&gt;Rules!$B$7,1,0)</x:f>
        <x:v>0</x:v>
      </x:c>
    </x:row>
    <x:row r="33" ht="21" customHeight="1">
      <x:c r="A33" s="3" t="str">
        <x:v>2202005</x:v>
      </x:c>
      <x:c r="B33" s="3" t="str">
        <x:v>SEC005</x:v>
      </x:c>
      <x:c r="C33" s="3" t="str">
        <x:v>2024-2</x:v>
      </x:c>
      <x:c r="D33" s="5" t="n">
        <x:f>COUNTIFS('Attendance'!$A$5:$A$3919,A33,'Attendance'!$B$5:$B$3919,B33)</x:f>
        <x:v>15</x:v>
      </x:c>
      <x:c r="E33" s="5" t="n">
        <x:f>COUNTIFS('Attendance'!$A$5:$A$3919,A33,'Attendance'!$B$5:$B$3919,B33,'Attendance'!$D$5:$D$3919,"absent")</x:f>
        <x:v>6</x:v>
      </x:c>
      <x:c r="F33" s="5" t="n">
        <x:f>E33/D33</x:f>
        <x:v>0.4</x:v>
      </x:c>
      <x:c r="G33" s="5" t="n">
        <x:f>IF(F33&gt;Rules!$B$7,1,0)</x:f>
        <x:v>1</x:v>
      </x:c>
    </x:row>
    <x:row r="34" ht="21" customHeight="1">
      <x:c r="A34" s="3" t="str">
        <x:v>2202006</x:v>
      </x:c>
      <x:c r="B34" s="3" t="str">
        <x:v>SEC005</x:v>
      </x:c>
      <x:c r="C34" s="3" t="str">
        <x:v>2024-2</x:v>
      </x:c>
      <x:c r="D34" s="5" t="n">
        <x:f>COUNTIFS('Attendance'!$A$5:$A$3919,A34,'Attendance'!$B$5:$B$3919,B34)</x:f>
        <x:v>15</x:v>
      </x:c>
      <x:c r="E34" s="5" t="n">
        <x:f>COUNTIFS('Attendance'!$A$5:$A$3919,A34,'Attendance'!$B$5:$B$3919,B34,'Attendance'!$D$5:$D$3919,"absent")</x:f>
        <x:v>0</x:v>
      </x:c>
      <x:c r="F34" s="5" t="n">
        <x:f>E34/D34</x:f>
        <x:v>0</x:v>
      </x:c>
      <x:c r="G34" s="5" t="n">
        <x:f>IF(F34&gt;Rules!$B$7,1,0)</x:f>
        <x:v>0</x:v>
      </x:c>
    </x:row>
    <x:row r="35" ht="21" customHeight="1">
      <x:c r="A35" s="3" t="str">
        <x:v>2202007</x:v>
      </x:c>
      <x:c r="B35" s="3" t="str">
        <x:v>SEC005</x:v>
      </x:c>
      <x:c r="C35" s="3" t="str">
        <x:v>2024-2</x:v>
      </x:c>
      <x:c r="D35" s="5" t="n">
        <x:f>COUNTIFS('Attendance'!$A$5:$A$3919,A35,'Attendance'!$B$5:$B$3919,B35)</x:f>
        <x:v>15</x:v>
      </x:c>
      <x:c r="E35" s="5" t="n">
        <x:f>COUNTIFS('Attendance'!$A$5:$A$3919,A35,'Attendance'!$B$5:$B$3919,B35,'Attendance'!$D$5:$D$3919,"absent")</x:f>
        <x:v>1</x:v>
      </x:c>
      <x:c r="F35" s="5" t="n">
        <x:f>E35/D35</x:f>
        <x:v>0.06666666666666667</x:v>
      </x:c>
      <x:c r="G35" s="5" t="n">
        <x:f>IF(F35&gt;Rules!$B$7,1,0)</x:f>
        <x:v>0</x:v>
      </x:c>
    </x:row>
    <x:row r="36" ht="21" customHeight="1">
      <x:c r="A36" s="3" t="str">
        <x:v>2202008</x:v>
      </x:c>
      <x:c r="B36" s="3" t="str">
        <x:v>SEC005</x:v>
      </x:c>
      <x:c r="C36" s="3" t="str">
        <x:v>2024-2</x:v>
      </x:c>
      <x:c r="D36" s="5" t="n">
        <x:f>COUNTIFS('Attendance'!$A$5:$A$3919,A36,'Attendance'!$B$5:$B$3919,B36)</x:f>
        <x:v>15</x:v>
      </x:c>
      <x:c r="E36" s="5" t="n">
        <x:f>COUNTIFS('Attendance'!$A$5:$A$3919,A36,'Attendance'!$B$5:$B$3919,B36,'Attendance'!$D$5:$D$3919,"absent")</x:f>
        <x:v>0</x:v>
      </x:c>
      <x:c r="F36" s="5" t="n">
        <x:f>E36/D36</x:f>
        <x:v>0</x:v>
      </x:c>
      <x:c r="G36" s="5" t="n">
        <x:f>IF(F36&gt;Rules!$B$7,1,0)</x:f>
        <x:v>0</x:v>
      </x:c>
    </x:row>
    <x:row r="37" ht="21" customHeight="1">
      <x:c r="A37" s="3" t="str">
        <x:v>2202009</x:v>
      </x:c>
      <x:c r="B37" s="3" t="str">
        <x:v>SEC005</x:v>
      </x:c>
      <x:c r="C37" s="3" t="str">
        <x:v>2024-2</x:v>
      </x:c>
      <x:c r="D37" s="5" t="n">
        <x:f>COUNTIFS('Attendance'!$A$5:$A$3919,A37,'Attendance'!$B$5:$B$3919,B37)</x:f>
        <x:v>15</x:v>
      </x:c>
      <x:c r="E37" s="5" t="n">
        <x:f>COUNTIFS('Attendance'!$A$5:$A$3919,A37,'Attendance'!$B$5:$B$3919,B37,'Attendance'!$D$5:$D$3919,"absent")</x:f>
        <x:v>1</x:v>
      </x:c>
      <x:c r="F37" s="5" t="n">
        <x:f>E37/D37</x:f>
        <x:v>0.06666666666666667</x:v>
      </x:c>
      <x:c r="G37" s="5" t="n">
        <x:f>IF(F37&gt;Rules!$B$7,1,0)</x:f>
        <x:v>0</x:v>
      </x:c>
    </x:row>
    <x:row r="38" ht="21" customHeight="1">
      <x:c r="A38" s="3" t="str">
        <x:v>2202010</x:v>
      </x:c>
      <x:c r="B38" s="3" t="str">
        <x:v>SEC005</x:v>
      </x:c>
      <x:c r="C38" s="3" t="str">
        <x:v>2024-2</x:v>
      </x:c>
      <x:c r="D38" s="5" t="n">
        <x:f>COUNTIFS('Attendance'!$A$5:$A$3919,A38,'Attendance'!$B$5:$B$3919,B38)</x:f>
        <x:v>15</x:v>
      </x:c>
      <x:c r="E38" s="5" t="n">
        <x:f>COUNTIFS('Attendance'!$A$5:$A$3919,A38,'Attendance'!$B$5:$B$3919,B38,'Attendance'!$D$5:$D$3919,"absent")</x:f>
        <x:v>4</x:v>
      </x:c>
      <x:c r="F38" s="5" t="n">
        <x:f>E38/D38</x:f>
        <x:v>0.26666666666666666</x:v>
      </x:c>
      <x:c r="G38" s="5" t="n">
        <x:f>IF(F38&gt;Rules!$B$7,1,0)</x:f>
        <x:v>1</x:v>
      </x:c>
    </x:row>
    <x:row r="39" ht="21" customHeight="1">
      <x:c r="A39" s="3" t="str">
        <x:v>2202011</x:v>
      </x:c>
      <x:c r="B39" s="3" t="str">
        <x:v>SEC006</x:v>
      </x:c>
      <x:c r="C39" s="3" t="str">
        <x:v>2024-2</x:v>
      </x:c>
      <x:c r="D39" s="5" t="n">
        <x:f>COUNTIFS('Attendance'!$A$5:$A$3919,A39,'Attendance'!$B$5:$B$3919,B39)</x:f>
        <x:v>15</x:v>
      </x:c>
      <x:c r="E39" s="5" t="n">
        <x:f>COUNTIFS('Attendance'!$A$5:$A$3919,A39,'Attendance'!$B$5:$B$3919,B39,'Attendance'!$D$5:$D$3919,"absent")</x:f>
        <x:v>1</x:v>
      </x:c>
      <x:c r="F39" s="5" t="n">
        <x:f>E39/D39</x:f>
        <x:v>0.06666666666666667</x:v>
      </x:c>
      <x:c r="G39" s="5" t="n">
        <x:f>IF(F39&gt;Rules!$B$7,1,0)</x:f>
        <x:v>0</x:v>
      </x:c>
    </x:row>
    <x:row r="40" ht="21" customHeight="1">
      <x:c r="A40" s="3" t="str">
        <x:v>2202012</x:v>
      </x:c>
      <x:c r="B40" s="3" t="str">
        <x:v>SEC006</x:v>
      </x:c>
      <x:c r="C40" s="3" t="str">
        <x:v>2024-2</x:v>
      </x:c>
      <x:c r="D40" s="5" t="n">
        <x:f>COUNTIFS('Attendance'!$A$5:$A$3919,A40,'Attendance'!$B$5:$B$3919,B40)</x:f>
        <x:v>15</x:v>
      </x:c>
      <x:c r="E40" s="5" t="n">
        <x:f>COUNTIFS('Attendance'!$A$5:$A$3919,A40,'Attendance'!$B$5:$B$3919,B40,'Attendance'!$D$5:$D$3919,"absent")</x:f>
        <x:v>2</x:v>
      </x:c>
      <x:c r="F40" s="5" t="n">
        <x:f>E40/D40</x:f>
        <x:v>0.13333333333333333</x:v>
      </x:c>
      <x:c r="G40" s="5" t="n">
        <x:f>IF(F40&gt;Rules!$B$7,1,0)</x:f>
        <x:v>0</x:v>
      </x:c>
    </x:row>
    <x:row r="41" ht="21" customHeight="1">
      <x:c r="A41" s="3" t="str">
        <x:v>2202013</x:v>
      </x:c>
      <x:c r="B41" s="3" t="str">
        <x:v>SEC006</x:v>
      </x:c>
      <x:c r="C41" s="3" t="str">
        <x:v>2024-2</x:v>
      </x:c>
      <x:c r="D41" s="5" t="n">
        <x:f>COUNTIFS('Attendance'!$A$5:$A$3919,A41,'Attendance'!$B$5:$B$3919,B41)</x:f>
        <x:v>15</x:v>
      </x:c>
      <x:c r="E41" s="5" t="n">
        <x:f>COUNTIFS('Attendance'!$A$5:$A$3919,A41,'Attendance'!$B$5:$B$3919,B41,'Attendance'!$D$5:$D$3919,"absent")</x:f>
        <x:v>0</x:v>
      </x:c>
      <x:c r="F41" s="5" t="n">
        <x:f>E41/D41</x:f>
        <x:v>0</x:v>
      </x:c>
      <x:c r="G41" s="5" t="n">
        <x:f>IF(F41&gt;Rules!$B$7,1,0)</x:f>
        <x:v>0</x:v>
      </x:c>
    </x:row>
    <x:row r="42" ht="21" customHeight="1">
      <x:c r="A42" s="3" t="str">
        <x:v>2202014</x:v>
      </x:c>
      <x:c r="B42" s="3" t="str">
        <x:v>SEC006</x:v>
      </x:c>
      <x:c r="C42" s="3" t="str">
        <x:v>2024-2</x:v>
      </x:c>
      <x:c r="D42" s="5" t="n">
        <x:f>COUNTIFS('Attendance'!$A$5:$A$3919,A42,'Attendance'!$B$5:$B$3919,B42)</x:f>
        <x:v>15</x:v>
      </x:c>
      <x:c r="E42" s="5" t="n">
        <x:f>COUNTIFS('Attendance'!$A$5:$A$3919,A42,'Attendance'!$B$5:$B$3919,B42,'Attendance'!$D$5:$D$3919,"absent")</x:f>
        <x:v>0</x:v>
      </x:c>
      <x:c r="F42" s="5" t="n">
        <x:f>E42/D42</x:f>
        <x:v>0</x:v>
      </x:c>
      <x:c r="G42" s="5" t="n">
        <x:f>IF(F42&gt;Rules!$B$7,1,0)</x:f>
        <x:v>0</x:v>
      </x:c>
    </x:row>
    <x:row r="43" ht="21" customHeight="1">
      <x:c r="A43" s="3" t="str">
        <x:v>2202015</x:v>
      </x:c>
      <x:c r="B43" s="3" t="str">
        <x:v>SEC006</x:v>
      </x:c>
      <x:c r="C43" s="3" t="str">
        <x:v>2024-2</x:v>
      </x:c>
      <x:c r="D43" s="5" t="n">
        <x:f>COUNTIFS('Attendance'!$A$5:$A$3919,A43,'Attendance'!$B$5:$B$3919,B43)</x:f>
        <x:v>15</x:v>
      </x:c>
      <x:c r="E43" s="5" t="n">
        <x:f>COUNTIFS('Attendance'!$A$5:$A$3919,A43,'Attendance'!$B$5:$B$3919,B43,'Attendance'!$D$5:$D$3919,"absent")</x:f>
        <x:v>6</x:v>
      </x:c>
      <x:c r="F43" s="5" t="n">
        <x:f>E43/D43</x:f>
        <x:v>0.4</x:v>
      </x:c>
      <x:c r="G43" s="5" t="n">
        <x:f>IF(F43&gt;Rules!$B$7,1,0)</x:f>
        <x:v>1</x:v>
      </x:c>
    </x:row>
    <x:row r="44" ht="21" customHeight="1">
      <x:c r="A44" s="3" t="str">
        <x:v>2202016</x:v>
      </x:c>
      <x:c r="B44" s="3" t="str">
        <x:v>SEC006</x:v>
      </x:c>
      <x:c r="C44" s="3" t="str">
        <x:v>2024-2</x:v>
      </x:c>
      <x:c r="D44" s="5" t="n">
        <x:f>COUNTIFS('Attendance'!$A$5:$A$3919,A44,'Attendance'!$B$5:$B$3919,B44)</x:f>
        <x:v>15</x:v>
      </x:c>
      <x:c r="E44" s="5" t="n">
        <x:f>COUNTIFS('Attendance'!$A$5:$A$3919,A44,'Attendance'!$B$5:$B$3919,B44,'Attendance'!$D$5:$D$3919,"absent")</x:f>
        <x:v>3</x:v>
      </x:c>
      <x:c r="F44" s="5" t="n">
        <x:f>E44/D44</x:f>
        <x:v>0.2</x:v>
      </x:c>
      <x:c r="G44" s="5" t="n">
        <x:f>IF(F44&gt;Rules!$B$7,1,0)</x:f>
        <x:v>0</x:v>
      </x:c>
    </x:row>
    <x:row r="45" ht="21" customHeight="1">
      <x:c r="A45" s="3" t="str">
        <x:v>2202017</x:v>
      </x:c>
      <x:c r="B45" s="3" t="str">
        <x:v>SEC006</x:v>
      </x:c>
      <x:c r="C45" s="3" t="str">
        <x:v>2024-2</x:v>
      </x:c>
      <x:c r="D45" s="5" t="n">
        <x:f>COUNTIFS('Attendance'!$A$5:$A$3919,A45,'Attendance'!$B$5:$B$3919,B45)</x:f>
        <x:v>15</x:v>
      </x:c>
      <x:c r="E45" s="5" t="n">
        <x:f>COUNTIFS('Attendance'!$A$5:$A$3919,A45,'Attendance'!$B$5:$B$3919,B45,'Attendance'!$D$5:$D$3919,"absent")</x:f>
        <x:v>3</x:v>
      </x:c>
      <x:c r="F45" s="5" t="n">
        <x:f>E45/D45</x:f>
        <x:v>0.2</x:v>
      </x:c>
      <x:c r="G45" s="5" t="n">
        <x:f>IF(F45&gt;Rules!$B$7,1,0)</x:f>
        <x:v>0</x:v>
      </x:c>
    </x:row>
    <x:row r="46" ht="21" customHeight="1">
      <x:c r="A46" s="3" t="str">
        <x:v>2202018</x:v>
      </x:c>
      <x:c r="B46" s="3" t="str">
        <x:v>SEC006</x:v>
      </x:c>
      <x:c r="C46" s="3" t="str">
        <x:v>2024-2</x:v>
      </x:c>
      <x:c r="D46" s="5" t="n">
        <x:f>COUNTIFS('Attendance'!$A$5:$A$3919,A46,'Attendance'!$B$5:$B$3919,B46)</x:f>
        <x:v>15</x:v>
      </x:c>
      <x:c r="E46" s="5" t="n">
        <x:f>COUNTIFS('Attendance'!$A$5:$A$3919,A46,'Attendance'!$B$5:$B$3919,B46,'Attendance'!$D$5:$D$3919,"absent")</x:f>
        <x:v>1</x:v>
      </x:c>
      <x:c r="F46" s="5" t="n">
        <x:f>E46/D46</x:f>
        <x:v>0.06666666666666667</x:v>
      </x:c>
      <x:c r="G46" s="5" t="n">
        <x:f>IF(F46&gt;Rules!$B$7,1,0)</x:f>
        <x:v>0</x:v>
      </x:c>
    </x:row>
    <x:row r="47" ht="21" customHeight="1">
      <x:c r="A47" s="3" t="str">
        <x:v>2202019</x:v>
      </x:c>
      <x:c r="B47" s="3" t="str">
        <x:v>SEC006</x:v>
      </x:c>
      <x:c r="C47" s="3" t="str">
        <x:v>2024-2</x:v>
      </x:c>
      <x:c r="D47" s="5" t="n">
        <x:f>COUNTIFS('Attendance'!$A$5:$A$3919,A47,'Attendance'!$B$5:$B$3919,B47)</x:f>
        <x:v>15</x:v>
      </x:c>
      <x:c r="E47" s="5" t="n">
        <x:f>COUNTIFS('Attendance'!$A$5:$A$3919,A47,'Attendance'!$B$5:$B$3919,B47,'Attendance'!$D$5:$D$3919,"absent")</x:f>
        <x:v>0</x:v>
      </x:c>
      <x:c r="F47" s="5" t="n">
        <x:f>E47/D47</x:f>
        <x:v>0</x:v>
      </x:c>
      <x:c r="G47" s="5" t="n">
        <x:f>IF(F47&gt;Rules!$B$7,1,0)</x:f>
        <x:v>0</x:v>
      </x:c>
    </x:row>
    <x:row r="48" ht="21" customHeight="1">
      <x:c r="A48" s="3" t="str">
        <x:v>2202020</x:v>
      </x:c>
      <x:c r="B48" s="3" t="str">
        <x:v>SEC006</x:v>
      </x:c>
      <x:c r="C48" s="3" t="str">
        <x:v>2024-2</x:v>
      </x:c>
      <x:c r="D48" s="5" t="n">
        <x:f>COUNTIFS('Attendance'!$A$5:$A$3919,A48,'Attendance'!$B$5:$B$3919,B48)</x:f>
        <x:v>15</x:v>
      </x:c>
      <x:c r="E48" s="5" t="n">
        <x:f>COUNTIFS('Attendance'!$A$5:$A$3919,A48,'Attendance'!$B$5:$B$3919,B48,'Attendance'!$D$5:$D$3919,"absent")</x:f>
        <x:v>2</x:v>
      </x:c>
      <x:c r="F48" s="5" t="n">
        <x:f>E48/D48</x:f>
        <x:v>0.13333333333333333</x:v>
      </x:c>
      <x:c r="G48" s="5" t="n">
        <x:f>IF(F48&gt;Rules!$B$7,1,0)</x:f>
        <x:v>0</x:v>
      </x:c>
    </x:row>
    <x:row r="49" ht="21" customHeight="1">
      <x:c r="A49" s="3" t="str">
        <x:v>2202005</x:v>
      </x:c>
      <x:c r="B49" s="3" t="str">
        <x:v>SEC007</x:v>
      </x:c>
      <x:c r="C49" s="3" t="str">
        <x:v>2025-1</x:v>
      </x:c>
      <x:c r="D49" s="5" t="n">
        <x:f>COUNTIFS('Attendance'!$A$5:$A$3919,A49,'Attendance'!$B$5:$B$3919,B49)</x:f>
        <x:v>15</x:v>
      </x:c>
      <x:c r="E49" s="5" t="n">
        <x:f>COUNTIFS('Attendance'!$A$5:$A$3919,A49,'Attendance'!$B$5:$B$3919,B49,'Attendance'!$D$5:$D$3919,"absent")</x:f>
        <x:v>5</x:v>
      </x:c>
      <x:c r="F49" s="5" t="n">
        <x:f>E49/D49</x:f>
        <x:v>0.3333333333333333</x:v>
      </x:c>
      <x:c r="G49" s="5" t="n">
        <x:f>IF(F49&gt;Rules!$B$7,1,0)</x:f>
        <x:v>1</x:v>
      </x:c>
    </x:row>
    <x:row r="50" ht="21" customHeight="1">
      <x:c r="A50" s="3" t="str">
        <x:v>2202010</x:v>
      </x:c>
      <x:c r="B50" s="3" t="str">
        <x:v>SEC007</x:v>
      </x:c>
      <x:c r="C50" s="3" t="str">
        <x:v>2025-1</x:v>
      </x:c>
      <x:c r="D50" s="5" t="n">
        <x:f>COUNTIFS('Attendance'!$A$5:$A$3919,A50,'Attendance'!$B$5:$B$3919,B50)</x:f>
        <x:v>15</x:v>
      </x:c>
      <x:c r="E50" s="5" t="n">
        <x:f>COUNTIFS('Attendance'!$A$5:$A$3919,A50,'Attendance'!$B$5:$B$3919,B50,'Attendance'!$D$5:$D$3919,"absent")</x:f>
        <x:v>3</x:v>
      </x:c>
      <x:c r="F50" s="5" t="n">
        <x:f>E50/D50</x:f>
        <x:v>0.2</x:v>
      </x:c>
      <x:c r="G50" s="5" t="n">
        <x:f>IF(F50&gt;Rules!$B$7,1,0)</x:f>
        <x:v>0</x:v>
      </x:c>
    </x:row>
    <x:row r="51" ht="21" customHeight="1">
      <x:c r="A51" s="3" t="str">
        <x:v>2202015</x:v>
      </x:c>
      <x:c r="B51" s="3" t="str">
        <x:v>SEC008</x:v>
      </x:c>
      <x:c r="C51" s="3" t="str">
        <x:v>2025-1</x:v>
      </x:c>
      <x:c r="D51" s="5" t="n">
        <x:f>COUNTIFS('Attendance'!$A$5:$A$3919,A51,'Attendance'!$B$5:$B$3919,B51)</x:f>
        <x:v>15</x:v>
      </x:c>
      <x:c r="E51" s="5" t="n">
        <x:f>COUNTIFS('Attendance'!$A$5:$A$3919,A51,'Attendance'!$B$5:$B$3919,B51,'Attendance'!$D$5:$D$3919,"absent")</x:f>
        <x:v>4</x:v>
      </x:c>
      <x:c r="F51" s="5" t="n">
        <x:f>E51/D51</x:f>
        <x:v>0.26666666666666666</x:v>
      </x:c>
      <x:c r="G51" s="5" t="n">
        <x:f>IF(F51&gt;Rules!$B$7,1,0)</x:f>
        <x:v>1</x:v>
      </x:c>
    </x:row>
    <x:row r="52" ht="21" customHeight="1">
      <x:c r="A52" s="3" t="str">
        <x:v>2202020</x:v>
      </x:c>
      <x:c r="B52" s="3" t="str">
        <x:v>SEC008</x:v>
      </x:c>
      <x:c r="C52" s="3" t="str">
        <x:v>2025-1</x:v>
      </x:c>
      <x:c r="D52" s="5" t="n">
        <x:f>COUNTIFS('Attendance'!$A$5:$A$3919,A52,'Attendance'!$B$5:$B$3919,B52)</x:f>
        <x:v>15</x:v>
      </x:c>
      <x:c r="E52" s="5" t="n">
        <x:f>COUNTIFS('Attendance'!$A$5:$A$3919,A52,'Attendance'!$B$5:$B$3919,B52,'Attendance'!$D$5:$D$3919,"absent")</x:f>
        <x:v>8</x:v>
      </x:c>
      <x:c r="F52" s="5" t="n">
        <x:f>E52/D52</x:f>
        <x:v>0.5333333333333333</x:v>
      </x:c>
      <x:c r="G52" s="5" t="n">
        <x:f>IF(F52&gt;Rules!$B$7,1,0)</x:f>
        <x:v>1</x:v>
      </x:c>
    </x:row>
    <x:row r="53" ht="21" customHeight="1">
      <x:c r="A53" s="3" t="str">
        <x:v>2202001</x:v>
      </x:c>
      <x:c r="B53" s="3" t="str">
        <x:v>SEC009</x:v>
      </x:c>
      <x:c r="C53" s="3" t="str">
        <x:v>2024-2</x:v>
      </x:c>
      <x:c r="D53" s="5" t="n">
        <x:f>COUNTIFS('Attendance'!$A$5:$A$3919,A53,'Attendance'!$B$5:$B$3919,B53)</x:f>
        <x:v>15</x:v>
      </x:c>
      <x:c r="E53" s="5" t="n">
        <x:f>COUNTIFS('Attendance'!$A$5:$A$3919,A53,'Attendance'!$B$5:$B$3919,B53,'Attendance'!$D$5:$D$3919,"absent")</x:f>
        <x:v>0</x:v>
      </x:c>
      <x:c r="F53" s="5" t="n">
        <x:f>E53/D53</x:f>
        <x:v>0</x:v>
      </x:c>
      <x:c r="G53" s="5" t="n">
        <x:f>IF(F53&gt;Rules!$B$7,1,0)</x:f>
        <x:v>0</x:v>
      </x:c>
    </x:row>
    <x:row r="54" ht="21" customHeight="1">
      <x:c r="A54" s="3" t="str">
        <x:v>2202002</x:v>
      </x:c>
      <x:c r="B54" s="3" t="str">
        <x:v>SEC009</x:v>
      </x:c>
      <x:c r="C54" s="3" t="str">
        <x:v>2024-2</x:v>
      </x:c>
      <x:c r="D54" s="5" t="n">
        <x:f>COUNTIFS('Attendance'!$A$5:$A$3919,A54,'Attendance'!$B$5:$B$3919,B54)</x:f>
        <x:v>15</x:v>
      </x:c>
      <x:c r="E54" s="5" t="n">
        <x:f>COUNTIFS('Attendance'!$A$5:$A$3919,A54,'Attendance'!$B$5:$B$3919,B54,'Attendance'!$D$5:$D$3919,"absent")</x:f>
        <x:v>0</x:v>
      </x:c>
      <x:c r="F54" s="5" t="n">
        <x:f>E54/D54</x:f>
        <x:v>0</x:v>
      </x:c>
      <x:c r="G54" s="5" t="n">
        <x:f>IF(F54&gt;Rules!$B$7,1,0)</x:f>
        <x:v>0</x:v>
      </x:c>
    </x:row>
    <x:row r="55" ht="21" customHeight="1">
      <x:c r="A55" s="3" t="str">
        <x:v>2202003</x:v>
      </x:c>
      <x:c r="B55" s="3" t="str">
        <x:v>SEC009</x:v>
      </x:c>
      <x:c r="C55" s="3" t="str">
        <x:v>2024-2</x:v>
      </x:c>
      <x:c r="D55" s="5" t="n">
        <x:f>COUNTIFS('Attendance'!$A$5:$A$3919,A55,'Attendance'!$B$5:$B$3919,B55)</x:f>
        <x:v>15</x:v>
      </x:c>
      <x:c r="E55" s="5" t="n">
        <x:f>COUNTIFS('Attendance'!$A$5:$A$3919,A55,'Attendance'!$B$5:$B$3919,B55,'Attendance'!$D$5:$D$3919,"absent")</x:f>
        <x:v>0</x:v>
      </x:c>
      <x:c r="F55" s="5" t="n">
        <x:f>E55/D55</x:f>
        <x:v>0</x:v>
      </x:c>
      <x:c r="G55" s="5" t="n">
        <x:f>IF(F55&gt;Rules!$B$7,1,0)</x:f>
        <x:v>0</x:v>
      </x:c>
    </x:row>
    <x:row r="56" ht="21" customHeight="1">
      <x:c r="A56" s="3" t="str">
        <x:v>2202004</x:v>
      </x:c>
      <x:c r="B56" s="3" t="str">
        <x:v>SEC009</x:v>
      </x:c>
      <x:c r="C56" s="3" t="str">
        <x:v>2024-2</x:v>
      </x:c>
      <x:c r="D56" s="5" t="n">
        <x:f>COUNTIFS('Attendance'!$A$5:$A$3919,A56,'Attendance'!$B$5:$B$3919,B56)</x:f>
        <x:v>15</x:v>
      </x:c>
      <x:c r="E56" s="5" t="n">
        <x:f>COUNTIFS('Attendance'!$A$5:$A$3919,A56,'Attendance'!$B$5:$B$3919,B56,'Attendance'!$D$5:$D$3919,"absent")</x:f>
        <x:v>0</x:v>
      </x:c>
      <x:c r="F56" s="5" t="n">
        <x:f>E56/D56</x:f>
        <x:v>0</x:v>
      </x:c>
      <x:c r="G56" s="5" t="n">
        <x:f>IF(F56&gt;Rules!$B$7,1,0)</x:f>
        <x:v>0</x:v>
      </x:c>
    </x:row>
    <x:row r="57" ht="21" customHeight="1">
      <x:c r="A57" s="3" t="str">
        <x:v>2202005</x:v>
      </x:c>
      <x:c r="B57" s="3" t="str">
        <x:v>SEC009</x:v>
      </x:c>
      <x:c r="C57" s="3" t="str">
        <x:v>2024-2</x:v>
      </x:c>
      <x:c r="D57" s="5" t="n">
        <x:f>COUNTIFS('Attendance'!$A$5:$A$3919,A57,'Attendance'!$B$5:$B$3919,B57)</x:f>
        <x:v>15</x:v>
      </x:c>
      <x:c r="E57" s="5" t="n">
        <x:f>COUNTIFS('Attendance'!$A$5:$A$3919,A57,'Attendance'!$B$5:$B$3919,B57,'Attendance'!$D$5:$D$3919,"absent")</x:f>
        <x:v>1</x:v>
      </x:c>
      <x:c r="F57" s="5" t="n">
        <x:f>E57/D57</x:f>
        <x:v>0.06666666666666667</x:v>
      </x:c>
      <x:c r="G57" s="5" t="n">
        <x:f>IF(F57&gt;Rules!$B$7,1,0)</x:f>
        <x:v>0</x:v>
      </x:c>
    </x:row>
    <x:row r="58" ht="21" customHeight="1">
      <x:c r="A58" s="3" t="str">
        <x:v>2202006</x:v>
      </x:c>
      <x:c r="B58" s="3" t="str">
        <x:v>SEC009</x:v>
      </x:c>
      <x:c r="C58" s="3" t="str">
        <x:v>2024-2</x:v>
      </x:c>
      <x:c r="D58" s="5" t="n">
        <x:f>COUNTIFS('Attendance'!$A$5:$A$3919,A58,'Attendance'!$B$5:$B$3919,B58)</x:f>
        <x:v>15</x:v>
      </x:c>
      <x:c r="E58" s="5" t="n">
        <x:f>COUNTIFS('Attendance'!$A$5:$A$3919,A58,'Attendance'!$B$5:$B$3919,B58,'Attendance'!$D$5:$D$3919,"absent")</x:f>
        <x:v>0</x:v>
      </x:c>
      <x:c r="F58" s="5" t="n">
        <x:f>E58/D58</x:f>
        <x:v>0</x:v>
      </x:c>
      <x:c r="G58" s="5" t="n">
        <x:f>IF(F58&gt;Rules!$B$7,1,0)</x:f>
        <x:v>0</x:v>
      </x:c>
    </x:row>
    <x:row r="59" ht="21" customHeight="1">
      <x:c r="A59" s="3" t="str">
        <x:v>2202007</x:v>
      </x:c>
      <x:c r="B59" s="3" t="str">
        <x:v>SEC009</x:v>
      </x:c>
      <x:c r="C59" s="3" t="str">
        <x:v>2024-2</x:v>
      </x:c>
      <x:c r="D59" s="5" t="n">
        <x:f>COUNTIFS('Attendance'!$A$5:$A$3919,A59,'Attendance'!$B$5:$B$3919,B59)</x:f>
        <x:v>15</x:v>
      </x:c>
      <x:c r="E59" s="5" t="n">
        <x:f>COUNTIFS('Attendance'!$A$5:$A$3919,A59,'Attendance'!$B$5:$B$3919,B59,'Attendance'!$D$5:$D$3919,"absent")</x:f>
        <x:v>1</x:v>
      </x:c>
      <x:c r="F59" s="5" t="n">
        <x:f>E59/D59</x:f>
        <x:v>0.06666666666666667</x:v>
      </x:c>
      <x:c r="G59" s="5" t="n">
        <x:f>IF(F59&gt;Rules!$B$7,1,0)</x:f>
        <x:v>0</x:v>
      </x:c>
    </x:row>
    <x:row r="60" ht="21" customHeight="1">
      <x:c r="A60" s="3" t="str">
        <x:v>2202008</x:v>
      </x:c>
      <x:c r="B60" s="3" t="str">
        <x:v>SEC009</x:v>
      </x:c>
      <x:c r="C60" s="3" t="str">
        <x:v>2024-2</x:v>
      </x:c>
      <x:c r="D60" s="5" t="n">
        <x:f>COUNTIFS('Attendance'!$A$5:$A$3919,A60,'Attendance'!$B$5:$B$3919,B60)</x:f>
        <x:v>15</x:v>
      </x:c>
      <x:c r="E60" s="5" t="n">
        <x:f>COUNTIFS('Attendance'!$A$5:$A$3919,A60,'Attendance'!$B$5:$B$3919,B60,'Attendance'!$D$5:$D$3919,"absent")</x:f>
        <x:v>2</x:v>
      </x:c>
      <x:c r="F60" s="5" t="n">
        <x:f>E60/D60</x:f>
        <x:v>0.13333333333333333</x:v>
      </x:c>
      <x:c r="G60" s="5" t="n">
        <x:f>IF(F60&gt;Rules!$B$7,1,0)</x:f>
        <x:v>0</x:v>
      </x:c>
    </x:row>
    <x:row r="61" ht="21" customHeight="1">
      <x:c r="A61" s="3" t="str">
        <x:v>2202009</x:v>
      </x:c>
      <x:c r="B61" s="3" t="str">
        <x:v>SEC009</x:v>
      </x:c>
      <x:c r="C61" s="3" t="str">
        <x:v>2024-2</x:v>
      </x:c>
      <x:c r="D61" s="5" t="n">
        <x:f>COUNTIFS('Attendance'!$A$5:$A$3919,A61,'Attendance'!$B$5:$B$3919,B61)</x:f>
        <x:v>15</x:v>
      </x:c>
      <x:c r="E61" s="5" t="n">
        <x:f>COUNTIFS('Attendance'!$A$5:$A$3919,A61,'Attendance'!$B$5:$B$3919,B61,'Attendance'!$D$5:$D$3919,"absent")</x:f>
        <x:v>0</x:v>
      </x:c>
      <x:c r="F61" s="5" t="n">
        <x:f>E61/D61</x:f>
        <x:v>0</x:v>
      </x:c>
      <x:c r="G61" s="5" t="n">
        <x:f>IF(F61&gt;Rules!$B$7,1,0)</x:f>
        <x:v>0</x:v>
      </x:c>
    </x:row>
    <x:row r="62" ht="21" customHeight="1">
      <x:c r="A62" s="3" t="str">
        <x:v>2202010</x:v>
      </x:c>
      <x:c r="B62" s="3" t="str">
        <x:v>SEC009</x:v>
      </x:c>
      <x:c r="C62" s="3" t="str">
        <x:v>2024-2</x:v>
      </x:c>
      <x:c r="D62" s="5" t="n">
        <x:f>COUNTIFS('Attendance'!$A$5:$A$3919,A62,'Attendance'!$B$5:$B$3919,B62)</x:f>
        <x:v>15</x:v>
      </x:c>
      <x:c r="E62" s="5" t="n">
        <x:f>COUNTIFS('Attendance'!$A$5:$A$3919,A62,'Attendance'!$B$5:$B$3919,B62,'Attendance'!$D$5:$D$3919,"absent")</x:f>
        <x:v>6</x:v>
      </x:c>
      <x:c r="F62" s="5" t="n">
        <x:f>E62/D62</x:f>
        <x:v>0.4</x:v>
      </x:c>
      <x:c r="G62" s="5" t="n">
        <x:f>IF(F62&gt;Rules!$B$7,1,0)</x:f>
        <x:v>1</x:v>
      </x:c>
    </x:row>
    <x:row r="63" ht="21" customHeight="1">
      <x:c r="A63" s="3" t="str">
        <x:v>2202011</x:v>
      </x:c>
      <x:c r="B63" s="3" t="str">
        <x:v>SEC010</x:v>
      </x:c>
      <x:c r="C63" s="3" t="str">
        <x:v>2024-2</x:v>
      </x:c>
      <x:c r="D63" s="5" t="n">
        <x:f>COUNTIFS('Attendance'!$A$5:$A$3919,A63,'Attendance'!$B$5:$B$3919,B63)</x:f>
        <x:v>15</x:v>
      </x:c>
      <x:c r="E63" s="5" t="n">
        <x:f>COUNTIFS('Attendance'!$A$5:$A$3919,A63,'Attendance'!$B$5:$B$3919,B63,'Attendance'!$D$5:$D$3919,"absent")</x:f>
        <x:v>1</x:v>
      </x:c>
      <x:c r="F63" s="5" t="n">
        <x:f>E63/D63</x:f>
        <x:v>0.06666666666666667</x:v>
      </x:c>
      <x:c r="G63" s="5" t="n">
        <x:f>IF(F63&gt;Rules!$B$7,1,0)</x:f>
        <x:v>0</x:v>
      </x:c>
    </x:row>
    <x:row r="64" ht="21" customHeight="1">
      <x:c r="A64" s="3" t="str">
        <x:v>2202012</x:v>
      </x:c>
      <x:c r="B64" s="3" t="str">
        <x:v>SEC010</x:v>
      </x:c>
      <x:c r="C64" s="3" t="str">
        <x:v>2024-2</x:v>
      </x:c>
      <x:c r="D64" s="5" t="n">
        <x:f>COUNTIFS('Attendance'!$A$5:$A$3919,A64,'Attendance'!$B$5:$B$3919,B64)</x:f>
        <x:v>15</x:v>
      </x:c>
      <x:c r="E64" s="5" t="n">
        <x:f>COUNTIFS('Attendance'!$A$5:$A$3919,A64,'Attendance'!$B$5:$B$3919,B64,'Attendance'!$D$5:$D$3919,"absent")</x:f>
        <x:v>2</x:v>
      </x:c>
      <x:c r="F64" s="5" t="n">
        <x:f>E64/D64</x:f>
        <x:v>0.13333333333333333</x:v>
      </x:c>
      <x:c r="G64" s="5" t="n">
        <x:f>IF(F64&gt;Rules!$B$7,1,0)</x:f>
        <x:v>0</x:v>
      </x:c>
    </x:row>
    <x:row r="65" ht="21" customHeight="1">
      <x:c r="A65" s="3" t="str">
        <x:v>2202013</x:v>
      </x:c>
      <x:c r="B65" s="3" t="str">
        <x:v>SEC010</x:v>
      </x:c>
      <x:c r="C65" s="3" t="str">
        <x:v>2024-2</x:v>
      </x:c>
      <x:c r="D65" s="5" t="n">
        <x:f>COUNTIFS('Attendance'!$A$5:$A$3919,A65,'Attendance'!$B$5:$B$3919,B65)</x:f>
        <x:v>15</x:v>
      </x:c>
      <x:c r="E65" s="5" t="n">
        <x:f>COUNTIFS('Attendance'!$A$5:$A$3919,A65,'Attendance'!$B$5:$B$3919,B65,'Attendance'!$D$5:$D$3919,"absent")</x:f>
        <x:v>2</x:v>
      </x:c>
      <x:c r="F65" s="5" t="n">
        <x:f>E65/D65</x:f>
        <x:v>0.13333333333333333</x:v>
      </x:c>
      <x:c r="G65" s="5" t="n">
        <x:f>IF(F65&gt;Rules!$B$7,1,0)</x:f>
        <x:v>0</x:v>
      </x:c>
    </x:row>
    <x:row r="66" ht="21" customHeight="1">
      <x:c r="A66" s="3" t="str">
        <x:v>2202014</x:v>
      </x:c>
      <x:c r="B66" s="3" t="str">
        <x:v>SEC010</x:v>
      </x:c>
      <x:c r="C66" s="3" t="str">
        <x:v>2024-2</x:v>
      </x:c>
      <x:c r="D66" s="5" t="n">
        <x:f>COUNTIFS('Attendance'!$A$5:$A$3919,A66,'Attendance'!$B$5:$B$3919,B66)</x:f>
        <x:v>15</x:v>
      </x:c>
      <x:c r="E66" s="5" t="n">
        <x:f>COUNTIFS('Attendance'!$A$5:$A$3919,A66,'Attendance'!$B$5:$B$3919,B66,'Attendance'!$D$5:$D$3919,"absent")</x:f>
        <x:v>0</x:v>
      </x:c>
      <x:c r="F66" s="5" t="n">
        <x:f>E66/D66</x:f>
        <x:v>0</x:v>
      </x:c>
      <x:c r="G66" s="5" t="n">
        <x:f>IF(F66&gt;Rules!$B$7,1,0)</x:f>
        <x:v>0</x:v>
      </x:c>
    </x:row>
    <x:row r="67" ht="21" customHeight="1">
      <x:c r="A67" s="3" t="str">
        <x:v>2202015</x:v>
      </x:c>
      <x:c r="B67" s="3" t="str">
        <x:v>SEC010</x:v>
      </x:c>
      <x:c r="C67" s="3" t="str">
        <x:v>2024-2</x:v>
      </x:c>
      <x:c r="D67" s="5" t="n">
        <x:f>COUNTIFS('Attendance'!$A$5:$A$3919,A67,'Attendance'!$B$5:$B$3919,B67)</x:f>
        <x:v>15</x:v>
      </x:c>
      <x:c r="E67" s="5" t="n">
        <x:f>COUNTIFS('Attendance'!$A$5:$A$3919,A67,'Attendance'!$B$5:$B$3919,B67,'Attendance'!$D$5:$D$3919,"absent")</x:f>
        <x:v>2</x:v>
      </x:c>
      <x:c r="F67" s="5" t="n">
        <x:f>E67/D67</x:f>
        <x:v>0.13333333333333333</x:v>
      </x:c>
      <x:c r="G67" s="5" t="n">
        <x:f>IF(F67&gt;Rules!$B$7,1,0)</x:f>
        <x:v>0</x:v>
      </x:c>
    </x:row>
    <x:row r="68" ht="21" customHeight="1">
      <x:c r="A68" s="3" t="str">
        <x:v>2202016</x:v>
      </x:c>
      <x:c r="B68" s="3" t="str">
        <x:v>SEC010</x:v>
      </x:c>
      <x:c r="C68" s="3" t="str">
        <x:v>2024-2</x:v>
      </x:c>
      <x:c r="D68" s="5" t="n">
        <x:f>COUNTIFS('Attendance'!$A$5:$A$3919,A68,'Attendance'!$B$5:$B$3919,B68)</x:f>
        <x:v>15</x:v>
      </x:c>
      <x:c r="E68" s="5" t="n">
        <x:f>COUNTIFS('Attendance'!$A$5:$A$3919,A68,'Attendance'!$B$5:$B$3919,B68,'Attendance'!$D$5:$D$3919,"absent")</x:f>
        <x:v>1</x:v>
      </x:c>
      <x:c r="F68" s="5" t="n">
        <x:f>E68/D68</x:f>
        <x:v>0.06666666666666667</x:v>
      </x:c>
      <x:c r="G68" s="5" t="n">
        <x:f>IF(F68&gt;Rules!$B$7,1,0)</x:f>
        <x:v>0</x:v>
      </x:c>
    </x:row>
    <x:row r="69" ht="21" customHeight="1">
      <x:c r="A69" s="3" t="str">
        <x:v>2202017</x:v>
      </x:c>
      <x:c r="B69" s="3" t="str">
        <x:v>SEC010</x:v>
      </x:c>
      <x:c r="C69" s="3" t="str">
        <x:v>2024-2</x:v>
      </x:c>
      <x:c r="D69" s="5" t="n">
        <x:f>COUNTIFS('Attendance'!$A$5:$A$3919,A69,'Attendance'!$B$5:$B$3919,B69)</x:f>
        <x:v>15</x:v>
      </x:c>
      <x:c r="E69" s="5" t="n">
        <x:f>COUNTIFS('Attendance'!$A$5:$A$3919,A69,'Attendance'!$B$5:$B$3919,B69,'Attendance'!$D$5:$D$3919,"absent")</x:f>
        <x:v>0</x:v>
      </x:c>
      <x:c r="F69" s="5" t="n">
        <x:f>E69/D69</x:f>
        <x:v>0</x:v>
      </x:c>
      <x:c r="G69" s="5" t="n">
        <x:f>IF(F69&gt;Rules!$B$7,1,0)</x:f>
        <x:v>0</x:v>
      </x:c>
    </x:row>
    <x:row r="70" ht="21" customHeight="1">
      <x:c r="A70" s="3" t="str">
        <x:v>2202018</x:v>
      </x:c>
      <x:c r="B70" s="3" t="str">
        <x:v>SEC010</x:v>
      </x:c>
      <x:c r="C70" s="3" t="str">
        <x:v>2024-2</x:v>
      </x:c>
      <x:c r="D70" s="5" t="n">
        <x:f>COUNTIFS('Attendance'!$A$5:$A$3919,A70,'Attendance'!$B$5:$B$3919,B70)</x:f>
        <x:v>15</x:v>
      </x:c>
      <x:c r="E70" s="5" t="n">
        <x:f>COUNTIFS('Attendance'!$A$5:$A$3919,A70,'Attendance'!$B$5:$B$3919,B70,'Attendance'!$D$5:$D$3919,"absent")</x:f>
        <x:v>0</x:v>
      </x:c>
      <x:c r="F70" s="5" t="n">
        <x:f>E70/D70</x:f>
        <x:v>0</x:v>
      </x:c>
      <x:c r="G70" s="5" t="n">
        <x:f>IF(F70&gt;Rules!$B$7,1,0)</x:f>
        <x:v>0</x:v>
      </x:c>
    </x:row>
    <x:row r="71" ht="21" customHeight="1">
      <x:c r="A71" s="3" t="str">
        <x:v>2202019</x:v>
      </x:c>
      <x:c r="B71" s="3" t="str">
        <x:v>SEC010</x:v>
      </x:c>
      <x:c r="C71" s="3" t="str">
        <x:v>2024-2</x:v>
      </x:c>
      <x:c r="D71" s="5" t="n">
        <x:f>COUNTIFS('Attendance'!$A$5:$A$3919,A71,'Attendance'!$B$5:$B$3919,B71)</x:f>
        <x:v>15</x:v>
      </x:c>
      <x:c r="E71" s="5" t="n">
        <x:f>COUNTIFS('Attendance'!$A$5:$A$3919,A71,'Attendance'!$B$5:$B$3919,B71,'Attendance'!$D$5:$D$3919,"absent")</x:f>
        <x:v>0</x:v>
      </x:c>
      <x:c r="F71" s="5" t="n">
        <x:f>E71/D71</x:f>
        <x:v>0</x:v>
      </x:c>
      <x:c r="G71" s="5" t="n">
        <x:f>IF(F71&gt;Rules!$B$7,1,0)</x:f>
        <x:v>0</x:v>
      </x:c>
    </x:row>
    <x:row r="72" ht="21" customHeight="1">
      <x:c r="A72" s="3" t="str">
        <x:v>2202020</x:v>
      </x:c>
      <x:c r="B72" s="3" t="str">
        <x:v>SEC010</x:v>
      </x:c>
      <x:c r="C72" s="3" t="str">
        <x:v>2024-2</x:v>
      </x:c>
      <x:c r="D72" s="5" t="n">
        <x:f>COUNTIFS('Attendance'!$A$5:$A$3919,A72,'Attendance'!$B$5:$B$3919,B72)</x:f>
        <x:v>15</x:v>
      </x:c>
      <x:c r="E72" s="5" t="n">
        <x:f>COUNTIFS('Attendance'!$A$5:$A$3919,A72,'Attendance'!$B$5:$B$3919,B72,'Attendance'!$D$5:$D$3919,"absent")</x:f>
        <x:v>3</x:v>
      </x:c>
      <x:c r="F72" s="5" t="n">
        <x:f>E72/D72</x:f>
        <x:v>0.2</x:v>
      </x:c>
      <x:c r="G72" s="5" t="n">
        <x:f>IF(F72&gt;Rules!$B$7,1,0)</x:f>
        <x:v>0</x:v>
      </x:c>
    </x:row>
    <x:row r="73" ht="21" customHeight="1">
      <x:c r="A73" s="3" t="str">
        <x:v>2202015</x:v>
      </x:c>
      <x:c r="B73" s="3" t="str">
        <x:v>SEC011</x:v>
      </x:c>
      <x:c r="C73" s="3" t="str">
        <x:v>2025-1</x:v>
      </x:c>
      <x:c r="D73" s="5" t="n">
        <x:f>COUNTIFS('Attendance'!$A$5:$A$3919,A73,'Attendance'!$B$5:$B$3919,B73)</x:f>
        <x:v>15</x:v>
      </x:c>
      <x:c r="E73" s="5" t="n">
        <x:f>COUNTIFS('Attendance'!$A$5:$A$3919,A73,'Attendance'!$B$5:$B$3919,B73,'Attendance'!$D$5:$D$3919,"absent")</x:f>
        <x:v>2</x:v>
      </x:c>
      <x:c r="F73" s="5" t="n">
        <x:f>E73/D73</x:f>
        <x:v>0.13333333333333333</x:v>
      </x:c>
      <x:c r="G73" s="5" t="n">
        <x:f>IF(F73&gt;Rules!$B$7,1,0)</x:f>
        <x:v>0</x:v>
      </x:c>
    </x:row>
    <x:row r="74" ht="21" customHeight="1">
      <x:c r="A74" s="3" t="str">
        <x:v>2202001</x:v>
      </x:c>
      <x:c r="B74" s="3" t="str">
        <x:v>SEC012</x:v>
      </x:c>
      <x:c r="C74" s="3" t="str">
        <x:v>2025-1</x:v>
      </x:c>
      <x:c r="D74" s="5" t="n">
        <x:f>COUNTIFS('Attendance'!$A$5:$A$3919,A74,'Attendance'!$B$5:$B$3919,B74)</x:f>
        <x:v>15</x:v>
      </x:c>
      <x:c r="E74" s="5" t="n">
        <x:f>COUNTIFS('Attendance'!$A$5:$A$3919,A74,'Attendance'!$B$5:$B$3919,B74,'Attendance'!$D$5:$D$3919,"absent")</x:f>
        <x:v>0</x:v>
      </x:c>
      <x:c r="F74" s="5" t="n">
        <x:f>E74/D74</x:f>
        <x:v>0</x:v>
      </x:c>
      <x:c r="G74" s="5" t="n">
        <x:f>IF(F74&gt;Rules!$B$7,1,0)</x:f>
        <x:v>0</x:v>
      </x:c>
    </x:row>
    <x:row r="75" ht="21" customHeight="1">
      <x:c r="A75" s="3" t="str">
        <x:v>2202002</x:v>
      </x:c>
      <x:c r="B75" s="3" t="str">
        <x:v>SEC012</x:v>
      </x:c>
      <x:c r="C75" s="3" t="str">
        <x:v>2025-1</x:v>
      </x:c>
      <x:c r="D75" s="5" t="n">
        <x:f>COUNTIFS('Attendance'!$A$5:$A$3919,A75,'Attendance'!$B$5:$B$3919,B75)</x:f>
        <x:v>15</x:v>
      </x:c>
      <x:c r="E75" s="5" t="n">
        <x:f>COUNTIFS('Attendance'!$A$5:$A$3919,A75,'Attendance'!$B$5:$B$3919,B75,'Attendance'!$D$5:$D$3919,"absent")</x:f>
        <x:v>2</x:v>
      </x:c>
      <x:c r="F75" s="5" t="n">
        <x:f>E75/D75</x:f>
        <x:v>0.13333333333333333</x:v>
      </x:c>
      <x:c r="G75" s="5" t="n">
        <x:f>IF(F75&gt;Rules!$B$7,1,0)</x:f>
        <x:v>0</x:v>
      </x:c>
    </x:row>
    <x:row r="76" ht="21" customHeight="1">
      <x:c r="A76" s="3" t="str">
        <x:v>2202003</x:v>
      </x:c>
      <x:c r="B76" s="3" t="str">
        <x:v>SEC012</x:v>
      </x:c>
      <x:c r="C76" s="3" t="str">
        <x:v>2025-1</x:v>
      </x:c>
      <x:c r="D76" s="5" t="n">
        <x:f>COUNTIFS('Attendance'!$A$5:$A$3919,A76,'Attendance'!$B$5:$B$3919,B76)</x:f>
        <x:v>15</x:v>
      </x:c>
      <x:c r="E76" s="5" t="n">
        <x:f>COUNTIFS('Attendance'!$A$5:$A$3919,A76,'Attendance'!$B$5:$B$3919,B76,'Attendance'!$D$5:$D$3919,"absent")</x:f>
        <x:v>0</x:v>
      </x:c>
      <x:c r="F76" s="5" t="n">
        <x:f>E76/D76</x:f>
        <x:v>0</x:v>
      </x:c>
      <x:c r="G76" s="5" t="n">
        <x:f>IF(F76&gt;Rules!$B$7,1,0)</x:f>
        <x:v>0</x:v>
      </x:c>
    </x:row>
    <x:row r="77" ht="21" customHeight="1">
      <x:c r="A77" s="3" t="str">
        <x:v>2202004</x:v>
      </x:c>
      <x:c r="B77" s="3" t="str">
        <x:v>SEC012</x:v>
      </x:c>
      <x:c r="C77" s="3" t="str">
        <x:v>2025-1</x:v>
      </x:c>
      <x:c r="D77" s="5" t="n">
        <x:f>COUNTIFS('Attendance'!$A$5:$A$3919,A77,'Attendance'!$B$5:$B$3919,B77)</x:f>
        <x:v>15</x:v>
      </x:c>
      <x:c r="E77" s="5" t="n">
        <x:f>COUNTIFS('Attendance'!$A$5:$A$3919,A77,'Attendance'!$B$5:$B$3919,B77,'Attendance'!$D$5:$D$3919,"absent")</x:f>
        <x:v>2</x:v>
      </x:c>
      <x:c r="F77" s="5" t="n">
        <x:f>E77/D77</x:f>
        <x:v>0.13333333333333333</x:v>
      </x:c>
      <x:c r="G77" s="5" t="n">
        <x:f>IF(F77&gt;Rules!$B$7,1,0)</x:f>
        <x:v>0</x:v>
      </x:c>
    </x:row>
    <x:row r="78" ht="21" customHeight="1">
      <x:c r="A78" s="3" t="str">
        <x:v>2202005</x:v>
      </x:c>
      <x:c r="B78" s="3" t="str">
        <x:v>SEC012</x:v>
      </x:c>
      <x:c r="C78" s="3" t="str">
        <x:v>2025-1</x:v>
      </x:c>
      <x:c r="D78" s="5" t="n">
        <x:f>COUNTIFS('Attendance'!$A$5:$A$3919,A78,'Attendance'!$B$5:$B$3919,B78)</x:f>
        <x:v>15</x:v>
      </x:c>
      <x:c r="E78" s="5" t="n">
        <x:f>COUNTIFS('Attendance'!$A$5:$A$3919,A78,'Attendance'!$B$5:$B$3919,B78,'Attendance'!$D$5:$D$3919,"absent")</x:f>
        <x:v>5</x:v>
      </x:c>
      <x:c r="F78" s="5" t="n">
        <x:f>E78/D78</x:f>
        <x:v>0.3333333333333333</x:v>
      </x:c>
      <x:c r="G78" s="5" t="n">
        <x:f>IF(F78&gt;Rules!$B$7,1,0)</x:f>
        <x:v>1</x:v>
      </x:c>
    </x:row>
    <x:row r="79" ht="21" customHeight="1">
      <x:c r="A79" s="3" t="str">
        <x:v>2202006</x:v>
      </x:c>
      <x:c r="B79" s="3" t="str">
        <x:v>SEC012</x:v>
      </x:c>
      <x:c r="C79" s="3" t="str">
        <x:v>2025-1</x:v>
      </x:c>
      <x:c r="D79" s="5" t="n">
        <x:f>COUNTIFS('Attendance'!$A$5:$A$3919,A79,'Attendance'!$B$5:$B$3919,B79)</x:f>
        <x:v>15</x:v>
      </x:c>
      <x:c r="E79" s="5" t="n">
        <x:f>COUNTIFS('Attendance'!$A$5:$A$3919,A79,'Attendance'!$B$5:$B$3919,B79,'Attendance'!$D$5:$D$3919,"absent")</x:f>
        <x:v>0</x:v>
      </x:c>
      <x:c r="F79" s="5" t="n">
        <x:f>E79/D79</x:f>
        <x:v>0</x:v>
      </x:c>
      <x:c r="G79" s="5" t="n">
        <x:f>IF(F79&gt;Rules!$B$7,1,0)</x:f>
        <x:v>0</x:v>
      </x:c>
    </x:row>
    <x:row r="80" ht="21" customHeight="1">
      <x:c r="A80" s="3" t="str">
        <x:v>2202007</x:v>
      </x:c>
      <x:c r="B80" s="3" t="str">
        <x:v>SEC012</x:v>
      </x:c>
      <x:c r="C80" s="3" t="str">
        <x:v>2025-1</x:v>
      </x:c>
      <x:c r="D80" s="5" t="n">
        <x:f>COUNTIFS('Attendance'!$A$5:$A$3919,A80,'Attendance'!$B$5:$B$3919,B80)</x:f>
        <x:v>15</x:v>
      </x:c>
      <x:c r="E80" s="5" t="n">
        <x:f>COUNTIFS('Attendance'!$A$5:$A$3919,A80,'Attendance'!$B$5:$B$3919,B80,'Attendance'!$D$5:$D$3919,"absent")</x:f>
        <x:v>1</x:v>
      </x:c>
      <x:c r="F80" s="5" t="n">
        <x:f>E80/D80</x:f>
        <x:v>0.06666666666666667</x:v>
      </x:c>
      <x:c r="G80" s="5" t="n">
        <x:f>IF(F80&gt;Rules!$B$7,1,0)</x:f>
        <x:v>0</x:v>
      </x:c>
    </x:row>
    <x:row r="81" ht="21" customHeight="1">
      <x:c r="A81" s="3" t="str">
        <x:v>2202008</x:v>
      </x:c>
      <x:c r="B81" s="3" t="str">
        <x:v>SEC012</x:v>
      </x:c>
      <x:c r="C81" s="3" t="str">
        <x:v>2025-1</x:v>
      </x:c>
      <x:c r="D81" s="5" t="n">
        <x:f>COUNTIFS('Attendance'!$A$5:$A$3919,A81,'Attendance'!$B$5:$B$3919,B81)</x:f>
        <x:v>15</x:v>
      </x:c>
      <x:c r="E81" s="5" t="n">
        <x:f>COUNTIFS('Attendance'!$A$5:$A$3919,A81,'Attendance'!$B$5:$B$3919,B81,'Attendance'!$D$5:$D$3919,"absent")</x:f>
        <x:v>0</x:v>
      </x:c>
      <x:c r="F81" s="5" t="n">
        <x:f>E81/D81</x:f>
        <x:v>0</x:v>
      </x:c>
      <x:c r="G81" s="5" t="n">
        <x:f>IF(F81&gt;Rules!$B$7,1,0)</x:f>
        <x:v>0</x:v>
      </x:c>
    </x:row>
    <x:row r="82" ht="21" customHeight="1">
      <x:c r="A82" s="3" t="str">
        <x:v>2202009</x:v>
      </x:c>
      <x:c r="B82" s="3" t="str">
        <x:v>SEC012</x:v>
      </x:c>
      <x:c r="C82" s="3" t="str">
        <x:v>2025-1</x:v>
      </x:c>
      <x:c r="D82" s="5" t="n">
        <x:f>COUNTIFS('Attendance'!$A$5:$A$3919,A82,'Attendance'!$B$5:$B$3919,B82)</x:f>
        <x:v>15</x:v>
      </x:c>
      <x:c r="E82" s="5" t="n">
        <x:f>COUNTIFS('Attendance'!$A$5:$A$3919,A82,'Attendance'!$B$5:$B$3919,B82,'Attendance'!$D$5:$D$3919,"absent")</x:f>
        <x:v>0</x:v>
      </x:c>
      <x:c r="F82" s="5" t="n">
        <x:f>E82/D82</x:f>
        <x:v>0</x:v>
      </x:c>
      <x:c r="G82" s="5" t="n">
        <x:f>IF(F82&gt;Rules!$B$7,1,0)</x:f>
        <x:v>0</x:v>
      </x:c>
    </x:row>
    <x:row r="83" ht="21" customHeight="1">
      <x:c r="A83" s="3" t="str">
        <x:v>2202010</x:v>
      </x:c>
      <x:c r="B83" s="3" t="str">
        <x:v>SEC012</x:v>
      </x:c>
      <x:c r="C83" s="3" t="str">
        <x:v>2025-1</x:v>
      </x:c>
      <x:c r="D83" s="5" t="n">
        <x:f>COUNTIFS('Attendance'!$A$5:$A$3919,A83,'Attendance'!$B$5:$B$3919,B83)</x:f>
        <x:v>15</x:v>
      </x:c>
      <x:c r="E83" s="5" t="n">
        <x:f>COUNTIFS('Attendance'!$A$5:$A$3919,A83,'Attendance'!$B$5:$B$3919,B83,'Attendance'!$D$5:$D$3919,"absent")</x:f>
        <x:v>2</x:v>
      </x:c>
      <x:c r="F83" s="5" t="n">
        <x:f>E83/D83</x:f>
        <x:v>0.13333333333333333</x:v>
      </x:c>
      <x:c r="G83" s="5" t="n">
        <x:f>IF(F83&gt;Rules!$B$7,1,0)</x:f>
        <x:v>0</x:v>
      </x:c>
    </x:row>
    <x:row r="84" ht="21" customHeight="1">
      <x:c r="A84" s="3" t="str">
        <x:v>2202011</x:v>
      </x:c>
      <x:c r="B84" s="3" t="str">
        <x:v>SEC013</x:v>
      </x:c>
      <x:c r="C84" s="3" t="str">
        <x:v>2025-1</x:v>
      </x:c>
      <x:c r="D84" s="5" t="n">
        <x:f>COUNTIFS('Attendance'!$A$5:$A$3919,A84,'Attendance'!$B$5:$B$3919,B84)</x:f>
        <x:v>15</x:v>
      </x:c>
      <x:c r="E84" s="5" t="n">
        <x:f>COUNTIFS('Attendance'!$A$5:$A$3919,A84,'Attendance'!$B$5:$B$3919,B84,'Attendance'!$D$5:$D$3919,"absent")</x:f>
        <x:v>1</x:v>
      </x:c>
      <x:c r="F84" s="5" t="n">
        <x:f>E84/D84</x:f>
        <x:v>0.06666666666666667</x:v>
      </x:c>
      <x:c r="G84" s="5" t="n">
        <x:f>IF(F84&gt;Rules!$B$7,1,0)</x:f>
        <x:v>0</x:v>
      </x:c>
    </x:row>
    <x:row r="85" ht="21" customHeight="1">
      <x:c r="A85" s="3" t="str">
        <x:v>2202012</x:v>
      </x:c>
      <x:c r="B85" s="3" t="str">
        <x:v>SEC013</x:v>
      </x:c>
      <x:c r="C85" s="3" t="str">
        <x:v>2025-1</x:v>
      </x:c>
      <x:c r="D85" s="5" t="n">
        <x:f>COUNTIFS('Attendance'!$A$5:$A$3919,A85,'Attendance'!$B$5:$B$3919,B85)</x:f>
        <x:v>15</x:v>
      </x:c>
      <x:c r="E85" s="5" t="n">
        <x:f>COUNTIFS('Attendance'!$A$5:$A$3919,A85,'Attendance'!$B$5:$B$3919,B85,'Attendance'!$D$5:$D$3919,"absent")</x:f>
        <x:v>0</x:v>
      </x:c>
      <x:c r="F85" s="5" t="n">
        <x:f>E85/D85</x:f>
        <x:v>0</x:v>
      </x:c>
      <x:c r="G85" s="5" t="n">
        <x:f>IF(F85&gt;Rules!$B$7,1,0)</x:f>
        <x:v>0</x:v>
      </x:c>
    </x:row>
    <x:row r="86" ht="21" customHeight="1">
      <x:c r="A86" s="3" t="str">
        <x:v>2202013</x:v>
      </x:c>
      <x:c r="B86" s="3" t="str">
        <x:v>SEC013</x:v>
      </x:c>
      <x:c r="C86" s="3" t="str">
        <x:v>2025-1</x:v>
      </x:c>
      <x:c r="D86" s="5" t="n">
        <x:f>COUNTIFS('Attendance'!$A$5:$A$3919,A86,'Attendance'!$B$5:$B$3919,B86)</x:f>
        <x:v>15</x:v>
      </x:c>
      <x:c r="E86" s="5" t="n">
        <x:f>COUNTIFS('Attendance'!$A$5:$A$3919,A86,'Attendance'!$B$5:$B$3919,B86,'Attendance'!$D$5:$D$3919,"absent")</x:f>
        <x:v>0</x:v>
      </x:c>
      <x:c r="F86" s="5" t="n">
        <x:f>E86/D86</x:f>
        <x:v>0</x:v>
      </x:c>
      <x:c r="G86" s="5" t="n">
        <x:f>IF(F86&gt;Rules!$B$7,1,0)</x:f>
        <x:v>0</x:v>
      </x:c>
    </x:row>
    <x:row r="87" ht="21" customHeight="1">
      <x:c r="A87" s="3" t="str">
        <x:v>2202014</x:v>
      </x:c>
      <x:c r="B87" s="3" t="str">
        <x:v>SEC013</x:v>
      </x:c>
      <x:c r="C87" s="3" t="str">
        <x:v>2025-1</x:v>
      </x:c>
      <x:c r="D87" s="5" t="n">
        <x:f>COUNTIFS('Attendance'!$A$5:$A$3919,A87,'Attendance'!$B$5:$B$3919,B87)</x:f>
        <x:v>15</x:v>
      </x:c>
      <x:c r="E87" s="5" t="n">
        <x:f>COUNTIFS('Attendance'!$A$5:$A$3919,A87,'Attendance'!$B$5:$B$3919,B87,'Attendance'!$D$5:$D$3919,"absent")</x:f>
        <x:v>0</x:v>
      </x:c>
      <x:c r="F87" s="5" t="n">
        <x:f>E87/D87</x:f>
        <x:v>0</x:v>
      </x:c>
      <x:c r="G87" s="5" t="n">
        <x:f>IF(F87&gt;Rules!$B$7,1,0)</x:f>
        <x:v>0</x:v>
      </x:c>
    </x:row>
    <x:row r="88" ht="21" customHeight="1">
      <x:c r="A88" s="3" t="str">
        <x:v>2202015</x:v>
      </x:c>
      <x:c r="B88" s="3" t="str">
        <x:v>SEC013</x:v>
      </x:c>
      <x:c r="C88" s="3" t="str">
        <x:v>2025-1</x:v>
      </x:c>
      <x:c r="D88" s="5" t="n">
        <x:f>COUNTIFS('Attendance'!$A$5:$A$3919,A88,'Attendance'!$B$5:$B$3919,B88)</x:f>
        <x:v>15</x:v>
      </x:c>
      <x:c r="E88" s="5" t="n">
        <x:f>COUNTIFS('Attendance'!$A$5:$A$3919,A88,'Attendance'!$B$5:$B$3919,B88,'Attendance'!$D$5:$D$3919,"absent")</x:f>
        <x:v>8</x:v>
      </x:c>
      <x:c r="F88" s="5" t="n">
        <x:f>E88/D88</x:f>
        <x:v>0.5333333333333333</x:v>
      </x:c>
      <x:c r="G88" s="5" t="n">
        <x:f>IF(F88&gt;Rules!$B$7,1,0)</x:f>
        <x:v>1</x:v>
      </x:c>
    </x:row>
    <x:row r="89" ht="21" customHeight="1">
      <x:c r="A89" s="3" t="str">
        <x:v>2202016</x:v>
      </x:c>
      <x:c r="B89" s="3" t="str">
        <x:v>SEC013</x:v>
      </x:c>
      <x:c r="C89" s="3" t="str">
        <x:v>2025-1</x:v>
      </x:c>
      <x:c r="D89" s="5" t="n">
        <x:f>COUNTIFS('Attendance'!$A$5:$A$3919,A89,'Attendance'!$B$5:$B$3919,B89)</x:f>
        <x:v>15</x:v>
      </x:c>
      <x:c r="E89" s="5" t="n">
        <x:f>COUNTIFS('Attendance'!$A$5:$A$3919,A89,'Attendance'!$B$5:$B$3919,B89,'Attendance'!$D$5:$D$3919,"absent")</x:f>
        <x:v>2</x:v>
      </x:c>
      <x:c r="F89" s="5" t="n">
        <x:f>E89/D89</x:f>
        <x:v>0.13333333333333333</x:v>
      </x:c>
      <x:c r="G89" s="5" t="n">
        <x:f>IF(F89&gt;Rules!$B$7,1,0)</x:f>
        <x:v>0</x:v>
      </x:c>
    </x:row>
    <x:row r="90" ht="21" customHeight="1">
      <x:c r="A90" s="3" t="str">
        <x:v>2202017</x:v>
      </x:c>
      <x:c r="B90" s="3" t="str">
        <x:v>SEC013</x:v>
      </x:c>
      <x:c r="C90" s="3" t="str">
        <x:v>2025-1</x:v>
      </x:c>
      <x:c r="D90" s="5" t="n">
        <x:f>COUNTIFS('Attendance'!$A$5:$A$3919,A90,'Attendance'!$B$5:$B$3919,B90)</x:f>
        <x:v>15</x:v>
      </x:c>
      <x:c r="E90" s="5" t="n">
        <x:f>COUNTIFS('Attendance'!$A$5:$A$3919,A90,'Attendance'!$B$5:$B$3919,B90,'Attendance'!$D$5:$D$3919,"absent")</x:f>
        <x:v>0</x:v>
      </x:c>
      <x:c r="F90" s="5" t="n">
        <x:f>E90/D90</x:f>
        <x:v>0</x:v>
      </x:c>
      <x:c r="G90" s="5" t="n">
        <x:f>IF(F90&gt;Rules!$B$7,1,0)</x:f>
        <x:v>0</x:v>
      </x:c>
    </x:row>
    <x:row r="91" ht="21" customHeight="1">
      <x:c r="A91" s="3" t="str">
        <x:v>2202018</x:v>
      </x:c>
      <x:c r="B91" s="3" t="str">
        <x:v>SEC013</x:v>
      </x:c>
      <x:c r="C91" s="3" t="str">
        <x:v>2025-1</x:v>
      </x:c>
      <x:c r="D91" s="5" t="n">
        <x:f>COUNTIFS('Attendance'!$A$5:$A$3919,A91,'Attendance'!$B$5:$B$3919,B91)</x:f>
        <x:v>15</x:v>
      </x:c>
      <x:c r="E91" s="5" t="n">
        <x:f>COUNTIFS('Attendance'!$A$5:$A$3919,A91,'Attendance'!$B$5:$B$3919,B91,'Attendance'!$D$5:$D$3919,"absent")</x:f>
        <x:v>1</x:v>
      </x:c>
      <x:c r="F91" s="5" t="n">
        <x:f>E91/D91</x:f>
        <x:v>0.06666666666666667</x:v>
      </x:c>
      <x:c r="G91" s="5" t="n">
        <x:f>IF(F91&gt;Rules!$B$7,1,0)</x:f>
        <x:v>0</x:v>
      </x:c>
    </x:row>
    <x:row r="92" ht="21" customHeight="1">
      <x:c r="A92" s="3" t="str">
        <x:v>2202019</x:v>
      </x:c>
      <x:c r="B92" s="3" t="str">
        <x:v>SEC013</x:v>
      </x:c>
      <x:c r="C92" s="3" t="str">
        <x:v>2025-1</x:v>
      </x:c>
      <x:c r="D92" s="5" t="n">
        <x:f>COUNTIFS('Attendance'!$A$5:$A$3919,A92,'Attendance'!$B$5:$B$3919,B92)</x:f>
        <x:v>15</x:v>
      </x:c>
      <x:c r="E92" s="5" t="n">
        <x:f>COUNTIFS('Attendance'!$A$5:$A$3919,A92,'Attendance'!$B$5:$B$3919,B92,'Attendance'!$D$5:$D$3919,"absent")</x:f>
        <x:v>1</x:v>
      </x:c>
      <x:c r="F92" s="5" t="n">
        <x:f>E92/D92</x:f>
        <x:v>0.06666666666666667</x:v>
      </x:c>
      <x:c r="G92" s="5" t="n">
        <x:f>IF(F92&gt;Rules!$B$7,1,0)</x:f>
        <x:v>0</x:v>
      </x:c>
    </x:row>
    <x:row r="93" ht="21" customHeight="1">
      <x:c r="A93" s="3" t="str">
        <x:v>2202020</x:v>
      </x:c>
      <x:c r="B93" s="3" t="str">
        <x:v>SEC013</x:v>
      </x:c>
      <x:c r="C93" s="3" t="str">
        <x:v>2025-1</x:v>
      </x:c>
      <x:c r="D93" s="5" t="n">
        <x:f>COUNTIFS('Attendance'!$A$5:$A$3919,A93,'Attendance'!$B$5:$B$3919,B93)</x:f>
        <x:v>15</x:v>
      </x:c>
      <x:c r="E93" s="5" t="n">
        <x:f>COUNTIFS('Attendance'!$A$5:$A$3919,A93,'Attendance'!$B$5:$B$3919,B93,'Attendance'!$D$5:$D$3919,"absent")</x:f>
        <x:v>6</x:v>
      </x:c>
      <x:c r="F93" s="5" t="n">
        <x:f>E93/D93</x:f>
        <x:v>0.4</x:v>
      </x:c>
      <x:c r="G93" s="5" t="n">
        <x:f>IF(F93&gt;Rules!$B$7,1,0)</x:f>
        <x:v>1</x:v>
      </x:c>
    </x:row>
    <x:row r="94" ht="21" customHeight="1">
      <x:c r="A94" s="3" t="str">
        <x:v>2201001</x:v>
      </x:c>
      <x:c r="B94" s="3" t="str">
        <x:v>SEC014</x:v>
      </x:c>
      <x:c r="C94" s="3" t="str">
        <x:v>2024-1</x:v>
      </x:c>
      <x:c r="D94" s="5" t="n">
        <x:f>COUNTIFS('Attendance'!$A$5:$A$3919,A94,'Attendance'!$B$5:$B$3919,B94)</x:f>
        <x:v>15</x:v>
      </x:c>
      <x:c r="E94" s="5" t="n">
        <x:f>COUNTIFS('Attendance'!$A$5:$A$3919,A94,'Attendance'!$B$5:$B$3919,B94,'Attendance'!$D$5:$D$3919,"absent")</x:f>
        <x:v>0</x:v>
      </x:c>
      <x:c r="F94" s="5" t="n">
        <x:f>E94/D94</x:f>
        <x:v>0</x:v>
      </x:c>
      <x:c r="G94" s="5" t="n">
        <x:f>IF(F94&gt;Rules!$B$7,1,0)</x:f>
        <x:v>0</x:v>
      </x:c>
    </x:row>
    <x:row r="95" ht="21" customHeight="1">
      <x:c r="A95" s="3" t="str">
        <x:v>2201002</x:v>
      </x:c>
      <x:c r="B95" s="3" t="str">
        <x:v>SEC014</x:v>
      </x:c>
      <x:c r="C95" s="3" t="str">
        <x:v>2024-1</x:v>
      </x:c>
      <x:c r="D95" s="5" t="n">
        <x:f>COUNTIFS('Attendance'!$A$5:$A$3919,A95,'Attendance'!$B$5:$B$3919,B95)</x:f>
        <x:v>15</x:v>
      </x:c>
      <x:c r="E95" s="5" t="n">
        <x:f>COUNTIFS('Attendance'!$A$5:$A$3919,A95,'Attendance'!$B$5:$B$3919,B95,'Attendance'!$D$5:$D$3919,"absent")</x:f>
        <x:v>0</x:v>
      </x:c>
      <x:c r="F95" s="5" t="n">
        <x:f>E95/D95</x:f>
        <x:v>0</x:v>
      </x:c>
      <x:c r="G95" s="5" t="n">
        <x:f>IF(F95&gt;Rules!$B$7,1,0)</x:f>
        <x:v>0</x:v>
      </x:c>
    </x:row>
    <x:row r="96" ht="21" customHeight="1">
      <x:c r="A96" s="3" t="str">
        <x:v>2201003</x:v>
      </x:c>
      <x:c r="B96" s="3" t="str">
        <x:v>SEC014</x:v>
      </x:c>
      <x:c r="C96" s="3" t="str">
        <x:v>2024-1</x:v>
      </x:c>
      <x:c r="D96" s="5" t="n">
        <x:f>COUNTIFS('Attendance'!$A$5:$A$3919,A96,'Attendance'!$B$5:$B$3919,B96)</x:f>
        <x:v>15</x:v>
      </x:c>
      <x:c r="E96" s="5" t="n">
        <x:f>COUNTIFS('Attendance'!$A$5:$A$3919,A96,'Attendance'!$B$5:$B$3919,B96,'Attendance'!$D$5:$D$3919,"absent")</x:f>
        <x:v>1</x:v>
      </x:c>
      <x:c r="F96" s="5" t="n">
        <x:f>E96/D96</x:f>
        <x:v>0.06666666666666667</x:v>
      </x:c>
      <x:c r="G96" s="5" t="n">
        <x:f>IF(F96&gt;Rules!$B$7,1,0)</x:f>
        <x:v>0</x:v>
      </x:c>
    </x:row>
    <x:row r="97" ht="21" customHeight="1">
      <x:c r="A97" s="3" t="str">
        <x:v>2201004</x:v>
      </x:c>
      <x:c r="B97" s="3" t="str">
        <x:v>SEC014</x:v>
      </x:c>
      <x:c r="C97" s="3" t="str">
        <x:v>2024-1</x:v>
      </x:c>
      <x:c r="D97" s="5" t="n">
        <x:f>COUNTIFS('Attendance'!$A$5:$A$3919,A97,'Attendance'!$B$5:$B$3919,B97)</x:f>
        <x:v>15</x:v>
      </x:c>
      <x:c r="E97" s="5" t="n">
        <x:f>COUNTIFS('Attendance'!$A$5:$A$3919,A97,'Attendance'!$B$5:$B$3919,B97,'Attendance'!$D$5:$D$3919,"absent")</x:f>
        <x:v>0</x:v>
      </x:c>
      <x:c r="F97" s="5" t="n">
        <x:f>E97/D97</x:f>
        <x:v>0</x:v>
      </x:c>
      <x:c r="G97" s="5" t="n">
        <x:f>IF(F97&gt;Rules!$B$7,1,0)</x:f>
        <x:v>0</x:v>
      </x:c>
    </x:row>
    <x:row r="98" ht="21" customHeight="1">
      <x:c r="A98" s="3" t="str">
        <x:v>2201005</x:v>
      </x:c>
      <x:c r="B98" s="3" t="str">
        <x:v>SEC014</x:v>
      </x:c>
      <x:c r="C98" s="3" t="str">
        <x:v>2024-1</x:v>
      </x:c>
      <x:c r="D98" s="5" t="n">
        <x:f>COUNTIFS('Attendance'!$A$5:$A$3919,A98,'Attendance'!$B$5:$B$3919,B98)</x:f>
        <x:v>15</x:v>
      </x:c>
      <x:c r="E98" s="5" t="n">
        <x:f>COUNTIFS('Attendance'!$A$5:$A$3919,A98,'Attendance'!$B$5:$B$3919,B98,'Attendance'!$D$5:$D$3919,"absent")</x:f>
        <x:v>4</x:v>
      </x:c>
      <x:c r="F98" s="5" t="n">
        <x:f>E98/D98</x:f>
        <x:v>0.26666666666666666</x:v>
      </x:c>
      <x:c r="G98" s="5" t="n">
        <x:f>IF(F98&gt;Rules!$B$7,1,0)</x:f>
        <x:v>1</x:v>
      </x:c>
    </x:row>
    <x:row r="99" ht="21" customHeight="1">
      <x:c r="A99" s="3" t="str">
        <x:v>2201006</x:v>
      </x:c>
      <x:c r="B99" s="3" t="str">
        <x:v>SEC014</x:v>
      </x:c>
      <x:c r="C99" s="3" t="str">
        <x:v>2024-1</x:v>
      </x:c>
      <x:c r="D99" s="5" t="n">
        <x:f>COUNTIFS('Attendance'!$A$5:$A$3919,A99,'Attendance'!$B$5:$B$3919,B99)</x:f>
        <x:v>15</x:v>
      </x:c>
      <x:c r="E99" s="5" t="n">
        <x:f>COUNTIFS('Attendance'!$A$5:$A$3919,A99,'Attendance'!$B$5:$B$3919,B99,'Attendance'!$D$5:$D$3919,"absent")</x:f>
        <x:v>0</x:v>
      </x:c>
      <x:c r="F99" s="5" t="n">
        <x:f>E99/D99</x:f>
        <x:v>0</x:v>
      </x:c>
      <x:c r="G99" s="5" t="n">
        <x:f>IF(F99&gt;Rules!$B$7,1,0)</x:f>
        <x:v>0</x:v>
      </x:c>
    </x:row>
    <x:row r="100" ht="21" customHeight="1">
      <x:c r="A100" s="3" t="str">
        <x:v>2201007</x:v>
      </x:c>
      <x:c r="B100" s="3" t="str">
        <x:v>SEC014</x:v>
      </x:c>
      <x:c r="C100" s="3" t="str">
        <x:v>2024-1</x:v>
      </x:c>
      <x:c r="D100" s="5" t="n">
        <x:f>COUNTIFS('Attendance'!$A$5:$A$3919,A100,'Attendance'!$B$5:$B$3919,B100)</x:f>
        <x:v>15</x:v>
      </x:c>
      <x:c r="E100" s="5" t="n">
        <x:f>COUNTIFS('Attendance'!$A$5:$A$3919,A100,'Attendance'!$B$5:$B$3919,B100,'Attendance'!$D$5:$D$3919,"absent")</x:f>
        <x:v>0</x:v>
      </x:c>
      <x:c r="F100" s="5" t="n">
        <x:f>E100/D100</x:f>
        <x:v>0</x:v>
      </x:c>
      <x:c r="G100" s="5" t="n">
        <x:f>IF(F100&gt;Rules!$B$7,1,0)</x:f>
        <x:v>0</x:v>
      </x:c>
    </x:row>
    <x:row r="101" ht="21" customHeight="1">
      <x:c r="A101" s="3" t="str">
        <x:v>2201008</x:v>
      </x:c>
      <x:c r="B101" s="3" t="str">
        <x:v>SEC014</x:v>
      </x:c>
      <x:c r="C101" s="3" t="str">
        <x:v>2024-1</x:v>
      </x:c>
      <x:c r="D101" s="5" t="n">
        <x:f>COUNTIFS('Attendance'!$A$5:$A$3919,A101,'Attendance'!$B$5:$B$3919,B101)</x:f>
        <x:v>15</x:v>
      </x:c>
      <x:c r="E101" s="5" t="n">
        <x:f>COUNTIFS('Attendance'!$A$5:$A$3919,A101,'Attendance'!$B$5:$B$3919,B101,'Attendance'!$D$5:$D$3919,"absent")</x:f>
        <x:v>2</x:v>
      </x:c>
      <x:c r="F101" s="5" t="n">
        <x:f>E101/D101</x:f>
        <x:v>0.13333333333333333</x:v>
      </x:c>
      <x:c r="G101" s="5" t="n">
        <x:f>IF(F101&gt;Rules!$B$7,1,0)</x:f>
        <x:v>0</x:v>
      </x:c>
    </x:row>
    <x:row r="102" ht="21" customHeight="1">
      <x:c r="A102" s="3" t="str">
        <x:v>2201009</x:v>
      </x:c>
      <x:c r="B102" s="3" t="str">
        <x:v>SEC014</x:v>
      </x:c>
      <x:c r="C102" s="3" t="str">
        <x:v>2024-1</x:v>
      </x:c>
      <x:c r="D102" s="5" t="n">
        <x:f>COUNTIFS('Attendance'!$A$5:$A$3919,A102,'Attendance'!$B$5:$B$3919,B102)</x:f>
        <x:v>15</x:v>
      </x:c>
      <x:c r="E102" s="5" t="n">
        <x:f>COUNTIFS('Attendance'!$A$5:$A$3919,A102,'Attendance'!$B$5:$B$3919,B102,'Attendance'!$D$5:$D$3919,"absent")</x:f>
        <x:v>2</x:v>
      </x:c>
      <x:c r="F102" s="5" t="n">
        <x:f>E102/D102</x:f>
        <x:v>0.13333333333333333</x:v>
      </x:c>
      <x:c r="G102" s="5" t="n">
        <x:f>IF(F102&gt;Rules!$B$7,1,0)</x:f>
        <x:v>0</x:v>
      </x:c>
    </x:row>
    <x:row r="103" ht="21" customHeight="1">
      <x:c r="A103" s="3" t="str">
        <x:v>2201010</x:v>
      </x:c>
      <x:c r="B103" s="3" t="str">
        <x:v>SEC014</x:v>
      </x:c>
      <x:c r="C103" s="3" t="str">
        <x:v>2024-1</x:v>
      </x:c>
      <x:c r="D103" s="5" t="n">
        <x:f>COUNTIFS('Attendance'!$A$5:$A$3919,A103,'Attendance'!$B$5:$B$3919,B103)</x:f>
        <x:v>15</x:v>
      </x:c>
      <x:c r="E103" s="5" t="n">
        <x:f>COUNTIFS('Attendance'!$A$5:$A$3919,A103,'Attendance'!$B$5:$B$3919,B103,'Attendance'!$D$5:$D$3919,"absent")</x:f>
        <x:v>1</x:v>
      </x:c>
      <x:c r="F103" s="5" t="n">
        <x:f>E103/D103</x:f>
        <x:v>0.06666666666666667</x:v>
      </x:c>
      <x:c r="G103" s="5" t="n">
        <x:f>IF(F103&gt;Rules!$B$7,1,0)</x:f>
        <x:v>0</x:v>
      </x:c>
    </x:row>
    <x:row r="104" ht="21" customHeight="1">
      <x:c r="A104" s="3" t="str">
        <x:v>2201011</x:v>
      </x:c>
      <x:c r="B104" s="3" t="str">
        <x:v>SEC015</x:v>
      </x:c>
      <x:c r="C104" s="3" t="str">
        <x:v>2024-1</x:v>
      </x:c>
      <x:c r="D104" s="5" t="n">
        <x:f>COUNTIFS('Attendance'!$A$5:$A$3919,A104,'Attendance'!$B$5:$B$3919,B104)</x:f>
        <x:v>15</x:v>
      </x:c>
      <x:c r="E104" s="5" t="n">
        <x:f>COUNTIFS('Attendance'!$A$5:$A$3919,A104,'Attendance'!$B$5:$B$3919,B104,'Attendance'!$D$5:$D$3919,"absent")</x:f>
        <x:v>1</x:v>
      </x:c>
      <x:c r="F104" s="5" t="n">
        <x:f>E104/D104</x:f>
        <x:v>0.06666666666666667</x:v>
      </x:c>
      <x:c r="G104" s="5" t="n">
        <x:f>IF(F104&gt;Rules!$B$7,1,0)</x:f>
        <x:v>0</x:v>
      </x:c>
    </x:row>
    <x:row r="105" ht="21" customHeight="1">
      <x:c r="A105" s="3" t="str">
        <x:v>2201012</x:v>
      </x:c>
      <x:c r="B105" s="3" t="str">
        <x:v>SEC015</x:v>
      </x:c>
      <x:c r="C105" s="3" t="str">
        <x:v>2024-1</x:v>
      </x:c>
      <x:c r="D105" s="5" t="n">
        <x:f>COUNTIFS('Attendance'!$A$5:$A$3919,A105,'Attendance'!$B$5:$B$3919,B105)</x:f>
        <x:v>15</x:v>
      </x:c>
      <x:c r="E105" s="5" t="n">
        <x:f>COUNTIFS('Attendance'!$A$5:$A$3919,A105,'Attendance'!$B$5:$B$3919,B105,'Attendance'!$D$5:$D$3919,"absent")</x:f>
        <x:v>3</x:v>
      </x:c>
      <x:c r="F105" s="5" t="n">
        <x:f>E105/D105</x:f>
        <x:v>0.2</x:v>
      </x:c>
      <x:c r="G105" s="5" t="n">
        <x:f>IF(F105&gt;Rules!$B$7,1,0)</x:f>
        <x:v>0</x:v>
      </x:c>
    </x:row>
    <x:row r="106" ht="21" customHeight="1">
      <x:c r="A106" s="3" t="str">
        <x:v>2201013</x:v>
      </x:c>
      <x:c r="B106" s="3" t="str">
        <x:v>SEC015</x:v>
      </x:c>
      <x:c r="C106" s="3" t="str">
        <x:v>2024-1</x:v>
      </x:c>
      <x:c r="D106" s="5" t="n">
        <x:f>COUNTIFS('Attendance'!$A$5:$A$3919,A106,'Attendance'!$B$5:$B$3919,B106)</x:f>
        <x:v>15</x:v>
      </x:c>
      <x:c r="E106" s="5" t="n">
        <x:f>COUNTIFS('Attendance'!$A$5:$A$3919,A106,'Attendance'!$B$5:$B$3919,B106,'Attendance'!$D$5:$D$3919,"absent")</x:f>
        <x:v>0</x:v>
      </x:c>
      <x:c r="F106" s="5" t="n">
        <x:f>E106/D106</x:f>
        <x:v>0</x:v>
      </x:c>
      <x:c r="G106" s="5" t="n">
        <x:f>IF(F106&gt;Rules!$B$7,1,0)</x:f>
        <x:v>0</x:v>
      </x:c>
    </x:row>
    <x:row r="107" ht="21" customHeight="1">
      <x:c r="A107" s="3" t="str">
        <x:v>2201014</x:v>
      </x:c>
      <x:c r="B107" s="3" t="str">
        <x:v>SEC015</x:v>
      </x:c>
      <x:c r="C107" s="3" t="str">
        <x:v>2024-1</x:v>
      </x:c>
      <x:c r="D107" s="5" t="n">
        <x:f>COUNTIFS('Attendance'!$A$5:$A$3919,A107,'Attendance'!$B$5:$B$3919,B107)</x:f>
        <x:v>15</x:v>
      </x:c>
      <x:c r="E107" s="5" t="n">
        <x:f>COUNTIFS('Attendance'!$A$5:$A$3919,A107,'Attendance'!$B$5:$B$3919,B107,'Attendance'!$D$5:$D$3919,"absent")</x:f>
        <x:v>1</x:v>
      </x:c>
      <x:c r="F107" s="5" t="n">
        <x:f>E107/D107</x:f>
        <x:v>0.06666666666666667</x:v>
      </x:c>
      <x:c r="G107" s="5" t="n">
        <x:f>IF(F107&gt;Rules!$B$7,1,0)</x:f>
        <x:v>0</x:v>
      </x:c>
    </x:row>
    <x:row r="108" ht="21" customHeight="1">
      <x:c r="A108" s="3" t="str">
        <x:v>2201015</x:v>
      </x:c>
      <x:c r="B108" s="3" t="str">
        <x:v>SEC015</x:v>
      </x:c>
      <x:c r="C108" s="3" t="str">
        <x:v>2024-1</x:v>
      </x:c>
      <x:c r="D108" s="5" t="n">
        <x:f>COUNTIFS('Attendance'!$A$5:$A$3919,A108,'Attendance'!$B$5:$B$3919,B108)</x:f>
        <x:v>15</x:v>
      </x:c>
      <x:c r="E108" s="5" t="n">
        <x:f>COUNTIFS('Attendance'!$A$5:$A$3919,A108,'Attendance'!$B$5:$B$3919,B108,'Attendance'!$D$5:$D$3919,"absent")</x:f>
        <x:v>3</x:v>
      </x:c>
      <x:c r="F108" s="5" t="n">
        <x:f>E108/D108</x:f>
        <x:v>0.2</x:v>
      </x:c>
      <x:c r="G108" s="5" t="n">
        <x:f>IF(F108&gt;Rules!$B$7,1,0)</x:f>
        <x:v>0</x:v>
      </x:c>
    </x:row>
    <x:row r="109" ht="21" customHeight="1">
      <x:c r="A109" s="3" t="str">
        <x:v>2201016</x:v>
      </x:c>
      <x:c r="B109" s="3" t="str">
        <x:v>SEC015</x:v>
      </x:c>
      <x:c r="C109" s="3" t="str">
        <x:v>2024-1</x:v>
      </x:c>
      <x:c r="D109" s="5" t="n">
        <x:f>COUNTIFS('Attendance'!$A$5:$A$3919,A109,'Attendance'!$B$5:$B$3919,B109)</x:f>
        <x:v>15</x:v>
      </x:c>
      <x:c r="E109" s="5" t="n">
        <x:f>COUNTIFS('Attendance'!$A$5:$A$3919,A109,'Attendance'!$B$5:$B$3919,B109,'Attendance'!$D$5:$D$3919,"absent")</x:f>
        <x:v>0</x:v>
      </x:c>
      <x:c r="F109" s="5" t="n">
        <x:f>E109/D109</x:f>
        <x:v>0</x:v>
      </x:c>
      <x:c r="G109" s="5" t="n">
        <x:f>IF(F109&gt;Rules!$B$7,1,0)</x:f>
        <x:v>0</x:v>
      </x:c>
    </x:row>
    <x:row r="110" ht="21" customHeight="1">
      <x:c r="A110" s="3" t="str">
        <x:v>2201017</x:v>
      </x:c>
      <x:c r="B110" s="3" t="str">
        <x:v>SEC015</x:v>
      </x:c>
      <x:c r="C110" s="3" t="str">
        <x:v>2024-1</x:v>
      </x:c>
      <x:c r="D110" s="5" t="n">
        <x:f>COUNTIFS('Attendance'!$A$5:$A$3919,A110,'Attendance'!$B$5:$B$3919,B110)</x:f>
        <x:v>15</x:v>
      </x:c>
      <x:c r="E110" s="5" t="n">
        <x:f>COUNTIFS('Attendance'!$A$5:$A$3919,A110,'Attendance'!$B$5:$B$3919,B110,'Attendance'!$D$5:$D$3919,"absent")</x:f>
        <x:v>1</x:v>
      </x:c>
      <x:c r="F110" s="5" t="n">
        <x:f>E110/D110</x:f>
        <x:v>0.06666666666666667</x:v>
      </x:c>
      <x:c r="G110" s="5" t="n">
        <x:f>IF(F110&gt;Rules!$B$7,1,0)</x:f>
        <x:v>0</x:v>
      </x:c>
    </x:row>
    <x:row r="111" ht="21" customHeight="1">
      <x:c r="A111" s="3" t="str">
        <x:v>2201018</x:v>
      </x:c>
      <x:c r="B111" s="3" t="str">
        <x:v>SEC015</x:v>
      </x:c>
      <x:c r="C111" s="3" t="str">
        <x:v>2024-1</x:v>
      </x:c>
      <x:c r="D111" s="5" t="n">
        <x:f>COUNTIFS('Attendance'!$A$5:$A$3919,A111,'Attendance'!$B$5:$B$3919,B111)</x:f>
        <x:v>15</x:v>
      </x:c>
      <x:c r="E111" s="5" t="n">
        <x:f>COUNTIFS('Attendance'!$A$5:$A$3919,A111,'Attendance'!$B$5:$B$3919,B111,'Attendance'!$D$5:$D$3919,"absent")</x:f>
        <x:v>0</x:v>
      </x:c>
      <x:c r="F111" s="5" t="n">
        <x:f>E111/D111</x:f>
        <x:v>0</x:v>
      </x:c>
      <x:c r="G111" s="5" t="n">
        <x:f>IF(F111&gt;Rules!$B$7,1,0)</x:f>
        <x:v>0</x:v>
      </x:c>
    </x:row>
    <x:row r="112" ht="21" customHeight="1">
      <x:c r="A112" s="3" t="str">
        <x:v>2201019</x:v>
      </x:c>
      <x:c r="B112" s="3" t="str">
        <x:v>SEC015</x:v>
      </x:c>
      <x:c r="C112" s="3" t="str">
        <x:v>2024-1</x:v>
      </x:c>
      <x:c r="D112" s="5" t="n">
        <x:f>COUNTIFS('Attendance'!$A$5:$A$3919,A112,'Attendance'!$B$5:$B$3919,B112)</x:f>
        <x:v>15</x:v>
      </x:c>
      <x:c r="E112" s="5" t="n">
        <x:f>COUNTIFS('Attendance'!$A$5:$A$3919,A112,'Attendance'!$B$5:$B$3919,B112,'Attendance'!$D$5:$D$3919,"absent")</x:f>
        <x:v>1</x:v>
      </x:c>
      <x:c r="F112" s="5" t="n">
        <x:f>E112/D112</x:f>
        <x:v>0.06666666666666667</x:v>
      </x:c>
      <x:c r="G112" s="5" t="n">
        <x:f>IF(F112&gt;Rules!$B$7,1,0)</x:f>
        <x:v>0</x:v>
      </x:c>
    </x:row>
    <x:row r="113" ht="21" customHeight="1">
      <x:c r="A113" s="3" t="str">
        <x:v>2201020</x:v>
      </x:c>
      <x:c r="B113" s="3" t="str">
        <x:v>SEC015</x:v>
      </x:c>
      <x:c r="C113" s="3" t="str">
        <x:v>2024-1</x:v>
      </x:c>
      <x:c r="D113" s="5" t="n">
        <x:f>COUNTIFS('Attendance'!$A$5:$A$3919,A113,'Attendance'!$B$5:$B$3919,B113)</x:f>
        <x:v>15</x:v>
      </x:c>
      <x:c r="E113" s="5" t="n">
        <x:f>COUNTIFS('Attendance'!$A$5:$A$3919,A113,'Attendance'!$B$5:$B$3919,B113,'Attendance'!$D$5:$D$3919,"absent")</x:f>
        <x:v>3</x:v>
      </x:c>
      <x:c r="F113" s="5" t="n">
        <x:f>E113/D113</x:f>
        <x:v>0.2</x:v>
      </x:c>
      <x:c r="G113" s="5" t="n">
        <x:f>IF(F113&gt;Rules!$B$7,1,0)</x:f>
        <x:v>0</x:v>
      </x:c>
    </x:row>
    <x:row r="114" ht="21" customHeight="1">
      <x:c r="A114" s="3" t="str">
        <x:v>2201005</x:v>
      </x:c>
      <x:c r="B114" s="3" t="str">
        <x:v>SEC016</x:v>
      </x:c>
      <x:c r="C114" s="3" t="str">
        <x:v>2025-1</x:v>
      </x:c>
      <x:c r="D114" s="5" t="n">
        <x:f>COUNTIFS('Attendance'!$A$5:$A$3919,A114,'Attendance'!$B$5:$B$3919,B114)</x:f>
        <x:v>15</x:v>
      </x:c>
      <x:c r="E114" s="5" t="n">
        <x:f>COUNTIFS('Attendance'!$A$5:$A$3919,A114,'Attendance'!$B$5:$B$3919,B114,'Attendance'!$D$5:$D$3919,"absent")</x:f>
        <x:v>1</x:v>
      </x:c>
      <x:c r="F114" s="5" t="n">
        <x:f>E114/D114</x:f>
        <x:v>0.06666666666666667</x:v>
      </x:c>
      <x:c r="G114" s="5" t="n">
        <x:f>IF(F114&gt;Rules!$B$7,1,0)</x:f>
        <x:v>0</x:v>
      </x:c>
    </x:row>
    <x:row r="115" ht="21" customHeight="1">
      <x:c r="A115" s="3" t="str">
        <x:v>2201001</x:v>
      </x:c>
      <x:c r="B115" s="3" t="str">
        <x:v>SEC017</x:v>
      </x:c>
      <x:c r="C115" s="3" t="str">
        <x:v>2024-2</x:v>
      </x:c>
      <x:c r="D115" s="5" t="n">
        <x:f>COUNTIFS('Attendance'!$A$5:$A$3919,A115,'Attendance'!$B$5:$B$3919,B115)</x:f>
        <x:v>15</x:v>
      </x:c>
      <x:c r="E115" s="5" t="n">
        <x:f>COUNTIFS('Attendance'!$A$5:$A$3919,A115,'Attendance'!$B$5:$B$3919,B115,'Attendance'!$D$5:$D$3919,"absent")</x:f>
        <x:v>2</x:v>
      </x:c>
      <x:c r="F115" s="5" t="n">
        <x:f>E115/D115</x:f>
        <x:v>0.13333333333333333</x:v>
      </x:c>
      <x:c r="G115" s="5" t="n">
        <x:f>IF(F115&gt;Rules!$B$7,1,0)</x:f>
        <x:v>0</x:v>
      </x:c>
    </x:row>
    <x:row r="116" ht="21" customHeight="1">
      <x:c r="A116" s="3" t="str">
        <x:v>2201002</x:v>
      </x:c>
      <x:c r="B116" s="3" t="str">
        <x:v>SEC017</x:v>
      </x:c>
      <x:c r="C116" s="3" t="str">
        <x:v>2024-2</x:v>
      </x:c>
      <x:c r="D116" s="5" t="n">
        <x:f>COUNTIFS('Attendance'!$A$5:$A$3919,A116,'Attendance'!$B$5:$B$3919,B116)</x:f>
        <x:v>15</x:v>
      </x:c>
      <x:c r="E116" s="5" t="n">
        <x:f>COUNTIFS('Attendance'!$A$5:$A$3919,A116,'Attendance'!$B$5:$B$3919,B116,'Attendance'!$D$5:$D$3919,"absent")</x:f>
        <x:v>0</x:v>
      </x:c>
      <x:c r="F116" s="5" t="n">
        <x:f>E116/D116</x:f>
        <x:v>0</x:v>
      </x:c>
      <x:c r="G116" s="5" t="n">
        <x:f>IF(F116&gt;Rules!$B$7,1,0)</x:f>
        <x:v>0</x:v>
      </x:c>
    </x:row>
    <x:row r="117" ht="21" customHeight="1">
      <x:c r="A117" s="3" t="str">
        <x:v>2201003</x:v>
      </x:c>
      <x:c r="B117" s="3" t="str">
        <x:v>SEC017</x:v>
      </x:c>
      <x:c r="C117" s="3" t="str">
        <x:v>2024-2</x:v>
      </x:c>
      <x:c r="D117" s="5" t="n">
        <x:f>COUNTIFS('Attendance'!$A$5:$A$3919,A117,'Attendance'!$B$5:$B$3919,B117)</x:f>
        <x:v>15</x:v>
      </x:c>
      <x:c r="E117" s="5" t="n">
        <x:f>COUNTIFS('Attendance'!$A$5:$A$3919,A117,'Attendance'!$B$5:$B$3919,B117,'Attendance'!$D$5:$D$3919,"absent")</x:f>
        <x:v>1</x:v>
      </x:c>
      <x:c r="F117" s="5" t="n">
        <x:f>E117/D117</x:f>
        <x:v>0.06666666666666667</x:v>
      </x:c>
      <x:c r="G117" s="5" t="n">
        <x:f>IF(F117&gt;Rules!$B$7,1,0)</x:f>
        <x:v>0</x:v>
      </x:c>
    </x:row>
    <x:row r="118" ht="21" customHeight="1">
      <x:c r="A118" s="3" t="str">
        <x:v>2201004</x:v>
      </x:c>
      <x:c r="B118" s="3" t="str">
        <x:v>SEC017</x:v>
      </x:c>
      <x:c r="C118" s="3" t="str">
        <x:v>2024-2</x:v>
      </x:c>
      <x:c r="D118" s="5" t="n">
        <x:f>COUNTIFS('Attendance'!$A$5:$A$3919,A118,'Attendance'!$B$5:$B$3919,B118)</x:f>
        <x:v>15</x:v>
      </x:c>
      <x:c r="E118" s="5" t="n">
        <x:f>COUNTIFS('Attendance'!$A$5:$A$3919,A118,'Attendance'!$B$5:$B$3919,B118,'Attendance'!$D$5:$D$3919,"absent")</x:f>
        <x:v>1</x:v>
      </x:c>
      <x:c r="F118" s="5" t="n">
        <x:f>E118/D118</x:f>
        <x:v>0.06666666666666667</x:v>
      </x:c>
      <x:c r="G118" s="5" t="n">
        <x:f>IF(F118&gt;Rules!$B$7,1,0)</x:f>
        <x:v>0</x:v>
      </x:c>
    </x:row>
    <x:row r="119" ht="21" customHeight="1">
      <x:c r="A119" s="3" t="str">
        <x:v>2201005</x:v>
      </x:c>
      <x:c r="B119" s="3" t="str">
        <x:v>SEC017</x:v>
      </x:c>
      <x:c r="C119" s="3" t="str">
        <x:v>2024-2</x:v>
      </x:c>
      <x:c r="D119" s="5" t="n">
        <x:f>COUNTIFS('Attendance'!$A$5:$A$3919,A119,'Attendance'!$B$5:$B$3919,B119)</x:f>
        <x:v>15</x:v>
      </x:c>
      <x:c r="E119" s="5" t="n">
        <x:f>COUNTIFS('Attendance'!$A$5:$A$3919,A119,'Attendance'!$B$5:$B$3919,B119,'Attendance'!$D$5:$D$3919,"absent")</x:f>
        <x:v>5</x:v>
      </x:c>
      <x:c r="F119" s="5" t="n">
        <x:f>E119/D119</x:f>
        <x:v>0.3333333333333333</x:v>
      </x:c>
      <x:c r="G119" s="5" t="n">
        <x:f>IF(F119&gt;Rules!$B$7,1,0)</x:f>
        <x:v>1</x:v>
      </x:c>
    </x:row>
    <x:row r="120" ht="21" customHeight="1">
      <x:c r="A120" s="3" t="str">
        <x:v>2201006</x:v>
      </x:c>
      <x:c r="B120" s="3" t="str">
        <x:v>SEC017</x:v>
      </x:c>
      <x:c r="C120" s="3" t="str">
        <x:v>2024-2</x:v>
      </x:c>
      <x:c r="D120" s="5" t="n">
        <x:f>COUNTIFS('Attendance'!$A$5:$A$3919,A120,'Attendance'!$B$5:$B$3919,B120)</x:f>
        <x:v>15</x:v>
      </x:c>
      <x:c r="E120" s="5" t="n">
        <x:f>COUNTIFS('Attendance'!$A$5:$A$3919,A120,'Attendance'!$B$5:$B$3919,B120,'Attendance'!$D$5:$D$3919,"absent")</x:f>
        <x:v>1</x:v>
      </x:c>
      <x:c r="F120" s="5" t="n">
        <x:f>E120/D120</x:f>
        <x:v>0.06666666666666667</x:v>
      </x:c>
      <x:c r="G120" s="5" t="n">
        <x:f>IF(F120&gt;Rules!$B$7,1,0)</x:f>
        <x:v>0</x:v>
      </x:c>
    </x:row>
    <x:row r="121" ht="21" customHeight="1">
      <x:c r="A121" s="3" t="str">
        <x:v>2201007</x:v>
      </x:c>
      <x:c r="B121" s="3" t="str">
        <x:v>SEC017</x:v>
      </x:c>
      <x:c r="C121" s="3" t="str">
        <x:v>2024-2</x:v>
      </x:c>
      <x:c r="D121" s="5" t="n">
        <x:f>COUNTIFS('Attendance'!$A$5:$A$3919,A121,'Attendance'!$B$5:$B$3919,B121)</x:f>
        <x:v>15</x:v>
      </x:c>
      <x:c r="E121" s="5" t="n">
        <x:f>COUNTIFS('Attendance'!$A$5:$A$3919,A121,'Attendance'!$B$5:$B$3919,B121,'Attendance'!$D$5:$D$3919,"absent")</x:f>
        <x:v>0</x:v>
      </x:c>
      <x:c r="F121" s="5" t="n">
        <x:f>E121/D121</x:f>
        <x:v>0</x:v>
      </x:c>
      <x:c r="G121" s="5" t="n">
        <x:f>IF(F121&gt;Rules!$B$7,1,0)</x:f>
        <x:v>0</x:v>
      </x:c>
    </x:row>
    <x:row r="122" ht="21" customHeight="1">
      <x:c r="A122" s="3" t="str">
        <x:v>2201008</x:v>
      </x:c>
      <x:c r="B122" s="3" t="str">
        <x:v>SEC017</x:v>
      </x:c>
      <x:c r="C122" s="3" t="str">
        <x:v>2024-2</x:v>
      </x:c>
      <x:c r="D122" s="5" t="n">
        <x:f>COUNTIFS('Attendance'!$A$5:$A$3919,A122,'Attendance'!$B$5:$B$3919,B122)</x:f>
        <x:v>15</x:v>
      </x:c>
      <x:c r="E122" s="5" t="n">
        <x:f>COUNTIFS('Attendance'!$A$5:$A$3919,A122,'Attendance'!$B$5:$B$3919,B122,'Attendance'!$D$5:$D$3919,"absent")</x:f>
        <x:v>0</x:v>
      </x:c>
      <x:c r="F122" s="5" t="n">
        <x:f>E122/D122</x:f>
        <x:v>0</x:v>
      </x:c>
      <x:c r="G122" s="5" t="n">
        <x:f>IF(F122&gt;Rules!$B$7,1,0)</x:f>
        <x:v>0</x:v>
      </x:c>
    </x:row>
    <x:row r="123" ht="21" customHeight="1">
      <x:c r="A123" s="3" t="str">
        <x:v>2201009</x:v>
      </x:c>
      <x:c r="B123" s="3" t="str">
        <x:v>SEC017</x:v>
      </x:c>
      <x:c r="C123" s="3" t="str">
        <x:v>2024-2</x:v>
      </x:c>
      <x:c r="D123" s="5" t="n">
        <x:f>COUNTIFS('Attendance'!$A$5:$A$3919,A123,'Attendance'!$B$5:$B$3919,B123)</x:f>
        <x:v>15</x:v>
      </x:c>
      <x:c r="E123" s="5" t="n">
        <x:f>COUNTIFS('Attendance'!$A$5:$A$3919,A123,'Attendance'!$B$5:$B$3919,B123,'Attendance'!$D$5:$D$3919,"absent")</x:f>
        <x:v>0</x:v>
      </x:c>
      <x:c r="F123" s="5" t="n">
        <x:f>E123/D123</x:f>
        <x:v>0</x:v>
      </x:c>
      <x:c r="G123" s="5" t="n">
        <x:f>IF(F123&gt;Rules!$B$7,1,0)</x:f>
        <x:v>0</x:v>
      </x:c>
    </x:row>
    <x:row r="124" ht="21" customHeight="1">
      <x:c r="A124" s="3" t="str">
        <x:v>2201010</x:v>
      </x:c>
      <x:c r="B124" s="3" t="str">
        <x:v>SEC017</x:v>
      </x:c>
      <x:c r="C124" s="3" t="str">
        <x:v>2024-2</x:v>
      </x:c>
      <x:c r="D124" s="5" t="n">
        <x:f>COUNTIFS('Attendance'!$A$5:$A$3919,A124,'Attendance'!$B$5:$B$3919,B124)</x:f>
        <x:v>15</x:v>
      </x:c>
      <x:c r="E124" s="5" t="n">
        <x:f>COUNTIFS('Attendance'!$A$5:$A$3919,A124,'Attendance'!$B$5:$B$3919,B124,'Attendance'!$D$5:$D$3919,"absent")</x:f>
        <x:v>4</x:v>
      </x:c>
      <x:c r="F124" s="5" t="n">
        <x:f>E124/D124</x:f>
        <x:v>0.26666666666666666</x:v>
      </x:c>
      <x:c r="G124" s="5" t="n">
        <x:f>IF(F124&gt;Rules!$B$7,1,0)</x:f>
        <x:v>1</x:v>
      </x:c>
    </x:row>
    <x:row r="125" ht="21" customHeight="1">
      <x:c r="A125" s="3" t="str">
        <x:v>2201011</x:v>
      </x:c>
      <x:c r="B125" s="3" t="str">
        <x:v>SEC018</x:v>
      </x:c>
      <x:c r="C125" s="3" t="str">
        <x:v>2024-2</x:v>
      </x:c>
      <x:c r="D125" s="5" t="n">
        <x:f>COUNTIFS('Attendance'!$A$5:$A$3919,A125,'Attendance'!$B$5:$B$3919,B125)</x:f>
        <x:v>15</x:v>
      </x:c>
      <x:c r="E125" s="5" t="n">
        <x:f>COUNTIFS('Attendance'!$A$5:$A$3919,A125,'Attendance'!$B$5:$B$3919,B125,'Attendance'!$D$5:$D$3919,"absent")</x:f>
        <x:v>0</x:v>
      </x:c>
      <x:c r="F125" s="5" t="n">
        <x:f>E125/D125</x:f>
        <x:v>0</x:v>
      </x:c>
      <x:c r="G125" s="5" t="n">
        <x:f>IF(F125&gt;Rules!$B$7,1,0)</x:f>
        <x:v>0</x:v>
      </x:c>
    </x:row>
    <x:row r="126" ht="21" customHeight="1">
      <x:c r="A126" s="3" t="str">
        <x:v>2201012</x:v>
      </x:c>
      <x:c r="B126" s="3" t="str">
        <x:v>SEC018</x:v>
      </x:c>
      <x:c r="C126" s="3" t="str">
        <x:v>2024-2</x:v>
      </x:c>
      <x:c r="D126" s="5" t="n">
        <x:f>COUNTIFS('Attendance'!$A$5:$A$3919,A126,'Attendance'!$B$5:$B$3919,B126)</x:f>
        <x:v>15</x:v>
      </x:c>
      <x:c r="E126" s="5" t="n">
        <x:f>COUNTIFS('Attendance'!$A$5:$A$3919,A126,'Attendance'!$B$5:$B$3919,B126,'Attendance'!$D$5:$D$3919,"absent")</x:f>
        <x:v>1</x:v>
      </x:c>
      <x:c r="F126" s="5" t="n">
        <x:f>E126/D126</x:f>
        <x:v>0.06666666666666667</x:v>
      </x:c>
      <x:c r="G126" s="5" t="n">
        <x:f>IF(F126&gt;Rules!$B$7,1,0)</x:f>
        <x:v>0</x:v>
      </x:c>
    </x:row>
    <x:row r="127" ht="21" customHeight="1">
      <x:c r="A127" s="3" t="str">
        <x:v>2201013</x:v>
      </x:c>
      <x:c r="B127" s="3" t="str">
        <x:v>SEC018</x:v>
      </x:c>
      <x:c r="C127" s="3" t="str">
        <x:v>2024-2</x:v>
      </x:c>
      <x:c r="D127" s="5" t="n">
        <x:f>COUNTIFS('Attendance'!$A$5:$A$3919,A127,'Attendance'!$B$5:$B$3919,B127)</x:f>
        <x:v>15</x:v>
      </x:c>
      <x:c r="E127" s="5" t="n">
        <x:f>COUNTIFS('Attendance'!$A$5:$A$3919,A127,'Attendance'!$B$5:$B$3919,B127,'Attendance'!$D$5:$D$3919,"absent")</x:f>
        <x:v>0</x:v>
      </x:c>
      <x:c r="F127" s="5" t="n">
        <x:f>E127/D127</x:f>
        <x:v>0</x:v>
      </x:c>
      <x:c r="G127" s="5" t="n">
        <x:f>IF(F127&gt;Rules!$B$7,1,0)</x:f>
        <x:v>0</x:v>
      </x:c>
    </x:row>
    <x:row r="128" ht="21" customHeight="1">
      <x:c r="A128" s="3" t="str">
        <x:v>2201014</x:v>
      </x:c>
      <x:c r="B128" s="3" t="str">
        <x:v>SEC018</x:v>
      </x:c>
      <x:c r="C128" s="3" t="str">
        <x:v>2024-2</x:v>
      </x:c>
      <x:c r="D128" s="5" t="n">
        <x:f>COUNTIFS('Attendance'!$A$5:$A$3919,A128,'Attendance'!$B$5:$B$3919,B128)</x:f>
        <x:v>15</x:v>
      </x:c>
      <x:c r="E128" s="5" t="n">
        <x:f>COUNTIFS('Attendance'!$A$5:$A$3919,A128,'Attendance'!$B$5:$B$3919,B128,'Attendance'!$D$5:$D$3919,"absent")</x:f>
        <x:v>1</x:v>
      </x:c>
      <x:c r="F128" s="5" t="n">
        <x:f>E128/D128</x:f>
        <x:v>0.06666666666666667</x:v>
      </x:c>
      <x:c r="G128" s="5" t="n">
        <x:f>IF(F128&gt;Rules!$B$7,1,0)</x:f>
        <x:v>0</x:v>
      </x:c>
    </x:row>
    <x:row r="129" ht="21" customHeight="1">
      <x:c r="A129" s="3" t="str">
        <x:v>2201015</x:v>
      </x:c>
      <x:c r="B129" s="3" t="str">
        <x:v>SEC018</x:v>
      </x:c>
      <x:c r="C129" s="3" t="str">
        <x:v>2024-2</x:v>
      </x:c>
      <x:c r="D129" s="5" t="n">
        <x:f>COUNTIFS('Attendance'!$A$5:$A$3919,A129,'Attendance'!$B$5:$B$3919,B129)</x:f>
        <x:v>15</x:v>
      </x:c>
      <x:c r="E129" s="5" t="n">
        <x:f>COUNTIFS('Attendance'!$A$5:$A$3919,A129,'Attendance'!$B$5:$B$3919,B129,'Attendance'!$D$5:$D$3919,"absent")</x:f>
        <x:v>3</x:v>
      </x:c>
      <x:c r="F129" s="5" t="n">
        <x:f>E129/D129</x:f>
        <x:v>0.2</x:v>
      </x:c>
      <x:c r="G129" s="5" t="n">
        <x:f>IF(F129&gt;Rules!$B$7,1,0)</x:f>
        <x:v>0</x:v>
      </x:c>
    </x:row>
    <x:row r="130" ht="21" customHeight="1">
      <x:c r="A130" s="3" t="str">
        <x:v>2201016</x:v>
      </x:c>
      <x:c r="B130" s="3" t="str">
        <x:v>SEC018</x:v>
      </x:c>
      <x:c r="C130" s="3" t="str">
        <x:v>2024-2</x:v>
      </x:c>
      <x:c r="D130" s="5" t="n">
        <x:f>COUNTIFS('Attendance'!$A$5:$A$3919,A130,'Attendance'!$B$5:$B$3919,B130)</x:f>
        <x:v>15</x:v>
      </x:c>
      <x:c r="E130" s="5" t="n">
        <x:f>COUNTIFS('Attendance'!$A$5:$A$3919,A130,'Attendance'!$B$5:$B$3919,B130,'Attendance'!$D$5:$D$3919,"absent")</x:f>
        <x:v>1</x:v>
      </x:c>
      <x:c r="F130" s="5" t="n">
        <x:f>E130/D130</x:f>
        <x:v>0.06666666666666667</x:v>
      </x:c>
      <x:c r="G130" s="5" t="n">
        <x:f>IF(F130&gt;Rules!$B$7,1,0)</x:f>
        <x:v>0</x:v>
      </x:c>
    </x:row>
    <x:row r="131" ht="21" customHeight="1">
      <x:c r="A131" s="3" t="str">
        <x:v>2201017</x:v>
      </x:c>
      <x:c r="B131" s="3" t="str">
        <x:v>SEC018</x:v>
      </x:c>
      <x:c r="C131" s="3" t="str">
        <x:v>2024-2</x:v>
      </x:c>
      <x:c r="D131" s="5" t="n">
        <x:f>COUNTIFS('Attendance'!$A$5:$A$3919,A131,'Attendance'!$B$5:$B$3919,B131)</x:f>
        <x:v>15</x:v>
      </x:c>
      <x:c r="E131" s="5" t="n">
        <x:f>COUNTIFS('Attendance'!$A$5:$A$3919,A131,'Attendance'!$B$5:$B$3919,B131,'Attendance'!$D$5:$D$3919,"absent")</x:f>
        <x:v>2</x:v>
      </x:c>
      <x:c r="F131" s="5" t="n">
        <x:f>E131/D131</x:f>
        <x:v>0.13333333333333333</x:v>
      </x:c>
      <x:c r="G131" s="5" t="n">
        <x:f>IF(F131&gt;Rules!$B$7,1,0)</x:f>
        <x:v>0</x:v>
      </x:c>
    </x:row>
    <x:row r="132" ht="21" customHeight="1">
      <x:c r="A132" s="3" t="str">
        <x:v>2201018</x:v>
      </x:c>
      <x:c r="B132" s="3" t="str">
        <x:v>SEC018</x:v>
      </x:c>
      <x:c r="C132" s="3" t="str">
        <x:v>2024-2</x:v>
      </x:c>
      <x:c r="D132" s="5" t="n">
        <x:f>COUNTIFS('Attendance'!$A$5:$A$3919,A132,'Attendance'!$B$5:$B$3919,B132)</x:f>
        <x:v>15</x:v>
      </x:c>
      <x:c r="E132" s="5" t="n">
        <x:f>COUNTIFS('Attendance'!$A$5:$A$3919,A132,'Attendance'!$B$5:$B$3919,B132,'Attendance'!$D$5:$D$3919,"absent")</x:f>
        <x:v>2</x:v>
      </x:c>
      <x:c r="F132" s="5" t="n">
        <x:f>E132/D132</x:f>
        <x:v>0.13333333333333333</x:v>
      </x:c>
      <x:c r="G132" s="5" t="n">
        <x:f>IF(F132&gt;Rules!$B$7,1,0)</x:f>
        <x:v>0</x:v>
      </x:c>
    </x:row>
    <x:row r="133" ht="21" customHeight="1">
      <x:c r="A133" s="3" t="str">
        <x:v>2201019</x:v>
      </x:c>
      <x:c r="B133" s="3" t="str">
        <x:v>SEC018</x:v>
      </x:c>
      <x:c r="C133" s="3" t="str">
        <x:v>2024-2</x:v>
      </x:c>
      <x:c r="D133" s="5" t="n">
        <x:f>COUNTIFS('Attendance'!$A$5:$A$3919,A133,'Attendance'!$B$5:$B$3919,B133)</x:f>
        <x:v>15</x:v>
      </x:c>
      <x:c r="E133" s="5" t="n">
        <x:f>COUNTIFS('Attendance'!$A$5:$A$3919,A133,'Attendance'!$B$5:$B$3919,B133,'Attendance'!$D$5:$D$3919,"absent")</x:f>
        <x:v>1</x:v>
      </x:c>
      <x:c r="F133" s="5" t="n">
        <x:f>E133/D133</x:f>
        <x:v>0.06666666666666667</x:v>
      </x:c>
      <x:c r="G133" s="5" t="n">
        <x:f>IF(F133&gt;Rules!$B$7,1,0)</x:f>
        <x:v>0</x:v>
      </x:c>
    </x:row>
    <x:row r="134" ht="21" customHeight="1">
      <x:c r="A134" s="3" t="str">
        <x:v>2201020</x:v>
      </x:c>
      <x:c r="B134" s="3" t="str">
        <x:v>SEC018</x:v>
      </x:c>
      <x:c r="C134" s="3" t="str">
        <x:v>2024-2</x:v>
      </x:c>
      <x:c r="D134" s="5" t="n">
        <x:f>COUNTIFS('Attendance'!$A$5:$A$3919,A134,'Attendance'!$B$5:$B$3919,B134)</x:f>
        <x:v>15</x:v>
      </x:c>
      <x:c r="E134" s="5" t="n">
        <x:f>COUNTIFS('Attendance'!$A$5:$A$3919,A134,'Attendance'!$B$5:$B$3919,B134,'Attendance'!$D$5:$D$3919,"absent")</x:f>
        <x:v>3</x:v>
      </x:c>
      <x:c r="F134" s="5" t="n">
        <x:f>E134/D134</x:f>
        <x:v>0.2</x:v>
      </x:c>
      <x:c r="G134" s="5" t="n">
        <x:f>IF(F134&gt;Rules!$B$7,1,0)</x:f>
        <x:v>0</x:v>
      </x:c>
    </x:row>
    <x:row r="135" ht="21" customHeight="1">
      <x:c r="A135" s="3" t="str">
        <x:v>2201010</x:v>
      </x:c>
      <x:c r="B135" s="3" t="str">
        <x:v>SEC019</x:v>
      </x:c>
      <x:c r="C135" s="3" t="str">
        <x:v>2025-1</x:v>
      </x:c>
      <x:c r="D135" s="5" t="n">
        <x:f>COUNTIFS('Attendance'!$A$5:$A$3919,A135,'Attendance'!$B$5:$B$3919,B135)</x:f>
        <x:v>15</x:v>
      </x:c>
      <x:c r="E135" s="5" t="n">
        <x:f>COUNTIFS('Attendance'!$A$5:$A$3919,A135,'Attendance'!$B$5:$B$3919,B135,'Attendance'!$D$5:$D$3919,"absent")</x:f>
        <x:v>6</x:v>
      </x:c>
      <x:c r="F135" s="5" t="n">
        <x:f>E135/D135</x:f>
        <x:v>0.4</x:v>
      </x:c>
      <x:c r="G135" s="5" t="n">
        <x:f>IF(F135&gt;Rules!$B$7,1,0)</x:f>
        <x:v>1</x:v>
      </x:c>
    </x:row>
    <x:row r="136" ht="21" customHeight="1">
      <x:c r="A136" s="3" t="str">
        <x:v>2201015</x:v>
      </x:c>
      <x:c r="B136" s="3" t="str">
        <x:v>SEC020</x:v>
      </x:c>
      <x:c r="C136" s="3" t="str">
        <x:v>2025-1</x:v>
      </x:c>
      <x:c r="D136" s="5" t="n">
        <x:f>COUNTIFS('Attendance'!$A$5:$A$3919,A136,'Attendance'!$B$5:$B$3919,B136)</x:f>
        <x:v>15</x:v>
      </x:c>
      <x:c r="E136" s="5" t="n">
        <x:f>COUNTIFS('Attendance'!$A$5:$A$3919,A136,'Attendance'!$B$5:$B$3919,B136,'Attendance'!$D$5:$D$3919,"absent")</x:f>
        <x:v>5</x:v>
      </x:c>
      <x:c r="F136" s="5" t="n">
        <x:f>E136/D136</x:f>
        <x:v>0.3333333333333333</x:v>
      </x:c>
      <x:c r="G136" s="5" t="n">
        <x:f>IF(F136&gt;Rules!$B$7,1,0)</x:f>
        <x:v>1</x:v>
      </x:c>
    </x:row>
    <x:row r="137" ht="21" customHeight="1">
      <x:c r="A137" s="3" t="str">
        <x:v>2201001</x:v>
      </x:c>
      <x:c r="B137" s="3" t="str">
        <x:v>SEC021</x:v>
      </x:c>
      <x:c r="C137" s="3" t="str">
        <x:v>2024-2</x:v>
      </x:c>
      <x:c r="D137" s="5" t="n">
        <x:f>COUNTIFS('Attendance'!$A$5:$A$3919,A137,'Attendance'!$B$5:$B$3919,B137)</x:f>
        <x:v>15</x:v>
      </x:c>
      <x:c r="E137" s="5" t="n">
        <x:f>COUNTIFS('Attendance'!$A$5:$A$3919,A137,'Attendance'!$B$5:$B$3919,B137,'Attendance'!$D$5:$D$3919,"absent")</x:f>
        <x:v>1</x:v>
      </x:c>
      <x:c r="F137" s="5" t="n">
        <x:f>E137/D137</x:f>
        <x:v>0.06666666666666667</x:v>
      </x:c>
      <x:c r="G137" s="5" t="n">
        <x:f>IF(F137&gt;Rules!$B$7,1,0)</x:f>
        <x:v>0</x:v>
      </x:c>
    </x:row>
    <x:row r="138" ht="21" customHeight="1">
      <x:c r="A138" s="3" t="str">
        <x:v>2201002</x:v>
      </x:c>
      <x:c r="B138" s="3" t="str">
        <x:v>SEC021</x:v>
      </x:c>
      <x:c r="C138" s="3" t="str">
        <x:v>2024-2</x:v>
      </x:c>
      <x:c r="D138" s="5" t="n">
        <x:f>COUNTIFS('Attendance'!$A$5:$A$3919,A138,'Attendance'!$B$5:$B$3919,B138)</x:f>
        <x:v>15</x:v>
      </x:c>
      <x:c r="E138" s="5" t="n">
        <x:f>COUNTIFS('Attendance'!$A$5:$A$3919,A138,'Attendance'!$B$5:$B$3919,B138,'Attendance'!$D$5:$D$3919,"absent")</x:f>
        <x:v>1</x:v>
      </x:c>
      <x:c r="F138" s="5" t="n">
        <x:f>E138/D138</x:f>
        <x:v>0.06666666666666667</x:v>
      </x:c>
      <x:c r="G138" s="5" t="n">
        <x:f>IF(F138&gt;Rules!$B$7,1,0)</x:f>
        <x:v>0</x:v>
      </x:c>
    </x:row>
    <x:row r="139" ht="21" customHeight="1">
      <x:c r="A139" s="3" t="str">
        <x:v>2201003</x:v>
      </x:c>
      <x:c r="B139" s="3" t="str">
        <x:v>SEC021</x:v>
      </x:c>
      <x:c r="C139" s="3" t="str">
        <x:v>2024-2</x:v>
      </x:c>
      <x:c r="D139" s="5" t="n">
        <x:f>COUNTIFS('Attendance'!$A$5:$A$3919,A139,'Attendance'!$B$5:$B$3919,B139)</x:f>
        <x:v>15</x:v>
      </x:c>
      <x:c r="E139" s="5" t="n">
        <x:f>COUNTIFS('Attendance'!$A$5:$A$3919,A139,'Attendance'!$B$5:$B$3919,B139,'Attendance'!$D$5:$D$3919,"absent")</x:f>
        <x:v>2</x:v>
      </x:c>
      <x:c r="F139" s="5" t="n">
        <x:f>E139/D139</x:f>
        <x:v>0.13333333333333333</x:v>
      </x:c>
      <x:c r="G139" s="5" t="n">
        <x:f>IF(F139&gt;Rules!$B$7,1,0)</x:f>
        <x:v>0</x:v>
      </x:c>
    </x:row>
    <x:row r="140" ht="21" customHeight="1">
      <x:c r="A140" s="3" t="str">
        <x:v>2201004</x:v>
      </x:c>
      <x:c r="B140" s="3" t="str">
        <x:v>SEC021</x:v>
      </x:c>
      <x:c r="C140" s="3" t="str">
        <x:v>2024-2</x:v>
      </x:c>
      <x:c r="D140" s="5" t="n">
        <x:f>COUNTIFS('Attendance'!$A$5:$A$3919,A140,'Attendance'!$B$5:$B$3919,B140)</x:f>
        <x:v>15</x:v>
      </x:c>
      <x:c r="E140" s="5" t="n">
        <x:f>COUNTIFS('Attendance'!$A$5:$A$3919,A140,'Attendance'!$B$5:$B$3919,B140,'Attendance'!$D$5:$D$3919,"absent")</x:f>
        <x:v>0</x:v>
      </x:c>
      <x:c r="F140" s="5" t="n">
        <x:f>E140/D140</x:f>
        <x:v>0</x:v>
      </x:c>
      <x:c r="G140" s="5" t="n">
        <x:f>IF(F140&gt;Rules!$B$7,1,0)</x:f>
        <x:v>0</x:v>
      </x:c>
    </x:row>
    <x:row r="141" ht="21" customHeight="1">
      <x:c r="A141" s="3" t="str">
        <x:v>2201005</x:v>
      </x:c>
      <x:c r="B141" s="3" t="str">
        <x:v>SEC021</x:v>
      </x:c>
      <x:c r="C141" s="3" t="str">
        <x:v>2024-2</x:v>
      </x:c>
      <x:c r="D141" s="5" t="n">
        <x:f>COUNTIFS('Attendance'!$A$5:$A$3919,A141,'Attendance'!$B$5:$B$3919,B141)</x:f>
        <x:v>15</x:v>
      </x:c>
      <x:c r="E141" s="5" t="n">
        <x:f>COUNTIFS('Attendance'!$A$5:$A$3919,A141,'Attendance'!$B$5:$B$3919,B141,'Attendance'!$D$5:$D$3919,"absent")</x:f>
        <x:v>3</x:v>
      </x:c>
      <x:c r="F141" s="5" t="n">
        <x:f>E141/D141</x:f>
        <x:v>0.2</x:v>
      </x:c>
      <x:c r="G141" s="5" t="n">
        <x:f>IF(F141&gt;Rules!$B$7,1,0)</x:f>
        <x:v>0</x:v>
      </x:c>
    </x:row>
    <x:row r="142" ht="21" customHeight="1">
      <x:c r="A142" s="3" t="str">
        <x:v>2201006</x:v>
      </x:c>
      <x:c r="B142" s="3" t="str">
        <x:v>SEC021</x:v>
      </x:c>
      <x:c r="C142" s="3" t="str">
        <x:v>2024-2</x:v>
      </x:c>
      <x:c r="D142" s="5" t="n">
        <x:f>COUNTIFS('Attendance'!$A$5:$A$3919,A142,'Attendance'!$B$5:$B$3919,B142)</x:f>
        <x:v>15</x:v>
      </x:c>
      <x:c r="E142" s="5" t="n">
        <x:f>COUNTIFS('Attendance'!$A$5:$A$3919,A142,'Attendance'!$B$5:$B$3919,B142,'Attendance'!$D$5:$D$3919,"absent")</x:f>
        <x:v>2</x:v>
      </x:c>
      <x:c r="F142" s="5" t="n">
        <x:f>E142/D142</x:f>
        <x:v>0.13333333333333333</x:v>
      </x:c>
      <x:c r="G142" s="5" t="n">
        <x:f>IF(F142&gt;Rules!$B$7,1,0)</x:f>
        <x:v>0</x:v>
      </x:c>
    </x:row>
    <x:row r="143" ht="21" customHeight="1">
      <x:c r="A143" s="3" t="str">
        <x:v>2201007</x:v>
      </x:c>
      <x:c r="B143" s="3" t="str">
        <x:v>SEC021</x:v>
      </x:c>
      <x:c r="C143" s="3" t="str">
        <x:v>2024-2</x:v>
      </x:c>
      <x:c r="D143" s="5" t="n">
        <x:f>COUNTIFS('Attendance'!$A$5:$A$3919,A143,'Attendance'!$B$5:$B$3919,B143)</x:f>
        <x:v>15</x:v>
      </x:c>
      <x:c r="E143" s="5" t="n">
        <x:f>COUNTIFS('Attendance'!$A$5:$A$3919,A143,'Attendance'!$B$5:$B$3919,B143,'Attendance'!$D$5:$D$3919,"absent")</x:f>
        <x:v>1</x:v>
      </x:c>
      <x:c r="F143" s="5" t="n">
        <x:f>E143/D143</x:f>
        <x:v>0.06666666666666667</x:v>
      </x:c>
      <x:c r="G143" s="5" t="n">
        <x:f>IF(F143&gt;Rules!$B$7,1,0)</x:f>
        <x:v>0</x:v>
      </x:c>
    </x:row>
    <x:row r="144" ht="21" customHeight="1">
      <x:c r="A144" s="3" t="str">
        <x:v>2201008</x:v>
      </x:c>
      <x:c r="B144" s="3" t="str">
        <x:v>SEC021</x:v>
      </x:c>
      <x:c r="C144" s="3" t="str">
        <x:v>2024-2</x:v>
      </x:c>
      <x:c r="D144" s="5" t="n">
        <x:f>COUNTIFS('Attendance'!$A$5:$A$3919,A144,'Attendance'!$B$5:$B$3919,B144)</x:f>
        <x:v>15</x:v>
      </x:c>
      <x:c r="E144" s="5" t="n">
        <x:f>COUNTIFS('Attendance'!$A$5:$A$3919,A144,'Attendance'!$B$5:$B$3919,B144,'Attendance'!$D$5:$D$3919,"absent")</x:f>
        <x:v>2</x:v>
      </x:c>
      <x:c r="F144" s="5" t="n">
        <x:f>E144/D144</x:f>
        <x:v>0.13333333333333333</x:v>
      </x:c>
      <x:c r="G144" s="5" t="n">
        <x:f>IF(F144&gt;Rules!$B$7,1,0)</x:f>
        <x:v>0</x:v>
      </x:c>
    </x:row>
    <x:row r="145" ht="21" customHeight="1">
      <x:c r="A145" s="3" t="str">
        <x:v>2201009</x:v>
      </x:c>
      <x:c r="B145" s="3" t="str">
        <x:v>SEC021</x:v>
      </x:c>
      <x:c r="C145" s="3" t="str">
        <x:v>2024-2</x:v>
      </x:c>
      <x:c r="D145" s="5" t="n">
        <x:f>COUNTIFS('Attendance'!$A$5:$A$3919,A145,'Attendance'!$B$5:$B$3919,B145)</x:f>
        <x:v>15</x:v>
      </x:c>
      <x:c r="E145" s="5" t="n">
        <x:f>COUNTIFS('Attendance'!$A$5:$A$3919,A145,'Attendance'!$B$5:$B$3919,B145,'Attendance'!$D$5:$D$3919,"absent")</x:f>
        <x:v>2</x:v>
      </x:c>
      <x:c r="F145" s="5" t="n">
        <x:f>E145/D145</x:f>
        <x:v>0.13333333333333333</x:v>
      </x:c>
      <x:c r="G145" s="5" t="n">
        <x:f>IF(F145&gt;Rules!$B$7,1,0)</x:f>
        <x:v>0</x:v>
      </x:c>
    </x:row>
    <x:row r="146" ht="21" customHeight="1">
      <x:c r="A146" s="3" t="str">
        <x:v>2201010</x:v>
      </x:c>
      <x:c r="B146" s="3" t="str">
        <x:v>SEC021</x:v>
      </x:c>
      <x:c r="C146" s="3" t="str">
        <x:v>2024-2</x:v>
      </x:c>
      <x:c r="D146" s="5" t="n">
        <x:f>COUNTIFS('Attendance'!$A$5:$A$3919,A146,'Attendance'!$B$5:$B$3919,B146)</x:f>
        <x:v>15</x:v>
      </x:c>
      <x:c r="E146" s="5" t="n">
        <x:f>COUNTIFS('Attendance'!$A$5:$A$3919,A146,'Attendance'!$B$5:$B$3919,B146,'Attendance'!$D$5:$D$3919,"absent")</x:f>
        <x:v>6</x:v>
      </x:c>
      <x:c r="F146" s="5" t="n">
        <x:f>E146/D146</x:f>
        <x:v>0.4</x:v>
      </x:c>
      <x:c r="G146" s="5" t="n">
        <x:f>IF(F146&gt;Rules!$B$7,1,0)</x:f>
        <x:v>1</x:v>
      </x:c>
    </x:row>
    <x:row r="147" ht="21" customHeight="1">
      <x:c r="A147" s="3" t="str">
        <x:v>2201011</x:v>
      </x:c>
      <x:c r="B147" s="3" t="str">
        <x:v>SEC022</x:v>
      </x:c>
      <x:c r="C147" s="3" t="str">
        <x:v>2024-2</x:v>
      </x:c>
      <x:c r="D147" s="5" t="n">
        <x:f>COUNTIFS('Attendance'!$A$5:$A$3919,A147,'Attendance'!$B$5:$B$3919,B147)</x:f>
        <x:v>15</x:v>
      </x:c>
      <x:c r="E147" s="5" t="n">
        <x:f>COUNTIFS('Attendance'!$A$5:$A$3919,A147,'Attendance'!$B$5:$B$3919,B147,'Attendance'!$D$5:$D$3919,"absent")</x:f>
        <x:v>0</x:v>
      </x:c>
      <x:c r="F147" s="5" t="n">
        <x:f>E147/D147</x:f>
        <x:v>0</x:v>
      </x:c>
      <x:c r="G147" s="5" t="n">
        <x:f>IF(F147&gt;Rules!$B$7,1,0)</x:f>
        <x:v>0</x:v>
      </x:c>
    </x:row>
    <x:row r="148" ht="21" customHeight="1">
      <x:c r="A148" s="3" t="str">
        <x:v>2201012</x:v>
      </x:c>
      <x:c r="B148" s="3" t="str">
        <x:v>SEC022</x:v>
      </x:c>
      <x:c r="C148" s="3" t="str">
        <x:v>2024-2</x:v>
      </x:c>
      <x:c r="D148" s="5" t="n">
        <x:f>COUNTIFS('Attendance'!$A$5:$A$3919,A148,'Attendance'!$B$5:$B$3919,B148)</x:f>
        <x:v>15</x:v>
      </x:c>
      <x:c r="E148" s="5" t="n">
        <x:f>COUNTIFS('Attendance'!$A$5:$A$3919,A148,'Attendance'!$B$5:$B$3919,B148,'Attendance'!$D$5:$D$3919,"absent")</x:f>
        <x:v>1</x:v>
      </x:c>
      <x:c r="F148" s="5" t="n">
        <x:f>E148/D148</x:f>
        <x:v>0.06666666666666667</x:v>
      </x:c>
      <x:c r="G148" s="5" t="n">
        <x:f>IF(F148&gt;Rules!$B$7,1,0)</x:f>
        <x:v>0</x:v>
      </x:c>
    </x:row>
    <x:row r="149" ht="21" customHeight="1">
      <x:c r="A149" s="3" t="str">
        <x:v>2201013</x:v>
      </x:c>
      <x:c r="B149" s="3" t="str">
        <x:v>SEC022</x:v>
      </x:c>
      <x:c r="C149" s="3" t="str">
        <x:v>2024-2</x:v>
      </x:c>
      <x:c r="D149" s="5" t="n">
        <x:f>COUNTIFS('Attendance'!$A$5:$A$3919,A149,'Attendance'!$B$5:$B$3919,B149)</x:f>
        <x:v>15</x:v>
      </x:c>
      <x:c r="E149" s="5" t="n">
        <x:f>COUNTIFS('Attendance'!$A$5:$A$3919,A149,'Attendance'!$B$5:$B$3919,B149,'Attendance'!$D$5:$D$3919,"absent")</x:f>
        <x:v>1</x:v>
      </x:c>
      <x:c r="F149" s="5" t="n">
        <x:f>E149/D149</x:f>
        <x:v>0.06666666666666667</x:v>
      </x:c>
      <x:c r="G149" s="5" t="n">
        <x:f>IF(F149&gt;Rules!$B$7,1,0)</x:f>
        <x:v>0</x:v>
      </x:c>
    </x:row>
    <x:row r="150" ht="21" customHeight="1">
      <x:c r="A150" s="3" t="str">
        <x:v>2201014</x:v>
      </x:c>
      <x:c r="B150" s="3" t="str">
        <x:v>SEC022</x:v>
      </x:c>
      <x:c r="C150" s="3" t="str">
        <x:v>2024-2</x:v>
      </x:c>
      <x:c r="D150" s="5" t="n">
        <x:f>COUNTIFS('Attendance'!$A$5:$A$3919,A150,'Attendance'!$B$5:$B$3919,B150)</x:f>
        <x:v>15</x:v>
      </x:c>
      <x:c r="E150" s="5" t="n">
        <x:f>COUNTIFS('Attendance'!$A$5:$A$3919,A150,'Attendance'!$B$5:$B$3919,B150,'Attendance'!$D$5:$D$3919,"absent")</x:f>
        <x:v>0</x:v>
      </x:c>
      <x:c r="F150" s="5" t="n">
        <x:f>E150/D150</x:f>
        <x:v>0</x:v>
      </x:c>
      <x:c r="G150" s="5" t="n">
        <x:f>IF(F150&gt;Rules!$B$7,1,0)</x:f>
        <x:v>0</x:v>
      </x:c>
    </x:row>
    <x:row r="151" ht="21" customHeight="1">
      <x:c r="A151" s="3" t="str">
        <x:v>2201015</x:v>
      </x:c>
      <x:c r="B151" s="3" t="str">
        <x:v>SEC022</x:v>
      </x:c>
      <x:c r="C151" s="3" t="str">
        <x:v>2024-2</x:v>
      </x:c>
      <x:c r="D151" s="5" t="n">
        <x:f>COUNTIFS('Attendance'!$A$5:$A$3919,A151,'Attendance'!$B$5:$B$3919,B151)</x:f>
        <x:v>15</x:v>
      </x:c>
      <x:c r="E151" s="5" t="n">
        <x:f>COUNTIFS('Attendance'!$A$5:$A$3919,A151,'Attendance'!$B$5:$B$3919,B151,'Attendance'!$D$5:$D$3919,"absent")</x:f>
        <x:v>4</x:v>
      </x:c>
      <x:c r="F151" s="5" t="n">
        <x:f>E151/D151</x:f>
        <x:v>0.26666666666666666</x:v>
      </x:c>
      <x:c r="G151" s="5" t="n">
        <x:f>IF(F151&gt;Rules!$B$7,1,0)</x:f>
        <x:v>1</x:v>
      </x:c>
    </x:row>
    <x:row r="152" ht="21" customHeight="1">
      <x:c r="A152" s="3" t="str">
        <x:v>2201016</x:v>
      </x:c>
      <x:c r="B152" s="3" t="str">
        <x:v>SEC022</x:v>
      </x:c>
      <x:c r="C152" s="3" t="str">
        <x:v>2024-2</x:v>
      </x:c>
      <x:c r="D152" s="5" t="n">
        <x:f>COUNTIFS('Attendance'!$A$5:$A$3919,A152,'Attendance'!$B$5:$B$3919,B152)</x:f>
        <x:v>15</x:v>
      </x:c>
      <x:c r="E152" s="5" t="n">
        <x:f>COUNTIFS('Attendance'!$A$5:$A$3919,A152,'Attendance'!$B$5:$B$3919,B152,'Attendance'!$D$5:$D$3919,"absent")</x:f>
        <x:v>1</x:v>
      </x:c>
      <x:c r="F152" s="5" t="n">
        <x:f>E152/D152</x:f>
        <x:v>0.06666666666666667</x:v>
      </x:c>
      <x:c r="G152" s="5" t="n">
        <x:f>IF(F152&gt;Rules!$B$7,1,0)</x:f>
        <x:v>0</x:v>
      </x:c>
    </x:row>
    <x:row r="153" ht="21" customHeight="1">
      <x:c r="A153" s="3" t="str">
        <x:v>2201017</x:v>
      </x:c>
      <x:c r="B153" s="3" t="str">
        <x:v>SEC022</x:v>
      </x:c>
      <x:c r="C153" s="3" t="str">
        <x:v>2024-2</x:v>
      </x:c>
      <x:c r="D153" s="5" t="n">
        <x:f>COUNTIFS('Attendance'!$A$5:$A$3919,A153,'Attendance'!$B$5:$B$3919,B153)</x:f>
        <x:v>15</x:v>
      </x:c>
      <x:c r="E153" s="5" t="n">
        <x:f>COUNTIFS('Attendance'!$A$5:$A$3919,A153,'Attendance'!$B$5:$B$3919,B153,'Attendance'!$D$5:$D$3919,"absent")</x:f>
        <x:v>0</x:v>
      </x:c>
      <x:c r="F153" s="5" t="n">
        <x:f>E153/D153</x:f>
        <x:v>0</x:v>
      </x:c>
      <x:c r="G153" s="5" t="n">
        <x:f>IF(F153&gt;Rules!$B$7,1,0)</x:f>
        <x:v>0</x:v>
      </x:c>
    </x:row>
    <x:row r="154" ht="21" customHeight="1">
      <x:c r="A154" s="3" t="str">
        <x:v>2201018</x:v>
      </x:c>
      <x:c r="B154" s="3" t="str">
        <x:v>SEC022</x:v>
      </x:c>
      <x:c r="C154" s="3" t="str">
        <x:v>2024-2</x:v>
      </x:c>
      <x:c r="D154" s="5" t="n">
        <x:f>COUNTIFS('Attendance'!$A$5:$A$3919,A154,'Attendance'!$B$5:$B$3919,B154)</x:f>
        <x:v>15</x:v>
      </x:c>
      <x:c r="E154" s="5" t="n">
        <x:f>COUNTIFS('Attendance'!$A$5:$A$3919,A154,'Attendance'!$B$5:$B$3919,B154,'Attendance'!$D$5:$D$3919,"absent")</x:f>
        <x:v>1</x:v>
      </x:c>
      <x:c r="F154" s="5" t="n">
        <x:f>E154/D154</x:f>
        <x:v>0.06666666666666667</x:v>
      </x:c>
      <x:c r="G154" s="5" t="n">
        <x:f>IF(F154&gt;Rules!$B$7,1,0)</x:f>
        <x:v>0</x:v>
      </x:c>
    </x:row>
    <x:row r="155" ht="21" customHeight="1">
      <x:c r="A155" s="3" t="str">
        <x:v>2201019</x:v>
      </x:c>
      <x:c r="B155" s="3" t="str">
        <x:v>SEC022</x:v>
      </x:c>
      <x:c r="C155" s="3" t="str">
        <x:v>2024-2</x:v>
      </x:c>
      <x:c r="D155" s="5" t="n">
        <x:f>COUNTIFS('Attendance'!$A$5:$A$3919,A155,'Attendance'!$B$5:$B$3919,B155)</x:f>
        <x:v>15</x:v>
      </x:c>
      <x:c r="E155" s="5" t="n">
        <x:f>COUNTIFS('Attendance'!$A$5:$A$3919,A155,'Attendance'!$B$5:$B$3919,B155,'Attendance'!$D$5:$D$3919,"absent")</x:f>
        <x:v>0</x:v>
      </x:c>
      <x:c r="F155" s="5" t="n">
        <x:f>E155/D155</x:f>
        <x:v>0</x:v>
      </x:c>
      <x:c r="G155" s="5" t="n">
        <x:f>IF(F155&gt;Rules!$B$7,1,0)</x:f>
        <x:v>0</x:v>
      </x:c>
    </x:row>
    <x:row r="156" ht="21" customHeight="1">
      <x:c r="A156" s="3" t="str">
        <x:v>2201020</x:v>
      </x:c>
      <x:c r="B156" s="3" t="str">
        <x:v>SEC022</x:v>
      </x:c>
      <x:c r="C156" s="3" t="str">
        <x:v>2024-2</x:v>
      </x:c>
      <x:c r="D156" s="5" t="n">
        <x:f>COUNTIFS('Attendance'!$A$5:$A$3919,A156,'Attendance'!$B$5:$B$3919,B156)</x:f>
        <x:v>15</x:v>
      </x:c>
      <x:c r="E156" s="5" t="n">
        <x:f>COUNTIFS('Attendance'!$A$5:$A$3919,A156,'Attendance'!$B$5:$B$3919,B156,'Attendance'!$D$5:$D$3919,"absent")</x:f>
        <x:v>2</x:v>
      </x:c>
      <x:c r="F156" s="5" t="n">
        <x:f>E156/D156</x:f>
        <x:v>0.13333333333333333</x:v>
      </x:c>
      <x:c r="G156" s="5" t="n">
        <x:f>IF(F156&gt;Rules!$B$7,1,0)</x:f>
        <x:v>0</x:v>
      </x:c>
    </x:row>
    <x:row r="157" ht="21" customHeight="1">
      <x:c r="A157" s="3" t="str">
        <x:v>2201010</x:v>
      </x:c>
      <x:c r="B157" s="3" t="str">
        <x:v>SEC023</x:v>
      </x:c>
      <x:c r="C157" s="3" t="str">
        <x:v>2025-1</x:v>
      </x:c>
      <x:c r="D157" s="5" t="n">
        <x:f>COUNTIFS('Attendance'!$A$5:$A$3919,A157,'Attendance'!$B$5:$B$3919,B157)</x:f>
        <x:v>15</x:v>
      </x:c>
      <x:c r="E157" s="5" t="n">
        <x:f>COUNTIFS('Attendance'!$A$5:$A$3919,A157,'Attendance'!$B$5:$B$3919,B157,'Attendance'!$D$5:$D$3919,"absent")</x:f>
        <x:v>2</x:v>
      </x:c>
      <x:c r="F157" s="5" t="n">
        <x:f>E157/D157</x:f>
        <x:v>0.13333333333333333</x:v>
      </x:c>
      <x:c r="G157" s="5" t="n">
        <x:f>IF(F157&gt;Rules!$B$7,1,0)</x:f>
        <x:v>0</x:v>
      </x:c>
    </x:row>
    <x:row r="158" ht="21" customHeight="1">
      <x:c r="A158" s="3" t="str">
        <x:v>2201020</x:v>
      </x:c>
      <x:c r="B158" s="3" t="str">
        <x:v>SEC024</x:v>
      </x:c>
      <x:c r="C158" s="3" t="str">
        <x:v>2025-1</x:v>
      </x:c>
      <x:c r="D158" s="5" t="n">
        <x:f>COUNTIFS('Attendance'!$A$5:$A$3919,A158,'Attendance'!$B$5:$B$3919,B158)</x:f>
        <x:v>15</x:v>
      </x:c>
      <x:c r="E158" s="5" t="n">
        <x:f>COUNTIFS('Attendance'!$A$5:$A$3919,A158,'Attendance'!$B$5:$B$3919,B158,'Attendance'!$D$5:$D$3919,"absent")</x:f>
        <x:v>8</x:v>
      </x:c>
      <x:c r="F158" s="5" t="n">
        <x:f>E158/D158</x:f>
        <x:v>0.5333333333333333</x:v>
      </x:c>
      <x:c r="G158" s="5" t="n">
        <x:f>IF(F158&gt;Rules!$B$7,1,0)</x:f>
        <x:v>1</x:v>
      </x:c>
    </x:row>
    <x:row r="159" ht="21" customHeight="1">
      <x:c r="A159" s="3" t="str">
        <x:v>2201001</x:v>
      </x:c>
      <x:c r="B159" s="3" t="str">
        <x:v>SEC025</x:v>
      </x:c>
      <x:c r="C159" s="3" t="str">
        <x:v>2025-1</x:v>
      </x:c>
      <x:c r="D159" s="5" t="n">
        <x:f>COUNTIFS('Attendance'!$A$5:$A$3919,A159,'Attendance'!$B$5:$B$3919,B159)</x:f>
        <x:v>15</x:v>
      </x:c>
      <x:c r="E159" s="5" t="n">
        <x:f>COUNTIFS('Attendance'!$A$5:$A$3919,A159,'Attendance'!$B$5:$B$3919,B159,'Attendance'!$D$5:$D$3919,"absent")</x:f>
        <x:v>2</x:v>
      </x:c>
      <x:c r="F159" s="5" t="n">
        <x:f>E159/D159</x:f>
        <x:v>0.13333333333333333</x:v>
      </x:c>
      <x:c r="G159" s="5" t="n">
        <x:f>IF(F159&gt;Rules!$B$7,1,0)</x:f>
        <x:v>0</x:v>
      </x:c>
    </x:row>
    <x:row r="160" ht="21" customHeight="1">
      <x:c r="A160" s="3" t="str">
        <x:v>2201002</x:v>
      </x:c>
      <x:c r="B160" s="3" t="str">
        <x:v>SEC025</x:v>
      </x:c>
      <x:c r="C160" s="3" t="str">
        <x:v>2025-1</x:v>
      </x:c>
      <x:c r="D160" s="5" t="n">
        <x:f>COUNTIFS('Attendance'!$A$5:$A$3919,A160,'Attendance'!$B$5:$B$3919,B160)</x:f>
        <x:v>15</x:v>
      </x:c>
      <x:c r="E160" s="5" t="n">
        <x:f>COUNTIFS('Attendance'!$A$5:$A$3919,A160,'Attendance'!$B$5:$B$3919,B160,'Attendance'!$D$5:$D$3919,"absent")</x:f>
        <x:v>0</x:v>
      </x:c>
      <x:c r="F160" s="5" t="n">
        <x:f>E160/D160</x:f>
        <x:v>0</x:v>
      </x:c>
      <x:c r="G160" s="5" t="n">
        <x:f>IF(F160&gt;Rules!$B$7,1,0)</x:f>
        <x:v>0</x:v>
      </x:c>
    </x:row>
    <x:row r="161" ht="21" customHeight="1">
      <x:c r="A161" s="3" t="str">
        <x:v>2201003</x:v>
      </x:c>
      <x:c r="B161" s="3" t="str">
        <x:v>SEC025</x:v>
      </x:c>
      <x:c r="C161" s="3" t="str">
        <x:v>2025-1</x:v>
      </x:c>
      <x:c r="D161" s="5" t="n">
        <x:f>COUNTIFS('Attendance'!$A$5:$A$3919,A161,'Attendance'!$B$5:$B$3919,B161)</x:f>
        <x:v>15</x:v>
      </x:c>
      <x:c r="E161" s="5" t="n">
        <x:f>COUNTIFS('Attendance'!$A$5:$A$3919,A161,'Attendance'!$B$5:$B$3919,B161,'Attendance'!$D$5:$D$3919,"absent")</x:f>
        <x:v>0</x:v>
      </x:c>
      <x:c r="F161" s="5" t="n">
        <x:f>E161/D161</x:f>
        <x:v>0</x:v>
      </x:c>
      <x:c r="G161" s="5" t="n">
        <x:f>IF(F161&gt;Rules!$B$7,1,0)</x:f>
        <x:v>0</x:v>
      </x:c>
    </x:row>
    <x:row r="162" ht="21" customHeight="1">
      <x:c r="A162" s="3" t="str">
        <x:v>2201004</x:v>
      </x:c>
      <x:c r="B162" s="3" t="str">
        <x:v>SEC025</x:v>
      </x:c>
      <x:c r="C162" s="3" t="str">
        <x:v>2025-1</x:v>
      </x:c>
      <x:c r="D162" s="5" t="n">
        <x:f>COUNTIFS('Attendance'!$A$5:$A$3919,A162,'Attendance'!$B$5:$B$3919,B162)</x:f>
        <x:v>15</x:v>
      </x:c>
      <x:c r="E162" s="5" t="n">
        <x:f>COUNTIFS('Attendance'!$A$5:$A$3919,A162,'Attendance'!$B$5:$B$3919,B162,'Attendance'!$D$5:$D$3919,"absent")</x:f>
        <x:v>2</x:v>
      </x:c>
      <x:c r="F162" s="5" t="n">
        <x:f>E162/D162</x:f>
        <x:v>0.13333333333333333</x:v>
      </x:c>
      <x:c r="G162" s="5" t="n">
        <x:f>IF(F162&gt;Rules!$B$7,1,0)</x:f>
        <x:v>0</x:v>
      </x:c>
    </x:row>
    <x:row r="163" ht="21" customHeight="1">
      <x:c r="A163" s="3" t="str">
        <x:v>2201005</x:v>
      </x:c>
      <x:c r="B163" s="3" t="str">
        <x:v>SEC025</x:v>
      </x:c>
      <x:c r="C163" s="3" t="str">
        <x:v>2025-1</x:v>
      </x:c>
      <x:c r="D163" s="5" t="n">
        <x:f>COUNTIFS('Attendance'!$A$5:$A$3919,A163,'Attendance'!$B$5:$B$3919,B163)</x:f>
        <x:v>15</x:v>
      </x:c>
      <x:c r="E163" s="5" t="n">
        <x:f>COUNTIFS('Attendance'!$A$5:$A$3919,A163,'Attendance'!$B$5:$B$3919,B163,'Attendance'!$D$5:$D$3919,"absent")</x:f>
        <x:v>4</x:v>
      </x:c>
      <x:c r="F163" s="5" t="n">
        <x:f>E163/D163</x:f>
        <x:v>0.26666666666666666</x:v>
      </x:c>
      <x:c r="G163" s="5" t="n">
        <x:f>IF(F163&gt;Rules!$B$7,1,0)</x:f>
        <x:v>1</x:v>
      </x:c>
    </x:row>
    <x:row r="164" ht="21" customHeight="1">
      <x:c r="A164" s="3" t="str">
        <x:v>2201006</x:v>
      </x:c>
      <x:c r="B164" s="3" t="str">
        <x:v>SEC025</x:v>
      </x:c>
      <x:c r="C164" s="3" t="str">
        <x:v>2025-1</x:v>
      </x:c>
      <x:c r="D164" s="5" t="n">
        <x:f>COUNTIFS('Attendance'!$A$5:$A$3919,A164,'Attendance'!$B$5:$B$3919,B164)</x:f>
        <x:v>15</x:v>
      </x:c>
      <x:c r="E164" s="5" t="n">
        <x:f>COUNTIFS('Attendance'!$A$5:$A$3919,A164,'Attendance'!$B$5:$B$3919,B164,'Attendance'!$D$5:$D$3919,"absent")</x:f>
        <x:v>0</x:v>
      </x:c>
      <x:c r="F164" s="5" t="n">
        <x:f>E164/D164</x:f>
        <x:v>0</x:v>
      </x:c>
      <x:c r="G164" s="5" t="n">
        <x:f>IF(F164&gt;Rules!$B$7,1,0)</x:f>
        <x:v>0</x:v>
      </x:c>
    </x:row>
    <x:row r="165" ht="21" customHeight="1">
      <x:c r="A165" s="3" t="str">
        <x:v>2201007</x:v>
      </x:c>
      <x:c r="B165" s="3" t="str">
        <x:v>SEC025</x:v>
      </x:c>
      <x:c r="C165" s="3" t="str">
        <x:v>2025-1</x:v>
      </x:c>
      <x:c r="D165" s="5" t="n">
        <x:f>COUNTIFS('Attendance'!$A$5:$A$3919,A165,'Attendance'!$B$5:$B$3919,B165)</x:f>
        <x:v>15</x:v>
      </x:c>
      <x:c r="E165" s="5" t="n">
        <x:f>COUNTIFS('Attendance'!$A$5:$A$3919,A165,'Attendance'!$B$5:$B$3919,B165,'Attendance'!$D$5:$D$3919,"absent")</x:f>
        <x:v>0</x:v>
      </x:c>
      <x:c r="F165" s="5" t="n">
        <x:f>E165/D165</x:f>
        <x:v>0</x:v>
      </x:c>
      <x:c r="G165" s="5" t="n">
        <x:f>IF(F165&gt;Rules!$B$7,1,0)</x:f>
        <x:v>0</x:v>
      </x:c>
    </x:row>
    <x:row r="166" ht="21" customHeight="1">
      <x:c r="A166" s="3" t="str">
        <x:v>2201008</x:v>
      </x:c>
      <x:c r="B166" s="3" t="str">
        <x:v>SEC025</x:v>
      </x:c>
      <x:c r="C166" s="3" t="str">
        <x:v>2025-1</x:v>
      </x:c>
      <x:c r="D166" s="5" t="n">
        <x:f>COUNTIFS('Attendance'!$A$5:$A$3919,A166,'Attendance'!$B$5:$B$3919,B166)</x:f>
        <x:v>15</x:v>
      </x:c>
      <x:c r="E166" s="5" t="n">
        <x:f>COUNTIFS('Attendance'!$A$5:$A$3919,A166,'Attendance'!$B$5:$B$3919,B166,'Attendance'!$D$5:$D$3919,"absent")</x:f>
        <x:v>0</x:v>
      </x:c>
      <x:c r="F166" s="5" t="n">
        <x:f>E166/D166</x:f>
        <x:v>0</x:v>
      </x:c>
      <x:c r="G166" s="5" t="n">
        <x:f>IF(F166&gt;Rules!$B$7,1,0)</x:f>
        <x:v>0</x:v>
      </x:c>
    </x:row>
    <x:row r="167" ht="21" customHeight="1">
      <x:c r="A167" s="3" t="str">
        <x:v>2201009</x:v>
      </x:c>
      <x:c r="B167" s="3" t="str">
        <x:v>SEC025</x:v>
      </x:c>
      <x:c r="C167" s="3" t="str">
        <x:v>2025-1</x:v>
      </x:c>
      <x:c r="D167" s="5" t="n">
        <x:f>COUNTIFS('Attendance'!$A$5:$A$3919,A167,'Attendance'!$B$5:$B$3919,B167)</x:f>
        <x:v>15</x:v>
      </x:c>
      <x:c r="E167" s="5" t="n">
        <x:f>COUNTIFS('Attendance'!$A$5:$A$3919,A167,'Attendance'!$B$5:$B$3919,B167,'Attendance'!$D$5:$D$3919,"absent")</x:f>
        <x:v>0</x:v>
      </x:c>
      <x:c r="F167" s="5" t="n">
        <x:f>E167/D167</x:f>
        <x:v>0</x:v>
      </x:c>
      <x:c r="G167" s="5" t="n">
        <x:f>IF(F167&gt;Rules!$B$7,1,0)</x:f>
        <x:v>0</x:v>
      </x:c>
    </x:row>
    <x:row r="168" ht="21" customHeight="1">
      <x:c r="A168" s="3" t="str">
        <x:v>2201010</x:v>
      </x:c>
      <x:c r="B168" s="3" t="str">
        <x:v>SEC025</x:v>
      </x:c>
      <x:c r="C168" s="3" t="str">
        <x:v>2025-1</x:v>
      </x:c>
      <x:c r="D168" s="5" t="n">
        <x:f>COUNTIFS('Attendance'!$A$5:$A$3919,A168,'Attendance'!$B$5:$B$3919,B168)</x:f>
        <x:v>15</x:v>
      </x:c>
      <x:c r="E168" s="5" t="n">
        <x:f>COUNTIFS('Attendance'!$A$5:$A$3919,A168,'Attendance'!$B$5:$B$3919,B168,'Attendance'!$D$5:$D$3919,"absent")</x:f>
        <x:v>1</x:v>
      </x:c>
      <x:c r="F168" s="5" t="n">
        <x:f>E168/D168</x:f>
        <x:v>0.06666666666666667</x:v>
      </x:c>
      <x:c r="G168" s="5" t="n">
        <x:f>IF(F168&gt;Rules!$B$7,1,0)</x:f>
        <x:v>0</x:v>
      </x:c>
    </x:row>
    <x:row r="169" ht="21" customHeight="1">
      <x:c r="A169" s="3" t="str">
        <x:v>2201011</x:v>
      </x:c>
      <x:c r="B169" s="3" t="str">
        <x:v>SEC026</x:v>
      </x:c>
      <x:c r="C169" s="3" t="str">
        <x:v>2025-1</x:v>
      </x:c>
      <x:c r="D169" s="5" t="n">
        <x:f>COUNTIFS('Attendance'!$A$5:$A$3919,A169,'Attendance'!$B$5:$B$3919,B169)</x:f>
        <x:v>15</x:v>
      </x:c>
      <x:c r="E169" s="5" t="n">
        <x:f>COUNTIFS('Attendance'!$A$5:$A$3919,A169,'Attendance'!$B$5:$B$3919,B169,'Attendance'!$D$5:$D$3919,"absent")</x:f>
        <x:v>1</x:v>
      </x:c>
      <x:c r="F169" s="5" t="n">
        <x:f>E169/D169</x:f>
        <x:v>0.06666666666666667</x:v>
      </x:c>
      <x:c r="G169" s="5" t="n">
        <x:f>IF(F169&gt;Rules!$B$7,1,0)</x:f>
        <x:v>0</x:v>
      </x:c>
    </x:row>
    <x:row r="170" ht="21" customHeight="1">
      <x:c r="A170" s="3" t="str">
        <x:v>2201012</x:v>
      </x:c>
      <x:c r="B170" s="3" t="str">
        <x:v>SEC026</x:v>
      </x:c>
      <x:c r="C170" s="3" t="str">
        <x:v>2025-1</x:v>
      </x:c>
      <x:c r="D170" s="5" t="n">
        <x:f>COUNTIFS('Attendance'!$A$5:$A$3919,A170,'Attendance'!$B$5:$B$3919,B170)</x:f>
        <x:v>15</x:v>
      </x:c>
      <x:c r="E170" s="5" t="n">
        <x:f>COUNTIFS('Attendance'!$A$5:$A$3919,A170,'Attendance'!$B$5:$B$3919,B170,'Attendance'!$D$5:$D$3919,"absent")</x:f>
        <x:v>0</x:v>
      </x:c>
      <x:c r="F170" s="5" t="n">
        <x:f>E170/D170</x:f>
        <x:v>0</x:v>
      </x:c>
      <x:c r="G170" s="5" t="n">
        <x:f>IF(F170&gt;Rules!$B$7,1,0)</x:f>
        <x:v>0</x:v>
      </x:c>
    </x:row>
    <x:row r="171" ht="21" customHeight="1">
      <x:c r="A171" s="3" t="str">
        <x:v>2201013</x:v>
      </x:c>
      <x:c r="B171" s="3" t="str">
        <x:v>SEC026</x:v>
      </x:c>
      <x:c r="C171" s="3" t="str">
        <x:v>2025-1</x:v>
      </x:c>
      <x:c r="D171" s="5" t="n">
        <x:f>COUNTIFS('Attendance'!$A$5:$A$3919,A171,'Attendance'!$B$5:$B$3919,B171)</x:f>
        <x:v>15</x:v>
      </x:c>
      <x:c r="E171" s="5" t="n">
        <x:f>COUNTIFS('Attendance'!$A$5:$A$3919,A171,'Attendance'!$B$5:$B$3919,B171,'Attendance'!$D$5:$D$3919,"absent")</x:f>
        <x:v>2</x:v>
      </x:c>
      <x:c r="F171" s="5" t="n">
        <x:f>E171/D171</x:f>
        <x:v>0.13333333333333333</x:v>
      </x:c>
      <x:c r="G171" s="5" t="n">
        <x:f>IF(F171&gt;Rules!$B$7,1,0)</x:f>
        <x:v>0</x:v>
      </x:c>
    </x:row>
    <x:row r="172" ht="21" customHeight="1">
      <x:c r="A172" s="3" t="str">
        <x:v>2201014</x:v>
      </x:c>
      <x:c r="B172" s="3" t="str">
        <x:v>SEC026</x:v>
      </x:c>
      <x:c r="C172" s="3" t="str">
        <x:v>2025-1</x:v>
      </x:c>
      <x:c r="D172" s="5" t="n">
        <x:f>COUNTIFS('Attendance'!$A$5:$A$3919,A172,'Attendance'!$B$5:$B$3919,B172)</x:f>
        <x:v>15</x:v>
      </x:c>
      <x:c r="E172" s="5" t="n">
        <x:f>COUNTIFS('Attendance'!$A$5:$A$3919,A172,'Attendance'!$B$5:$B$3919,B172,'Attendance'!$D$5:$D$3919,"absent")</x:f>
        <x:v>0</x:v>
      </x:c>
      <x:c r="F172" s="5" t="n">
        <x:f>E172/D172</x:f>
        <x:v>0</x:v>
      </x:c>
      <x:c r="G172" s="5" t="n">
        <x:f>IF(F172&gt;Rules!$B$7,1,0)</x:f>
        <x:v>0</x:v>
      </x:c>
    </x:row>
    <x:row r="173" ht="21" customHeight="1">
      <x:c r="A173" s="3" t="str">
        <x:v>2201015</x:v>
      </x:c>
      <x:c r="B173" s="3" t="str">
        <x:v>SEC026</x:v>
      </x:c>
      <x:c r="C173" s="3" t="str">
        <x:v>2025-1</x:v>
      </x:c>
      <x:c r="D173" s="5" t="n">
        <x:f>COUNTIFS('Attendance'!$A$5:$A$3919,A173,'Attendance'!$B$5:$B$3919,B173)</x:f>
        <x:v>15</x:v>
      </x:c>
      <x:c r="E173" s="5" t="n">
        <x:f>COUNTIFS('Attendance'!$A$5:$A$3919,A173,'Attendance'!$B$5:$B$3919,B173,'Attendance'!$D$5:$D$3919,"absent")</x:f>
        <x:v>3</x:v>
      </x:c>
      <x:c r="F173" s="5" t="n">
        <x:f>E173/D173</x:f>
        <x:v>0.2</x:v>
      </x:c>
      <x:c r="G173" s="5" t="n">
        <x:f>IF(F173&gt;Rules!$B$7,1,0)</x:f>
        <x:v>0</x:v>
      </x:c>
    </x:row>
    <x:row r="174" ht="21" customHeight="1">
      <x:c r="A174" s="3" t="str">
        <x:v>2201016</x:v>
      </x:c>
      <x:c r="B174" s="3" t="str">
        <x:v>SEC026</x:v>
      </x:c>
      <x:c r="C174" s="3" t="str">
        <x:v>2025-1</x:v>
      </x:c>
      <x:c r="D174" s="5" t="n">
        <x:f>COUNTIFS('Attendance'!$A$5:$A$3919,A174,'Attendance'!$B$5:$B$3919,B174)</x:f>
        <x:v>15</x:v>
      </x:c>
      <x:c r="E174" s="5" t="n">
        <x:f>COUNTIFS('Attendance'!$A$5:$A$3919,A174,'Attendance'!$B$5:$B$3919,B174,'Attendance'!$D$5:$D$3919,"absent")</x:f>
        <x:v>0</x:v>
      </x:c>
      <x:c r="F174" s="5" t="n">
        <x:f>E174/D174</x:f>
        <x:v>0</x:v>
      </x:c>
      <x:c r="G174" s="5" t="n">
        <x:f>IF(F174&gt;Rules!$B$7,1,0)</x:f>
        <x:v>0</x:v>
      </x:c>
    </x:row>
    <x:row r="175" ht="21" customHeight="1">
      <x:c r="A175" s="3" t="str">
        <x:v>2201017</x:v>
      </x:c>
      <x:c r="B175" s="3" t="str">
        <x:v>SEC026</x:v>
      </x:c>
      <x:c r="C175" s="3" t="str">
        <x:v>2025-1</x:v>
      </x:c>
      <x:c r="D175" s="5" t="n">
        <x:f>COUNTIFS('Attendance'!$A$5:$A$3919,A175,'Attendance'!$B$5:$B$3919,B175)</x:f>
        <x:v>15</x:v>
      </x:c>
      <x:c r="E175" s="5" t="n">
        <x:f>COUNTIFS('Attendance'!$A$5:$A$3919,A175,'Attendance'!$B$5:$B$3919,B175,'Attendance'!$D$5:$D$3919,"absent")</x:f>
        <x:v>3</x:v>
      </x:c>
      <x:c r="F175" s="5" t="n">
        <x:f>E175/D175</x:f>
        <x:v>0.2</x:v>
      </x:c>
      <x:c r="G175" s="5" t="n">
        <x:f>IF(F175&gt;Rules!$B$7,1,0)</x:f>
        <x:v>0</x:v>
      </x:c>
    </x:row>
    <x:row r="176" ht="21" customHeight="1">
      <x:c r="A176" s="3" t="str">
        <x:v>2201018</x:v>
      </x:c>
      <x:c r="B176" s="3" t="str">
        <x:v>SEC026</x:v>
      </x:c>
      <x:c r="C176" s="3" t="str">
        <x:v>2025-1</x:v>
      </x:c>
      <x:c r="D176" s="5" t="n">
        <x:f>COUNTIFS('Attendance'!$A$5:$A$3919,A176,'Attendance'!$B$5:$B$3919,B176)</x:f>
        <x:v>15</x:v>
      </x:c>
      <x:c r="E176" s="5" t="n">
        <x:f>COUNTIFS('Attendance'!$A$5:$A$3919,A176,'Attendance'!$B$5:$B$3919,B176,'Attendance'!$D$5:$D$3919,"absent")</x:f>
        <x:v>0</x:v>
      </x:c>
      <x:c r="F176" s="5" t="n">
        <x:f>E176/D176</x:f>
        <x:v>0</x:v>
      </x:c>
      <x:c r="G176" s="5" t="n">
        <x:f>IF(F176&gt;Rules!$B$7,1,0)</x:f>
        <x:v>0</x:v>
      </x:c>
    </x:row>
    <x:row r="177" ht="21" customHeight="1">
      <x:c r="A177" s="3" t="str">
        <x:v>2201019</x:v>
      </x:c>
      <x:c r="B177" s="3" t="str">
        <x:v>SEC026</x:v>
      </x:c>
      <x:c r="C177" s="3" t="str">
        <x:v>2025-1</x:v>
      </x:c>
      <x:c r="D177" s="5" t="n">
        <x:f>COUNTIFS('Attendance'!$A$5:$A$3919,A177,'Attendance'!$B$5:$B$3919,B177)</x:f>
        <x:v>15</x:v>
      </x:c>
      <x:c r="E177" s="5" t="n">
        <x:f>COUNTIFS('Attendance'!$A$5:$A$3919,A177,'Attendance'!$B$5:$B$3919,B177,'Attendance'!$D$5:$D$3919,"absent")</x:f>
        <x:v>1</x:v>
      </x:c>
      <x:c r="F177" s="5" t="n">
        <x:f>E177/D177</x:f>
        <x:v>0.06666666666666667</x:v>
      </x:c>
      <x:c r="G177" s="5" t="n">
        <x:f>IF(F177&gt;Rules!$B$7,1,0)</x:f>
        <x:v>0</x:v>
      </x:c>
    </x:row>
    <x:row r="178" ht="21" customHeight="1">
      <x:c r="A178" s="3" t="str">
        <x:v>2201020</x:v>
      </x:c>
      <x:c r="B178" s="3" t="str">
        <x:v>SEC026</x:v>
      </x:c>
      <x:c r="C178" s="3" t="str">
        <x:v>2025-1</x:v>
      </x:c>
      <x:c r="D178" s="5" t="n">
        <x:f>COUNTIFS('Attendance'!$A$5:$A$3919,A178,'Attendance'!$B$5:$B$3919,B178)</x:f>
        <x:v>15</x:v>
      </x:c>
      <x:c r="E178" s="5" t="n">
        <x:f>COUNTIFS('Attendance'!$A$5:$A$3919,A178,'Attendance'!$B$5:$B$3919,B178,'Attendance'!$D$5:$D$3919,"absent")</x:f>
        <x:v>2</x:v>
      </x:c>
      <x:c r="F178" s="5" t="n">
        <x:f>E178/D178</x:f>
        <x:v>0.13333333333333333</x:v>
      </x:c>
      <x:c r="G178" s="5" t="n">
        <x:f>IF(F178&gt;Rules!$B$7,1,0)</x:f>
        <x:v>0</x:v>
      </x:c>
    </x:row>
    <x:row r="179" ht="21" customHeight="1">
      <x:c r="A179" s="3" t="str">
        <x:v>2202001</x:v>
      </x:c>
      <x:c r="B179" s="3" t="str">
        <x:v>SEC027</x:v>
      </x:c>
      <x:c r="C179" s="3" t="str">
        <x:v>2024-1</x:v>
      </x:c>
      <x:c r="D179" s="5" t="n">
        <x:f>COUNTIFS('Attendance'!$A$5:$A$3919,A179,'Attendance'!$B$5:$B$3919,B179)</x:f>
        <x:v>15</x:v>
      </x:c>
      <x:c r="E179" s="5" t="n">
        <x:f>COUNTIFS('Attendance'!$A$5:$A$3919,A179,'Attendance'!$B$5:$B$3919,B179,'Attendance'!$D$5:$D$3919,"absent")</x:f>
        <x:v>2</x:v>
      </x:c>
      <x:c r="F179" s="5" t="n">
        <x:f>E179/D179</x:f>
        <x:v>0.13333333333333333</x:v>
      </x:c>
      <x:c r="G179" s="5" t="n">
        <x:f>IF(F179&gt;Rules!$B$7,1,0)</x:f>
        <x:v>0</x:v>
      </x:c>
    </x:row>
    <x:row r="180" ht="21" customHeight="1">
      <x:c r="A180" s="3" t="str">
        <x:v>2202002</x:v>
      </x:c>
      <x:c r="B180" s="3" t="str">
        <x:v>SEC027</x:v>
      </x:c>
      <x:c r="C180" s="3" t="str">
        <x:v>2024-1</x:v>
      </x:c>
      <x:c r="D180" s="5" t="n">
        <x:f>COUNTIFS('Attendance'!$A$5:$A$3919,A180,'Attendance'!$B$5:$B$3919,B180)</x:f>
        <x:v>15</x:v>
      </x:c>
      <x:c r="E180" s="5" t="n">
        <x:f>COUNTIFS('Attendance'!$A$5:$A$3919,A180,'Attendance'!$B$5:$B$3919,B180,'Attendance'!$D$5:$D$3919,"absent")</x:f>
        <x:v>0</x:v>
      </x:c>
      <x:c r="F180" s="5" t="n">
        <x:f>E180/D180</x:f>
        <x:v>0</x:v>
      </x:c>
      <x:c r="G180" s="5" t="n">
        <x:f>IF(F180&gt;Rules!$B$7,1,0)</x:f>
        <x:v>0</x:v>
      </x:c>
    </x:row>
    <x:row r="181" ht="21" customHeight="1">
      <x:c r="A181" s="3" t="str">
        <x:v>2202003</x:v>
      </x:c>
      <x:c r="B181" s="3" t="str">
        <x:v>SEC027</x:v>
      </x:c>
      <x:c r="C181" s="3" t="str">
        <x:v>2024-1</x:v>
      </x:c>
      <x:c r="D181" s="5" t="n">
        <x:f>COUNTIFS('Attendance'!$A$5:$A$3919,A181,'Attendance'!$B$5:$B$3919,B181)</x:f>
        <x:v>15</x:v>
      </x:c>
      <x:c r="E181" s="5" t="n">
        <x:f>COUNTIFS('Attendance'!$A$5:$A$3919,A181,'Attendance'!$B$5:$B$3919,B181,'Attendance'!$D$5:$D$3919,"absent")</x:f>
        <x:v>0</x:v>
      </x:c>
      <x:c r="F181" s="5" t="n">
        <x:f>E181/D181</x:f>
        <x:v>0</x:v>
      </x:c>
      <x:c r="G181" s="5" t="n">
        <x:f>IF(F181&gt;Rules!$B$7,1,0)</x:f>
        <x:v>0</x:v>
      </x:c>
    </x:row>
    <x:row r="182" ht="21" customHeight="1">
      <x:c r="A182" s="3" t="str">
        <x:v>2202004</x:v>
      </x:c>
      <x:c r="B182" s="3" t="str">
        <x:v>SEC027</x:v>
      </x:c>
      <x:c r="C182" s="3" t="str">
        <x:v>2024-1</x:v>
      </x:c>
      <x:c r="D182" s="5" t="n">
        <x:f>COUNTIFS('Attendance'!$A$5:$A$3919,A182,'Attendance'!$B$5:$B$3919,B182)</x:f>
        <x:v>15</x:v>
      </x:c>
      <x:c r="E182" s="5" t="n">
        <x:f>COUNTIFS('Attendance'!$A$5:$A$3919,A182,'Attendance'!$B$5:$B$3919,B182,'Attendance'!$D$5:$D$3919,"absent")</x:f>
        <x:v>0</x:v>
      </x:c>
      <x:c r="F182" s="5" t="n">
        <x:f>E182/D182</x:f>
        <x:v>0</x:v>
      </x:c>
      <x:c r="G182" s="5" t="n">
        <x:f>IF(F182&gt;Rules!$B$7,1,0)</x:f>
        <x:v>0</x:v>
      </x:c>
    </x:row>
    <x:row r="183" ht="21" customHeight="1">
      <x:c r="A183" s="3" t="str">
        <x:v>2202005</x:v>
      </x:c>
      <x:c r="B183" s="3" t="str">
        <x:v>SEC027</x:v>
      </x:c>
      <x:c r="C183" s="3" t="str">
        <x:v>2024-1</x:v>
      </x:c>
      <x:c r="D183" s="5" t="n">
        <x:f>COUNTIFS('Attendance'!$A$5:$A$3919,A183,'Attendance'!$B$5:$B$3919,B183)</x:f>
        <x:v>15</x:v>
      </x:c>
      <x:c r="E183" s="5" t="n">
        <x:f>COUNTIFS('Attendance'!$A$5:$A$3919,A183,'Attendance'!$B$5:$B$3919,B183,'Attendance'!$D$5:$D$3919,"absent")</x:f>
        <x:v>6</x:v>
      </x:c>
      <x:c r="F183" s="5" t="n">
        <x:f>E183/D183</x:f>
        <x:v>0.4</x:v>
      </x:c>
      <x:c r="G183" s="5" t="n">
        <x:f>IF(F183&gt;Rules!$B$7,1,0)</x:f>
        <x:v>1</x:v>
      </x:c>
    </x:row>
    <x:row r="184" ht="21" customHeight="1">
      <x:c r="A184" s="3" t="str">
        <x:v>2202006</x:v>
      </x:c>
      <x:c r="B184" s="3" t="str">
        <x:v>SEC027</x:v>
      </x:c>
      <x:c r="C184" s="3" t="str">
        <x:v>2024-1</x:v>
      </x:c>
      <x:c r="D184" s="5" t="n">
        <x:f>COUNTIFS('Attendance'!$A$5:$A$3919,A184,'Attendance'!$B$5:$B$3919,B184)</x:f>
        <x:v>15</x:v>
      </x:c>
      <x:c r="E184" s="5" t="n">
        <x:f>COUNTIFS('Attendance'!$A$5:$A$3919,A184,'Attendance'!$B$5:$B$3919,B184,'Attendance'!$D$5:$D$3919,"absent")</x:f>
        <x:v>2</x:v>
      </x:c>
      <x:c r="F184" s="5" t="n">
        <x:f>E184/D184</x:f>
        <x:v>0.13333333333333333</x:v>
      </x:c>
      <x:c r="G184" s="5" t="n">
        <x:f>IF(F184&gt;Rules!$B$7,1,0)</x:f>
        <x:v>0</x:v>
      </x:c>
    </x:row>
    <x:row r="185" ht="21" customHeight="1">
      <x:c r="A185" s="3" t="str">
        <x:v>2202007</x:v>
      </x:c>
      <x:c r="B185" s="3" t="str">
        <x:v>SEC027</x:v>
      </x:c>
      <x:c r="C185" s="3" t="str">
        <x:v>2024-1</x:v>
      </x:c>
      <x:c r="D185" s="5" t="n">
        <x:f>COUNTIFS('Attendance'!$A$5:$A$3919,A185,'Attendance'!$B$5:$B$3919,B185)</x:f>
        <x:v>15</x:v>
      </x:c>
      <x:c r="E185" s="5" t="n">
        <x:f>COUNTIFS('Attendance'!$A$5:$A$3919,A185,'Attendance'!$B$5:$B$3919,B185,'Attendance'!$D$5:$D$3919,"absent")</x:f>
        <x:v>1</x:v>
      </x:c>
      <x:c r="F185" s="5" t="n">
        <x:f>E185/D185</x:f>
        <x:v>0.06666666666666667</x:v>
      </x:c>
      <x:c r="G185" s="5" t="n">
        <x:f>IF(F185&gt;Rules!$B$7,1,0)</x:f>
        <x:v>0</x:v>
      </x:c>
    </x:row>
    <x:row r="186" ht="21" customHeight="1">
      <x:c r="A186" s="3" t="str">
        <x:v>2202008</x:v>
      </x:c>
      <x:c r="B186" s="3" t="str">
        <x:v>SEC027</x:v>
      </x:c>
      <x:c r="C186" s="3" t="str">
        <x:v>2024-1</x:v>
      </x:c>
      <x:c r="D186" s="5" t="n">
        <x:f>COUNTIFS('Attendance'!$A$5:$A$3919,A186,'Attendance'!$B$5:$B$3919,B186)</x:f>
        <x:v>15</x:v>
      </x:c>
      <x:c r="E186" s="5" t="n">
        <x:f>COUNTIFS('Attendance'!$A$5:$A$3919,A186,'Attendance'!$B$5:$B$3919,B186,'Attendance'!$D$5:$D$3919,"absent")</x:f>
        <x:v>2</x:v>
      </x:c>
      <x:c r="F186" s="5" t="n">
        <x:f>E186/D186</x:f>
        <x:v>0.13333333333333333</x:v>
      </x:c>
      <x:c r="G186" s="5" t="n">
        <x:f>IF(F186&gt;Rules!$B$7,1,0)</x:f>
        <x:v>0</x:v>
      </x:c>
    </x:row>
    <x:row r="187" ht="21" customHeight="1">
      <x:c r="A187" s="3" t="str">
        <x:v>2202009</x:v>
      </x:c>
      <x:c r="B187" s="3" t="str">
        <x:v>SEC027</x:v>
      </x:c>
      <x:c r="C187" s="3" t="str">
        <x:v>2024-1</x:v>
      </x:c>
      <x:c r="D187" s="5" t="n">
        <x:f>COUNTIFS('Attendance'!$A$5:$A$3919,A187,'Attendance'!$B$5:$B$3919,B187)</x:f>
        <x:v>15</x:v>
      </x:c>
      <x:c r="E187" s="5" t="n">
        <x:f>COUNTIFS('Attendance'!$A$5:$A$3919,A187,'Attendance'!$B$5:$B$3919,B187,'Attendance'!$D$5:$D$3919,"absent")</x:f>
        <x:v>0</x:v>
      </x:c>
      <x:c r="F187" s="5" t="n">
        <x:f>E187/D187</x:f>
        <x:v>0</x:v>
      </x:c>
      <x:c r="G187" s="5" t="n">
        <x:f>IF(F187&gt;Rules!$B$7,1,0)</x:f>
        <x:v>0</x:v>
      </x:c>
    </x:row>
    <x:row r="188" ht="21" customHeight="1">
      <x:c r="A188" s="3" t="str">
        <x:v>2202010</x:v>
      </x:c>
      <x:c r="B188" s="3" t="str">
        <x:v>SEC027</x:v>
      </x:c>
      <x:c r="C188" s="3" t="str">
        <x:v>2024-1</x:v>
      </x:c>
      <x:c r="D188" s="5" t="n">
        <x:f>COUNTIFS('Attendance'!$A$5:$A$3919,A188,'Attendance'!$B$5:$B$3919,B188)</x:f>
        <x:v>15</x:v>
      </x:c>
      <x:c r="E188" s="5" t="n">
        <x:f>COUNTIFS('Attendance'!$A$5:$A$3919,A188,'Attendance'!$B$5:$B$3919,B188,'Attendance'!$D$5:$D$3919,"absent")</x:f>
        <x:v>2</x:v>
      </x:c>
      <x:c r="F188" s="5" t="n">
        <x:f>E188/D188</x:f>
        <x:v>0.13333333333333333</x:v>
      </x:c>
      <x:c r="G188" s="5" t="n">
        <x:f>IF(F188&gt;Rules!$B$7,1,0)</x:f>
        <x:v>0</x:v>
      </x:c>
    </x:row>
    <x:row r="189" ht="21" customHeight="1">
      <x:c r="A189" s="3" t="str">
        <x:v>2202011</x:v>
      </x:c>
      <x:c r="B189" s="3" t="str">
        <x:v>SEC028</x:v>
      </x:c>
      <x:c r="C189" s="3" t="str">
        <x:v>2024-1</x:v>
      </x:c>
      <x:c r="D189" s="5" t="n">
        <x:f>COUNTIFS('Attendance'!$A$5:$A$3919,A189,'Attendance'!$B$5:$B$3919,B189)</x:f>
        <x:v>15</x:v>
      </x:c>
      <x:c r="E189" s="5" t="n">
        <x:f>COUNTIFS('Attendance'!$A$5:$A$3919,A189,'Attendance'!$B$5:$B$3919,B189,'Attendance'!$D$5:$D$3919,"absent")</x:f>
        <x:v>1</x:v>
      </x:c>
      <x:c r="F189" s="5" t="n">
        <x:f>E189/D189</x:f>
        <x:v>0.06666666666666667</x:v>
      </x:c>
      <x:c r="G189" s="5" t="n">
        <x:f>IF(F189&gt;Rules!$B$7,1,0)</x:f>
        <x:v>0</x:v>
      </x:c>
    </x:row>
    <x:row r="190" ht="21" customHeight="1">
      <x:c r="A190" s="3" t="str">
        <x:v>2202012</x:v>
      </x:c>
      <x:c r="B190" s="3" t="str">
        <x:v>SEC028</x:v>
      </x:c>
      <x:c r="C190" s="3" t="str">
        <x:v>2024-1</x:v>
      </x:c>
      <x:c r="D190" s="5" t="n">
        <x:f>COUNTIFS('Attendance'!$A$5:$A$3919,A190,'Attendance'!$B$5:$B$3919,B190)</x:f>
        <x:v>15</x:v>
      </x:c>
      <x:c r="E190" s="5" t="n">
        <x:f>COUNTIFS('Attendance'!$A$5:$A$3919,A190,'Attendance'!$B$5:$B$3919,B190,'Attendance'!$D$5:$D$3919,"absent")</x:f>
        <x:v>1</x:v>
      </x:c>
      <x:c r="F190" s="5" t="n">
        <x:f>E190/D190</x:f>
        <x:v>0.06666666666666667</x:v>
      </x:c>
      <x:c r="G190" s="5" t="n">
        <x:f>IF(F190&gt;Rules!$B$7,1,0)</x:f>
        <x:v>0</x:v>
      </x:c>
    </x:row>
    <x:row r="191" ht="21" customHeight="1">
      <x:c r="A191" s="3" t="str">
        <x:v>2202013</x:v>
      </x:c>
      <x:c r="B191" s="3" t="str">
        <x:v>SEC028</x:v>
      </x:c>
      <x:c r="C191" s="3" t="str">
        <x:v>2024-1</x:v>
      </x:c>
      <x:c r="D191" s="5" t="n">
        <x:f>COUNTIFS('Attendance'!$A$5:$A$3919,A191,'Attendance'!$B$5:$B$3919,B191)</x:f>
        <x:v>15</x:v>
      </x:c>
      <x:c r="E191" s="5" t="n">
        <x:f>COUNTIFS('Attendance'!$A$5:$A$3919,A191,'Attendance'!$B$5:$B$3919,B191,'Attendance'!$D$5:$D$3919,"absent")</x:f>
        <x:v>1</x:v>
      </x:c>
      <x:c r="F191" s="5" t="n">
        <x:f>E191/D191</x:f>
        <x:v>0.06666666666666667</x:v>
      </x:c>
      <x:c r="G191" s="5" t="n">
        <x:f>IF(F191&gt;Rules!$B$7,1,0)</x:f>
        <x:v>0</x:v>
      </x:c>
    </x:row>
    <x:row r="192" ht="21" customHeight="1">
      <x:c r="A192" s="3" t="str">
        <x:v>2202014</x:v>
      </x:c>
      <x:c r="B192" s="3" t="str">
        <x:v>SEC028</x:v>
      </x:c>
      <x:c r="C192" s="3" t="str">
        <x:v>2024-1</x:v>
      </x:c>
      <x:c r="D192" s="5" t="n">
        <x:f>COUNTIFS('Attendance'!$A$5:$A$3919,A192,'Attendance'!$B$5:$B$3919,B192)</x:f>
        <x:v>15</x:v>
      </x:c>
      <x:c r="E192" s="5" t="n">
        <x:f>COUNTIFS('Attendance'!$A$5:$A$3919,A192,'Attendance'!$B$5:$B$3919,B192,'Attendance'!$D$5:$D$3919,"absent")</x:f>
        <x:v>0</x:v>
      </x:c>
      <x:c r="F192" s="5" t="n">
        <x:f>E192/D192</x:f>
        <x:v>0</x:v>
      </x:c>
      <x:c r="G192" s="5" t="n">
        <x:f>IF(F192&gt;Rules!$B$7,1,0)</x:f>
        <x:v>0</x:v>
      </x:c>
    </x:row>
    <x:row r="193" ht="21" customHeight="1">
      <x:c r="A193" s="3" t="str">
        <x:v>2202015</x:v>
      </x:c>
      <x:c r="B193" s="3" t="str">
        <x:v>SEC028</x:v>
      </x:c>
      <x:c r="C193" s="3" t="str">
        <x:v>2024-1</x:v>
      </x:c>
      <x:c r="D193" s="5" t="n">
        <x:f>COUNTIFS('Attendance'!$A$5:$A$3919,A193,'Attendance'!$B$5:$B$3919,B193)</x:f>
        <x:v>15</x:v>
      </x:c>
      <x:c r="E193" s="5" t="n">
        <x:f>COUNTIFS('Attendance'!$A$5:$A$3919,A193,'Attendance'!$B$5:$B$3919,B193,'Attendance'!$D$5:$D$3919,"absent")</x:f>
        <x:v>5</x:v>
      </x:c>
      <x:c r="F193" s="5" t="n">
        <x:f>E193/D193</x:f>
        <x:v>0.3333333333333333</x:v>
      </x:c>
      <x:c r="G193" s="5" t="n">
        <x:f>IF(F193&gt;Rules!$B$7,1,0)</x:f>
        <x:v>1</x:v>
      </x:c>
    </x:row>
    <x:row r="194" ht="21" customHeight="1">
      <x:c r="A194" s="3" t="str">
        <x:v>2202016</x:v>
      </x:c>
      <x:c r="B194" s="3" t="str">
        <x:v>SEC028</x:v>
      </x:c>
      <x:c r="C194" s="3" t="str">
        <x:v>2024-1</x:v>
      </x:c>
      <x:c r="D194" s="5" t="n">
        <x:f>COUNTIFS('Attendance'!$A$5:$A$3919,A194,'Attendance'!$B$5:$B$3919,B194)</x:f>
        <x:v>15</x:v>
      </x:c>
      <x:c r="E194" s="5" t="n">
        <x:f>COUNTIFS('Attendance'!$A$5:$A$3919,A194,'Attendance'!$B$5:$B$3919,B194,'Attendance'!$D$5:$D$3919,"absent")</x:f>
        <x:v>2</x:v>
      </x:c>
      <x:c r="F194" s="5" t="n">
        <x:f>E194/D194</x:f>
        <x:v>0.13333333333333333</x:v>
      </x:c>
      <x:c r="G194" s="5" t="n">
        <x:f>IF(F194&gt;Rules!$B$7,1,0)</x:f>
        <x:v>0</x:v>
      </x:c>
    </x:row>
    <x:row r="195" ht="21" customHeight="1">
      <x:c r="A195" s="3" t="str">
        <x:v>2202017</x:v>
      </x:c>
      <x:c r="B195" s="3" t="str">
        <x:v>SEC028</x:v>
      </x:c>
      <x:c r="C195" s="3" t="str">
        <x:v>2024-1</x:v>
      </x:c>
      <x:c r="D195" s="5" t="n">
        <x:f>COUNTIFS('Attendance'!$A$5:$A$3919,A195,'Attendance'!$B$5:$B$3919,B195)</x:f>
        <x:v>15</x:v>
      </x:c>
      <x:c r="E195" s="5" t="n">
        <x:f>COUNTIFS('Attendance'!$A$5:$A$3919,A195,'Attendance'!$B$5:$B$3919,B195,'Attendance'!$D$5:$D$3919,"absent")</x:f>
        <x:v>1</x:v>
      </x:c>
      <x:c r="F195" s="5" t="n">
        <x:f>E195/D195</x:f>
        <x:v>0.06666666666666667</x:v>
      </x:c>
      <x:c r="G195" s="5" t="n">
        <x:f>IF(F195&gt;Rules!$B$7,1,0)</x:f>
        <x:v>0</x:v>
      </x:c>
    </x:row>
    <x:row r="196" ht="21" customHeight="1">
      <x:c r="A196" s="3" t="str">
        <x:v>2202018</x:v>
      </x:c>
      <x:c r="B196" s="3" t="str">
        <x:v>SEC028</x:v>
      </x:c>
      <x:c r="C196" s="3" t="str">
        <x:v>2024-1</x:v>
      </x:c>
      <x:c r="D196" s="5" t="n">
        <x:f>COUNTIFS('Attendance'!$A$5:$A$3919,A196,'Attendance'!$B$5:$B$3919,B196)</x:f>
        <x:v>15</x:v>
      </x:c>
      <x:c r="E196" s="5" t="n">
        <x:f>COUNTIFS('Attendance'!$A$5:$A$3919,A196,'Attendance'!$B$5:$B$3919,B196,'Attendance'!$D$5:$D$3919,"absent")</x:f>
        <x:v>1</x:v>
      </x:c>
      <x:c r="F196" s="5" t="n">
        <x:f>E196/D196</x:f>
        <x:v>0.06666666666666667</x:v>
      </x:c>
      <x:c r="G196" s="5" t="n">
        <x:f>IF(F196&gt;Rules!$B$7,1,0)</x:f>
        <x:v>0</x:v>
      </x:c>
    </x:row>
    <x:row r="197" ht="21" customHeight="1">
      <x:c r="A197" s="3" t="str">
        <x:v>2202019</x:v>
      </x:c>
      <x:c r="B197" s="3" t="str">
        <x:v>SEC028</x:v>
      </x:c>
      <x:c r="C197" s="3" t="str">
        <x:v>2024-1</x:v>
      </x:c>
      <x:c r="D197" s="5" t="n">
        <x:f>COUNTIFS('Attendance'!$A$5:$A$3919,A197,'Attendance'!$B$5:$B$3919,B197)</x:f>
        <x:v>15</x:v>
      </x:c>
      <x:c r="E197" s="5" t="n">
        <x:f>COUNTIFS('Attendance'!$A$5:$A$3919,A197,'Attendance'!$B$5:$B$3919,B197,'Attendance'!$D$5:$D$3919,"absent")</x:f>
        <x:v>0</x:v>
      </x:c>
      <x:c r="F197" s="5" t="n">
        <x:f>E197/D197</x:f>
        <x:v>0</x:v>
      </x:c>
      <x:c r="G197" s="5" t="n">
        <x:f>IF(F197&gt;Rules!$B$7,1,0)</x:f>
        <x:v>0</x:v>
      </x:c>
    </x:row>
    <x:row r="198" ht="21" customHeight="1">
      <x:c r="A198" s="3" t="str">
        <x:v>2202020</x:v>
      </x:c>
      <x:c r="B198" s="3" t="str">
        <x:v>SEC028</x:v>
      </x:c>
      <x:c r="C198" s="3" t="str">
        <x:v>2024-1</x:v>
      </x:c>
      <x:c r="D198" s="5" t="n">
        <x:f>COUNTIFS('Attendance'!$A$5:$A$3919,A198,'Attendance'!$B$5:$B$3919,B198)</x:f>
        <x:v>15</x:v>
      </x:c>
      <x:c r="E198" s="5" t="n">
        <x:f>COUNTIFS('Attendance'!$A$5:$A$3919,A198,'Attendance'!$B$5:$B$3919,B198,'Attendance'!$D$5:$D$3919,"absent")</x:f>
        <x:v>3</x:v>
      </x:c>
      <x:c r="F198" s="5" t="n">
        <x:f>E198/D198</x:f>
        <x:v>0.2</x:v>
      </x:c>
      <x:c r="G198" s="5" t="n">
        <x:f>IF(F198&gt;Rules!$B$7,1,0)</x:f>
        <x:v>0</x:v>
      </x:c>
    </x:row>
    <x:row r="199" ht="21" customHeight="1">
      <x:c r="A199" s="3" t="str">
        <x:v>2201001</x:v>
      </x:c>
      <x:c r="B199" s="3" t="str">
        <x:v>SEC029</x:v>
      </x:c>
      <x:c r="C199" s="3" t="str">
        <x:v>2024-1</x:v>
      </x:c>
      <x:c r="D199" s="5" t="n">
        <x:f>COUNTIFS('Attendance'!$A$5:$A$3919,A199,'Attendance'!$B$5:$B$3919,B199)</x:f>
        <x:v>15</x:v>
      </x:c>
      <x:c r="E199" s="5" t="n">
        <x:f>COUNTIFS('Attendance'!$A$5:$A$3919,A199,'Attendance'!$B$5:$B$3919,B199,'Attendance'!$D$5:$D$3919,"absent")</x:f>
        <x:v>1</x:v>
      </x:c>
      <x:c r="F199" s="5" t="n">
        <x:f>E199/D199</x:f>
        <x:v>0.06666666666666667</x:v>
      </x:c>
      <x:c r="G199" s="5" t="n">
        <x:f>IF(F199&gt;Rules!$B$7,1,0)</x:f>
        <x:v>0</x:v>
      </x:c>
    </x:row>
    <x:row r="200" ht="21" customHeight="1">
      <x:c r="A200" s="3" t="str">
        <x:v>2201002</x:v>
      </x:c>
      <x:c r="B200" s="3" t="str">
        <x:v>SEC029</x:v>
      </x:c>
      <x:c r="C200" s="3" t="str">
        <x:v>2024-1</x:v>
      </x:c>
      <x:c r="D200" s="5" t="n">
        <x:f>COUNTIFS('Attendance'!$A$5:$A$3919,A200,'Attendance'!$B$5:$B$3919,B200)</x:f>
        <x:v>15</x:v>
      </x:c>
      <x:c r="E200" s="5" t="n">
        <x:f>COUNTIFS('Attendance'!$A$5:$A$3919,A200,'Attendance'!$B$5:$B$3919,B200,'Attendance'!$D$5:$D$3919,"absent")</x:f>
        <x:v>1</x:v>
      </x:c>
      <x:c r="F200" s="5" t="n">
        <x:f>E200/D200</x:f>
        <x:v>0.06666666666666667</x:v>
      </x:c>
      <x:c r="G200" s="5" t="n">
        <x:f>IF(F200&gt;Rules!$B$7,1,0)</x:f>
        <x:v>0</x:v>
      </x:c>
    </x:row>
    <x:row r="201" ht="21" customHeight="1">
      <x:c r="A201" s="3" t="str">
        <x:v>2201003</x:v>
      </x:c>
      <x:c r="B201" s="3" t="str">
        <x:v>SEC029</x:v>
      </x:c>
      <x:c r="C201" s="3" t="str">
        <x:v>2024-1</x:v>
      </x:c>
      <x:c r="D201" s="5" t="n">
        <x:f>COUNTIFS('Attendance'!$A$5:$A$3919,A201,'Attendance'!$B$5:$B$3919,B201)</x:f>
        <x:v>15</x:v>
      </x:c>
      <x:c r="E201" s="5" t="n">
        <x:f>COUNTIFS('Attendance'!$A$5:$A$3919,A201,'Attendance'!$B$5:$B$3919,B201,'Attendance'!$D$5:$D$3919,"absent")</x:f>
        <x:v>1</x:v>
      </x:c>
      <x:c r="F201" s="5" t="n">
        <x:f>E201/D201</x:f>
        <x:v>0.06666666666666667</x:v>
      </x:c>
      <x:c r="G201" s="5" t="n">
        <x:f>IF(F201&gt;Rules!$B$7,1,0)</x:f>
        <x:v>0</x:v>
      </x:c>
    </x:row>
    <x:row r="202" ht="21" customHeight="1">
      <x:c r="A202" s="3" t="str">
        <x:v>2201004</x:v>
      </x:c>
      <x:c r="B202" s="3" t="str">
        <x:v>SEC029</x:v>
      </x:c>
      <x:c r="C202" s="3" t="str">
        <x:v>2024-1</x:v>
      </x:c>
      <x:c r="D202" s="5" t="n">
        <x:f>COUNTIFS('Attendance'!$A$5:$A$3919,A202,'Attendance'!$B$5:$B$3919,B202)</x:f>
        <x:v>15</x:v>
      </x:c>
      <x:c r="E202" s="5" t="n">
        <x:f>COUNTIFS('Attendance'!$A$5:$A$3919,A202,'Attendance'!$B$5:$B$3919,B202,'Attendance'!$D$5:$D$3919,"absent")</x:f>
        <x:v>0</x:v>
      </x:c>
      <x:c r="F202" s="5" t="n">
        <x:f>E202/D202</x:f>
        <x:v>0</x:v>
      </x:c>
      <x:c r="G202" s="5" t="n">
        <x:f>IF(F202&gt;Rules!$B$7,1,0)</x:f>
        <x:v>0</x:v>
      </x:c>
    </x:row>
    <x:row r="203" ht="21" customHeight="1">
      <x:c r="A203" s="3" t="str">
        <x:v>2201005</x:v>
      </x:c>
      <x:c r="B203" s="3" t="str">
        <x:v>SEC029</x:v>
      </x:c>
      <x:c r="C203" s="3" t="str">
        <x:v>2024-1</x:v>
      </x:c>
      <x:c r="D203" s="5" t="n">
        <x:f>COUNTIFS('Attendance'!$A$5:$A$3919,A203,'Attendance'!$B$5:$B$3919,B203)</x:f>
        <x:v>15</x:v>
      </x:c>
      <x:c r="E203" s="5" t="n">
        <x:f>COUNTIFS('Attendance'!$A$5:$A$3919,A203,'Attendance'!$B$5:$B$3919,B203,'Attendance'!$D$5:$D$3919,"absent")</x:f>
        <x:v>5</x:v>
      </x:c>
      <x:c r="F203" s="5" t="n">
        <x:f>E203/D203</x:f>
        <x:v>0.3333333333333333</x:v>
      </x:c>
      <x:c r="G203" s="5" t="n">
        <x:f>IF(F203&gt;Rules!$B$7,1,0)</x:f>
        <x:v>1</x:v>
      </x:c>
    </x:row>
    <x:row r="204" ht="21" customHeight="1">
      <x:c r="A204" s="3" t="str">
        <x:v>2201006</x:v>
      </x:c>
      <x:c r="B204" s="3" t="str">
        <x:v>SEC029</x:v>
      </x:c>
      <x:c r="C204" s="3" t="str">
        <x:v>2024-1</x:v>
      </x:c>
      <x:c r="D204" s="5" t="n">
        <x:f>COUNTIFS('Attendance'!$A$5:$A$3919,A204,'Attendance'!$B$5:$B$3919,B204)</x:f>
        <x:v>15</x:v>
      </x:c>
      <x:c r="E204" s="5" t="n">
        <x:f>COUNTIFS('Attendance'!$A$5:$A$3919,A204,'Attendance'!$B$5:$B$3919,B204,'Attendance'!$D$5:$D$3919,"absent")</x:f>
        <x:v>0</x:v>
      </x:c>
      <x:c r="F204" s="5" t="n">
        <x:f>E204/D204</x:f>
        <x:v>0</x:v>
      </x:c>
      <x:c r="G204" s="5" t="n">
        <x:f>IF(F204&gt;Rules!$B$7,1,0)</x:f>
        <x:v>0</x:v>
      </x:c>
    </x:row>
    <x:row r="205" ht="21" customHeight="1">
      <x:c r="A205" s="3" t="str">
        <x:v>2201007</x:v>
      </x:c>
      <x:c r="B205" s="3" t="str">
        <x:v>SEC029</x:v>
      </x:c>
      <x:c r="C205" s="3" t="str">
        <x:v>2024-1</x:v>
      </x:c>
      <x:c r="D205" s="5" t="n">
        <x:f>COUNTIFS('Attendance'!$A$5:$A$3919,A205,'Attendance'!$B$5:$B$3919,B205)</x:f>
        <x:v>15</x:v>
      </x:c>
      <x:c r="E205" s="5" t="n">
        <x:f>COUNTIFS('Attendance'!$A$5:$A$3919,A205,'Attendance'!$B$5:$B$3919,B205,'Attendance'!$D$5:$D$3919,"absent")</x:f>
        <x:v>3</x:v>
      </x:c>
      <x:c r="F205" s="5" t="n">
        <x:f>E205/D205</x:f>
        <x:v>0.2</x:v>
      </x:c>
      <x:c r="G205" s="5" t="n">
        <x:f>IF(F205&gt;Rules!$B$7,1,0)</x:f>
        <x:v>0</x:v>
      </x:c>
    </x:row>
    <x:row r="206" ht="21" customHeight="1">
      <x:c r="A206" s="3" t="str">
        <x:v>2201008</x:v>
      </x:c>
      <x:c r="B206" s="3" t="str">
        <x:v>SEC029</x:v>
      </x:c>
      <x:c r="C206" s="3" t="str">
        <x:v>2024-1</x:v>
      </x:c>
      <x:c r="D206" s="5" t="n">
        <x:f>COUNTIFS('Attendance'!$A$5:$A$3919,A206,'Attendance'!$B$5:$B$3919,B206)</x:f>
        <x:v>15</x:v>
      </x:c>
      <x:c r="E206" s="5" t="n">
        <x:f>COUNTIFS('Attendance'!$A$5:$A$3919,A206,'Attendance'!$B$5:$B$3919,B206,'Attendance'!$D$5:$D$3919,"absent")</x:f>
        <x:v>0</x:v>
      </x:c>
      <x:c r="F206" s="5" t="n">
        <x:f>E206/D206</x:f>
        <x:v>0</x:v>
      </x:c>
      <x:c r="G206" s="5" t="n">
        <x:f>IF(F206&gt;Rules!$B$7,1,0)</x:f>
        <x:v>0</x:v>
      </x:c>
    </x:row>
    <x:row r="207" ht="21" customHeight="1">
      <x:c r="A207" s="3" t="str">
        <x:v>2201009</x:v>
      </x:c>
      <x:c r="B207" s="3" t="str">
        <x:v>SEC029</x:v>
      </x:c>
      <x:c r="C207" s="3" t="str">
        <x:v>2024-1</x:v>
      </x:c>
      <x:c r="D207" s="5" t="n">
        <x:f>COUNTIFS('Attendance'!$A$5:$A$3919,A207,'Attendance'!$B$5:$B$3919,B207)</x:f>
        <x:v>15</x:v>
      </x:c>
      <x:c r="E207" s="5" t="n">
        <x:f>COUNTIFS('Attendance'!$A$5:$A$3919,A207,'Attendance'!$B$5:$B$3919,B207,'Attendance'!$D$5:$D$3919,"absent")</x:f>
        <x:v>0</x:v>
      </x:c>
      <x:c r="F207" s="5" t="n">
        <x:f>E207/D207</x:f>
        <x:v>0</x:v>
      </x:c>
      <x:c r="G207" s="5" t="n">
        <x:f>IF(F207&gt;Rules!$B$7,1,0)</x:f>
        <x:v>0</x:v>
      </x:c>
    </x:row>
    <x:row r="208" ht="21" customHeight="1">
      <x:c r="A208" s="3" t="str">
        <x:v>2201010</x:v>
      </x:c>
      <x:c r="B208" s="3" t="str">
        <x:v>SEC029</x:v>
      </x:c>
      <x:c r="C208" s="3" t="str">
        <x:v>2024-1</x:v>
      </x:c>
      <x:c r="D208" s="5" t="n">
        <x:f>COUNTIFS('Attendance'!$A$5:$A$3919,A208,'Attendance'!$B$5:$B$3919,B208)</x:f>
        <x:v>15</x:v>
      </x:c>
      <x:c r="E208" s="5" t="n">
        <x:f>COUNTIFS('Attendance'!$A$5:$A$3919,A208,'Attendance'!$B$5:$B$3919,B208,'Attendance'!$D$5:$D$3919,"absent")</x:f>
        <x:v>5</x:v>
      </x:c>
      <x:c r="F208" s="5" t="n">
        <x:f>E208/D208</x:f>
        <x:v>0.3333333333333333</x:v>
      </x:c>
      <x:c r="G208" s="5" t="n">
        <x:f>IF(F208&gt;Rules!$B$7,1,0)</x:f>
        <x:v>1</x:v>
      </x:c>
    </x:row>
    <x:row r="209" ht="21" customHeight="1">
      <x:c r="A209" s="3" t="str">
        <x:v>2201011</x:v>
      </x:c>
      <x:c r="B209" s="3" t="str">
        <x:v>SEC030</x:v>
      </x:c>
      <x:c r="C209" s="3" t="str">
        <x:v>2024-1</x:v>
      </x:c>
      <x:c r="D209" s="5" t="n">
        <x:f>COUNTIFS('Attendance'!$A$5:$A$3919,A209,'Attendance'!$B$5:$B$3919,B209)</x:f>
        <x:v>15</x:v>
      </x:c>
      <x:c r="E209" s="5" t="n">
        <x:f>COUNTIFS('Attendance'!$A$5:$A$3919,A209,'Attendance'!$B$5:$B$3919,B209,'Attendance'!$D$5:$D$3919,"absent")</x:f>
        <x:v>0</x:v>
      </x:c>
      <x:c r="F209" s="5" t="n">
        <x:f>E209/D209</x:f>
        <x:v>0</x:v>
      </x:c>
      <x:c r="G209" s="5" t="n">
        <x:f>IF(F209&gt;Rules!$B$7,1,0)</x:f>
        <x:v>0</x:v>
      </x:c>
    </x:row>
    <x:row r="210" ht="21" customHeight="1">
      <x:c r="A210" s="3" t="str">
        <x:v>2201012</x:v>
      </x:c>
      <x:c r="B210" s="3" t="str">
        <x:v>SEC030</x:v>
      </x:c>
      <x:c r="C210" s="3" t="str">
        <x:v>2024-1</x:v>
      </x:c>
      <x:c r="D210" s="5" t="n">
        <x:f>COUNTIFS('Attendance'!$A$5:$A$3919,A210,'Attendance'!$B$5:$B$3919,B210)</x:f>
        <x:v>15</x:v>
      </x:c>
      <x:c r="E210" s="5" t="n">
        <x:f>COUNTIFS('Attendance'!$A$5:$A$3919,A210,'Attendance'!$B$5:$B$3919,B210,'Attendance'!$D$5:$D$3919,"absent")</x:f>
        <x:v>1</x:v>
      </x:c>
      <x:c r="F210" s="5" t="n">
        <x:f>E210/D210</x:f>
        <x:v>0.06666666666666667</x:v>
      </x:c>
      <x:c r="G210" s="5" t="n">
        <x:f>IF(F210&gt;Rules!$B$7,1,0)</x:f>
        <x:v>0</x:v>
      </x:c>
    </x:row>
    <x:row r="211" ht="21" customHeight="1">
      <x:c r="A211" s="3" t="str">
        <x:v>2201013</x:v>
      </x:c>
      <x:c r="B211" s="3" t="str">
        <x:v>SEC030</x:v>
      </x:c>
      <x:c r="C211" s="3" t="str">
        <x:v>2024-1</x:v>
      </x:c>
      <x:c r="D211" s="5" t="n">
        <x:f>COUNTIFS('Attendance'!$A$5:$A$3919,A211,'Attendance'!$B$5:$B$3919,B211)</x:f>
        <x:v>15</x:v>
      </x:c>
      <x:c r="E211" s="5" t="n">
        <x:f>COUNTIFS('Attendance'!$A$5:$A$3919,A211,'Attendance'!$B$5:$B$3919,B211,'Attendance'!$D$5:$D$3919,"absent")</x:f>
        <x:v>0</x:v>
      </x:c>
      <x:c r="F211" s="5" t="n">
        <x:f>E211/D211</x:f>
        <x:v>0</x:v>
      </x:c>
      <x:c r="G211" s="5" t="n">
        <x:f>IF(F211&gt;Rules!$B$7,1,0)</x:f>
        <x:v>0</x:v>
      </x:c>
    </x:row>
    <x:row r="212" ht="21" customHeight="1">
      <x:c r="A212" s="3" t="str">
        <x:v>2201014</x:v>
      </x:c>
      <x:c r="B212" s="3" t="str">
        <x:v>SEC030</x:v>
      </x:c>
      <x:c r="C212" s="3" t="str">
        <x:v>2024-1</x:v>
      </x:c>
      <x:c r="D212" s="5" t="n">
        <x:f>COUNTIFS('Attendance'!$A$5:$A$3919,A212,'Attendance'!$B$5:$B$3919,B212)</x:f>
        <x:v>15</x:v>
      </x:c>
      <x:c r="E212" s="5" t="n">
        <x:f>COUNTIFS('Attendance'!$A$5:$A$3919,A212,'Attendance'!$B$5:$B$3919,B212,'Attendance'!$D$5:$D$3919,"absent")</x:f>
        <x:v>1</x:v>
      </x:c>
      <x:c r="F212" s="5" t="n">
        <x:f>E212/D212</x:f>
        <x:v>0.06666666666666667</x:v>
      </x:c>
      <x:c r="G212" s="5" t="n">
        <x:f>IF(F212&gt;Rules!$B$7,1,0)</x:f>
        <x:v>0</x:v>
      </x:c>
    </x:row>
    <x:row r="213" ht="21" customHeight="1">
      <x:c r="A213" s="3" t="str">
        <x:v>2201015</x:v>
      </x:c>
      <x:c r="B213" s="3" t="str">
        <x:v>SEC030</x:v>
      </x:c>
      <x:c r="C213" s="3" t="str">
        <x:v>2024-1</x:v>
      </x:c>
      <x:c r="D213" s="5" t="n">
        <x:f>COUNTIFS('Attendance'!$A$5:$A$3919,A213,'Attendance'!$B$5:$B$3919,B213)</x:f>
        <x:v>15</x:v>
      </x:c>
      <x:c r="E213" s="5" t="n">
        <x:f>COUNTIFS('Attendance'!$A$5:$A$3919,A213,'Attendance'!$B$5:$B$3919,B213,'Attendance'!$D$5:$D$3919,"absent")</x:f>
        <x:v>8</x:v>
      </x:c>
      <x:c r="F213" s="5" t="n">
        <x:f>E213/D213</x:f>
        <x:v>0.5333333333333333</x:v>
      </x:c>
      <x:c r="G213" s="5" t="n">
        <x:f>IF(F213&gt;Rules!$B$7,1,0)</x:f>
        <x:v>1</x:v>
      </x:c>
    </x:row>
    <x:row r="214" ht="21" customHeight="1">
      <x:c r="A214" s="3" t="str">
        <x:v>2201016</x:v>
      </x:c>
      <x:c r="B214" s="3" t="str">
        <x:v>SEC030</x:v>
      </x:c>
      <x:c r="C214" s="3" t="str">
        <x:v>2024-1</x:v>
      </x:c>
      <x:c r="D214" s="5" t="n">
        <x:f>COUNTIFS('Attendance'!$A$5:$A$3919,A214,'Attendance'!$B$5:$B$3919,B214)</x:f>
        <x:v>15</x:v>
      </x:c>
      <x:c r="E214" s="5" t="n">
        <x:f>COUNTIFS('Attendance'!$A$5:$A$3919,A214,'Attendance'!$B$5:$B$3919,B214,'Attendance'!$D$5:$D$3919,"absent")</x:f>
        <x:v>0</x:v>
      </x:c>
      <x:c r="F214" s="5" t="n">
        <x:f>E214/D214</x:f>
        <x:v>0</x:v>
      </x:c>
      <x:c r="G214" s="5" t="n">
        <x:f>IF(F214&gt;Rules!$B$7,1,0)</x:f>
        <x:v>0</x:v>
      </x:c>
    </x:row>
    <x:row r="215" ht="21" customHeight="1">
      <x:c r="A215" s="3" t="str">
        <x:v>2201017</x:v>
      </x:c>
      <x:c r="B215" s="3" t="str">
        <x:v>SEC030</x:v>
      </x:c>
      <x:c r="C215" s="3" t="str">
        <x:v>2024-1</x:v>
      </x:c>
      <x:c r="D215" s="5" t="n">
        <x:f>COUNTIFS('Attendance'!$A$5:$A$3919,A215,'Attendance'!$B$5:$B$3919,B215)</x:f>
        <x:v>15</x:v>
      </x:c>
      <x:c r="E215" s="5" t="n">
        <x:f>COUNTIFS('Attendance'!$A$5:$A$3919,A215,'Attendance'!$B$5:$B$3919,B215,'Attendance'!$D$5:$D$3919,"absent")</x:f>
        <x:v>0</x:v>
      </x:c>
      <x:c r="F215" s="5" t="n">
        <x:f>E215/D215</x:f>
        <x:v>0</x:v>
      </x:c>
      <x:c r="G215" s="5" t="n">
        <x:f>IF(F215&gt;Rules!$B$7,1,0)</x:f>
        <x:v>0</x:v>
      </x:c>
    </x:row>
    <x:row r="216" ht="21" customHeight="1">
      <x:c r="A216" s="3" t="str">
        <x:v>2201018</x:v>
      </x:c>
      <x:c r="B216" s="3" t="str">
        <x:v>SEC030</x:v>
      </x:c>
      <x:c r="C216" s="3" t="str">
        <x:v>2024-1</x:v>
      </x:c>
      <x:c r="D216" s="5" t="n">
        <x:f>COUNTIFS('Attendance'!$A$5:$A$3919,A216,'Attendance'!$B$5:$B$3919,B216)</x:f>
        <x:v>15</x:v>
      </x:c>
      <x:c r="E216" s="5" t="n">
        <x:f>COUNTIFS('Attendance'!$A$5:$A$3919,A216,'Attendance'!$B$5:$B$3919,B216,'Attendance'!$D$5:$D$3919,"absent")</x:f>
        <x:v>2</x:v>
      </x:c>
      <x:c r="F216" s="5" t="n">
        <x:f>E216/D216</x:f>
        <x:v>0.13333333333333333</x:v>
      </x:c>
      <x:c r="G216" s="5" t="n">
        <x:f>IF(F216&gt;Rules!$B$7,1,0)</x:f>
        <x:v>0</x:v>
      </x:c>
    </x:row>
    <x:row r="217" ht="21" customHeight="1">
      <x:c r="A217" s="3" t="str">
        <x:v>2201019</x:v>
      </x:c>
      <x:c r="B217" s="3" t="str">
        <x:v>SEC030</x:v>
      </x:c>
      <x:c r="C217" s="3" t="str">
        <x:v>2024-1</x:v>
      </x:c>
      <x:c r="D217" s="5" t="n">
        <x:f>COUNTIFS('Attendance'!$A$5:$A$3919,A217,'Attendance'!$B$5:$B$3919,B217)</x:f>
        <x:v>15</x:v>
      </x:c>
      <x:c r="E217" s="5" t="n">
        <x:f>COUNTIFS('Attendance'!$A$5:$A$3919,A217,'Attendance'!$B$5:$B$3919,B217,'Attendance'!$D$5:$D$3919,"absent")</x:f>
        <x:v>2</x:v>
      </x:c>
      <x:c r="F217" s="5" t="n">
        <x:f>E217/D217</x:f>
        <x:v>0.13333333333333333</x:v>
      </x:c>
      <x:c r="G217" s="5" t="n">
        <x:f>IF(F217&gt;Rules!$B$7,1,0)</x:f>
        <x:v>0</x:v>
      </x:c>
    </x:row>
    <x:row r="218" ht="21" customHeight="1">
      <x:c r="A218" s="3" t="str">
        <x:v>2201020</x:v>
      </x:c>
      <x:c r="B218" s="3" t="str">
        <x:v>SEC030</x:v>
      </x:c>
      <x:c r="C218" s="3" t="str">
        <x:v>2024-1</x:v>
      </x:c>
      <x:c r="D218" s="5" t="n">
        <x:f>COUNTIFS('Attendance'!$A$5:$A$3919,A218,'Attendance'!$B$5:$B$3919,B218)</x:f>
        <x:v>15</x:v>
      </x:c>
      <x:c r="E218" s="5" t="n">
        <x:f>COUNTIFS('Attendance'!$A$5:$A$3919,A218,'Attendance'!$B$5:$B$3919,B218,'Attendance'!$D$5:$D$3919,"absent")</x:f>
        <x:v>7</x:v>
      </x:c>
      <x:c r="F218" s="5" t="n">
        <x:f>E218/D218</x:f>
        <x:v>0.4666666666666667</x:v>
      </x:c>
      <x:c r="G218" s="5" t="n">
        <x:f>IF(F218&gt;Rules!$B$7,1,0)</x:f>
        <x:v>1</x:v>
      </x:c>
    </x:row>
    <x:row r="219" ht="21" customHeight="1">
      <x:c r="A219" s="3" t="str">
        <x:v>2202010</x:v>
      </x:c>
      <x:c r="B219" s="3" t="str">
        <x:v>SEC031</x:v>
      </x:c>
      <x:c r="C219" s="3" t="str">
        <x:v>2025-1</x:v>
      </x:c>
      <x:c r="D219" s="5" t="n">
        <x:f>COUNTIFS('Attendance'!$A$5:$A$3919,A219,'Attendance'!$B$5:$B$3919,B219)</x:f>
        <x:v>15</x:v>
      </x:c>
      <x:c r="E219" s="5" t="n">
        <x:f>COUNTIFS('Attendance'!$A$5:$A$3919,A219,'Attendance'!$B$5:$B$3919,B219,'Attendance'!$D$5:$D$3919,"absent")</x:f>
        <x:v>3</x:v>
      </x:c>
      <x:c r="F219" s="5" t="n">
        <x:f>E219/D219</x:f>
        <x:v>0.2</x:v>
      </x:c>
      <x:c r="G219" s="5" t="n">
        <x:f>IF(F219&gt;Rules!$B$7,1,0)</x:f>
        <x:v>0</x:v>
      </x:c>
    </x:row>
    <x:row r="220" ht="21" customHeight="1">
      <x:c r="A220" s="3" t="str">
        <x:v>2202015</x:v>
      </x:c>
      <x:c r="B220" s="3" t="str">
        <x:v>SEC032</x:v>
      </x:c>
      <x:c r="C220" s="3" t="str">
        <x:v>2025-1</x:v>
      </x:c>
      <x:c r="D220" s="5" t="n">
        <x:f>COUNTIFS('Attendance'!$A$5:$A$3919,A220,'Attendance'!$B$5:$B$3919,B220)</x:f>
        <x:v>15</x:v>
      </x:c>
      <x:c r="E220" s="5" t="n">
        <x:f>COUNTIFS('Attendance'!$A$5:$A$3919,A220,'Attendance'!$B$5:$B$3919,B220,'Attendance'!$D$5:$D$3919,"absent")</x:f>
        <x:v>6</x:v>
      </x:c>
      <x:c r="F220" s="5" t="n">
        <x:f>E220/D220</x:f>
        <x:v>0.4</x:v>
      </x:c>
      <x:c r="G220" s="5" t="n">
        <x:f>IF(F220&gt;Rules!$B$7,1,0)</x:f>
        <x:v>1</x:v>
      </x:c>
    </x:row>
    <x:row r="221" ht="21" customHeight="1">
      <x:c r="A221" s="3" t="str">
        <x:v>2201010</x:v>
      </x:c>
      <x:c r="B221" s="3" t="str">
        <x:v>SEC033</x:v>
      </x:c>
      <x:c r="C221" s="3" t="str">
        <x:v>2025-1</x:v>
      </x:c>
      <x:c r="D221" s="5" t="n">
        <x:f>COUNTIFS('Attendance'!$A$5:$A$3919,A221,'Attendance'!$B$5:$B$3919,B221)</x:f>
        <x:v>15</x:v>
      </x:c>
      <x:c r="E221" s="5" t="n">
        <x:f>COUNTIFS('Attendance'!$A$5:$A$3919,A221,'Attendance'!$B$5:$B$3919,B221,'Attendance'!$D$5:$D$3919,"absent")</x:f>
        <x:v>4</x:v>
      </x:c>
      <x:c r="F221" s="5" t="n">
        <x:f>E221/D221</x:f>
        <x:v>0.26666666666666666</x:v>
      </x:c>
      <x:c r="G221" s="5" t="n">
        <x:f>IF(F221&gt;Rules!$B$7,1,0)</x:f>
        <x:v>1</x:v>
      </x:c>
    </x:row>
    <x:row r="222" ht="21" customHeight="1">
      <x:c r="A222" s="3" t="str">
        <x:v>2201020</x:v>
      </x:c>
      <x:c r="B222" s="3" t="str">
        <x:v>SEC034</x:v>
      </x:c>
      <x:c r="C222" s="3" t="str">
        <x:v>2025-1</x:v>
      </x:c>
      <x:c r="D222" s="5" t="n">
        <x:f>COUNTIFS('Attendance'!$A$5:$A$3919,A222,'Attendance'!$B$5:$B$3919,B222)</x:f>
        <x:v>15</x:v>
      </x:c>
      <x:c r="E222" s="5" t="n">
        <x:f>COUNTIFS('Attendance'!$A$5:$A$3919,A222,'Attendance'!$B$5:$B$3919,B222,'Attendance'!$D$5:$D$3919,"absent")</x:f>
        <x:v>4</x:v>
      </x:c>
      <x:c r="F222" s="5" t="n">
        <x:f>E222/D222</x:f>
        <x:v>0.26666666666666666</x:v>
      </x:c>
      <x:c r="G222" s="5" t="n">
        <x:f>IF(F222&gt;Rules!$B$7,1,0)</x:f>
        <x:v>1</x:v>
      </x:c>
    </x:row>
    <x:row r="223" ht="21" customHeight="1">
      <x:c r="A223" s="3" t="str">
        <x:v>2202001</x:v>
      </x:c>
      <x:c r="B223" s="3" t="str">
        <x:v>SEC035</x:v>
      </x:c>
      <x:c r="C223" s="3" t="str">
        <x:v>2024-1</x:v>
      </x:c>
      <x:c r="D223" s="5" t="n">
        <x:f>COUNTIFS('Attendance'!$A$5:$A$3919,A223,'Attendance'!$B$5:$B$3919,B223)</x:f>
        <x:v>15</x:v>
      </x:c>
      <x:c r="E223" s="5" t="n">
        <x:f>COUNTIFS('Attendance'!$A$5:$A$3919,A223,'Attendance'!$B$5:$B$3919,B223,'Attendance'!$D$5:$D$3919,"absent")</x:f>
        <x:v>1</x:v>
      </x:c>
      <x:c r="F223" s="5" t="n">
        <x:f>E223/D223</x:f>
        <x:v>0.06666666666666667</x:v>
      </x:c>
      <x:c r="G223" s="5" t="n">
        <x:f>IF(F223&gt;Rules!$B$7,1,0)</x:f>
        <x:v>0</x:v>
      </x:c>
    </x:row>
    <x:row r="224" ht="21" customHeight="1">
      <x:c r="A224" s="3" t="str">
        <x:v>2202002</x:v>
      </x:c>
      <x:c r="B224" s="3" t="str">
        <x:v>SEC035</x:v>
      </x:c>
      <x:c r="C224" s="3" t="str">
        <x:v>2024-1</x:v>
      </x:c>
      <x:c r="D224" s="5" t="n">
        <x:f>COUNTIFS('Attendance'!$A$5:$A$3919,A224,'Attendance'!$B$5:$B$3919,B224)</x:f>
        <x:v>15</x:v>
      </x:c>
      <x:c r="E224" s="5" t="n">
        <x:f>COUNTIFS('Attendance'!$A$5:$A$3919,A224,'Attendance'!$B$5:$B$3919,B224,'Attendance'!$D$5:$D$3919,"absent")</x:f>
        <x:v>1</x:v>
      </x:c>
      <x:c r="F224" s="5" t="n">
        <x:f>E224/D224</x:f>
        <x:v>0.06666666666666667</x:v>
      </x:c>
      <x:c r="G224" s="5" t="n">
        <x:f>IF(F224&gt;Rules!$B$7,1,0)</x:f>
        <x:v>0</x:v>
      </x:c>
    </x:row>
    <x:row r="225" ht="21" customHeight="1">
      <x:c r="A225" s="3" t="str">
        <x:v>2202003</x:v>
      </x:c>
      <x:c r="B225" s="3" t="str">
        <x:v>SEC035</x:v>
      </x:c>
      <x:c r="C225" s="3" t="str">
        <x:v>2024-1</x:v>
      </x:c>
      <x:c r="D225" s="5" t="n">
        <x:f>COUNTIFS('Attendance'!$A$5:$A$3919,A225,'Attendance'!$B$5:$B$3919,B225)</x:f>
        <x:v>15</x:v>
      </x:c>
      <x:c r="E225" s="5" t="n">
        <x:f>COUNTIFS('Attendance'!$A$5:$A$3919,A225,'Attendance'!$B$5:$B$3919,B225,'Attendance'!$D$5:$D$3919,"absent")</x:f>
        <x:v>0</x:v>
      </x:c>
      <x:c r="F225" s="5" t="n">
        <x:f>E225/D225</x:f>
        <x:v>0</x:v>
      </x:c>
      <x:c r="G225" s="5" t="n">
        <x:f>IF(F225&gt;Rules!$B$7,1,0)</x:f>
        <x:v>0</x:v>
      </x:c>
    </x:row>
    <x:row r="226" ht="21" customHeight="1">
      <x:c r="A226" s="3" t="str">
        <x:v>2202004</x:v>
      </x:c>
      <x:c r="B226" s="3" t="str">
        <x:v>SEC035</x:v>
      </x:c>
      <x:c r="C226" s="3" t="str">
        <x:v>2024-1</x:v>
      </x:c>
      <x:c r="D226" s="5" t="n">
        <x:f>COUNTIFS('Attendance'!$A$5:$A$3919,A226,'Attendance'!$B$5:$B$3919,B226)</x:f>
        <x:v>15</x:v>
      </x:c>
      <x:c r="E226" s="5" t="n">
        <x:f>COUNTIFS('Attendance'!$A$5:$A$3919,A226,'Attendance'!$B$5:$B$3919,B226,'Attendance'!$D$5:$D$3919,"absent")</x:f>
        <x:v>0</x:v>
      </x:c>
      <x:c r="F226" s="5" t="n">
        <x:f>E226/D226</x:f>
        <x:v>0</x:v>
      </x:c>
      <x:c r="G226" s="5" t="n">
        <x:f>IF(F226&gt;Rules!$B$7,1,0)</x:f>
        <x:v>0</x:v>
      </x:c>
    </x:row>
    <x:row r="227" ht="21" customHeight="1">
      <x:c r="A227" s="3" t="str">
        <x:v>2202005</x:v>
      </x:c>
      <x:c r="B227" s="3" t="str">
        <x:v>SEC035</x:v>
      </x:c>
      <x:c r="C227" s="3" t="str">
        <x:v>2024-1</x:v>
      </x:c>
      <x:c r="D227" s="5" t="n">
        <x:f>COUNTIFS('Attendance'!$A$5:$A$3919,A227,'Attendance'!$B$5:$B$3919,B227)</x:f>
        <x:v>15</x:v>
      </x:c>
      <x:c r="E227" s="5" t="n">
        <x:f>COUNTIFS('Attendance'!$A$5:$A$3919,A227,'Attendance'!$B$5:$B$3919,B227,'Attendance'!$D$5:$D$3919,"absent")</x:f>
        <x:v>6</x:v>
      </x:c>
      <x:c r="F227" s="5" t="n">
        <x:f>E227/D227</x:f>
        <x:v>0.4</x:v>
      </x:c>
      <x:c r="G227" s="5" t="n">
        <x:f>IF(F227&gt;Rules!$B$7,1,0)</x:f>
        <x:v>1</x:v>
      </x:c>
    </x:row>
    <x:row r="228" ht="21" customHeight="1">
      <x:c r="A228" s="3" t="str">
        <x:v>2202006</x:v>
      </x:c>
      <x:c r="B228" s="3" t="str">
        <x:v>SEC035</x:v>
      </x:c>
      <x:c r="C228" s="3" t="str">
        <x:v>2024-1</x:v>
      </x:c>
      <x:c r="D228" s="5" t="n">
        <x:f>COUNTIFS('Attendance'!$A$5:$A$3919,A228,'Attendance'!$B$5:$B$3919,B228)</x:f>
        <x:v>15</x:v>
      </x:c>
      <x:c r="E228" s="5" t="n">
        <x:f>COUNTIFS('Attendance'!$A$5:$A$3919,A228,'Attendance'!$B$5:$B$3919,B228,'Attendance'!$D$5:$D$3919,"absent")</x:f>
        <x:v>0</x:v>
      </x:c>
      <x:c r="F228" s="5" t="n">
        <x:f>E228/D228</x:f>
        <x:v>0</x:v>
      </x:c>
      <x:c r="G228" s="5" t="n">
        <x:f>IF(F228&gt;Rules!$B$7,1,0)</x:f>
        <x:v>0</x:v>
      </x:c>
    </x:row>
    <x:row r="229" ht="21" customHeight="1">
      <x:c r="A229" s="3" t="str">
        <x:v>2202007</x:v>
      </x:c>
      <x:c r="B229" s="3" t="str">
        <x:v>SEC035</x:v>
      </x:c>
      <x:c r="C229" s="3" t="str">
        <x:v>2024-1</x:v>
      </x:c>
      <x:c r="D229" s="5" t="n">
        <x:f>COUNTIFS('Attendance'!$A$5:$A$3919,A229,'Attendance'!$B$5:$B$3919,B229)</x:f>
        <x:v>15</x:v>
      </x:c>
      <x:c r="E229" s="5" t="n">
        <x:f>COUNTIFS('Attendance'!$A$5:$A$3919,A229,'Attendance'!$B$5:$B$3919,B229,'Attendance'!$D$5:$D$3919,"absent")</x:f>
        <x:v>0</x:v>
      </x:c>
      <x:c r="F229" s="5" t="n">
        <x:f>E229/D229</x:f>
        <x:v>0</x:v>
      </x:c>
      <x:c r="G229" s="5" t="n">
        <x:f>IF(F229&gt;Rules!$B$7,1,0)</x:f>
        <x:v>0</x:v>
      </x:c>
    </x:row>
    <x:row r="230" ht="21" customHeight="1">
      <x:c r="A230" s="3" t="str">
        <x:v>2202008</x:v>
      </x:c>
      <x:c r="B230" s="3" t="str">
        <x:v>SEC035</x:v>
      </x:c>
      <x:c r="C230" s="3" t="str">
        <x:v>2024-1</x:v>
      </x:c>
      <x:c r="D230" s="5" t="n">
        <x:f>COUNTIFS('Attendance'!$A$5:$A$3919,A230,'Attendance'!$B$5:$B$3919,B230)</x:f>
        <x:v>15</x:v>
      </x:c>
      <x:c r="E230" s="5" t="n">
        <x:f>COUNTIFS('Attendance'!$A$5:$A$3919,A230,'Attendance'!$B$5:$B$3919,B230,'Attendance'!$D$5:$D$3919,"absent")</x:f>
        <x:v>1</x:v>
      </x:c>
      <x:c r="F230" s="5" t="n">
        <x:f>E230/D230</x:f>
        <x:v>0.06666666666666667</x:v>
      </x:c>
      <x:c r="G230" s="5" t="n">
        <x:f>IF(F230&gt;Rules!$B$7,1,0)</x:f>
        <x:v>0</x:v>
      </x:c>
    </x:row>
    <x:row r="231" ht="21" customHeight="1">
      <x:c r="A231" s="3" t="str">
        <x:v>2202009</x:v>
      </x:c>
      <x:c r="B231" s="3" t="str">
        <x:v>SEC035</x:v>
      </x:c>
      <x:c r="C231" s="3" t="str">
        <x:v>2024-1</x:v>
      </x:c>
      <x:c r="D231" s="5" t="n">
        <x:f>COUNTIFS('Attendance'!$A$5:$A$3919,A231,'Attendance'!$B$5:$B$3919,B231)</x:f>
        <x:v>15</x:v>
      </x:c>
      <x:c r="E231" s="5" t="n">
        <x:f>COUNTIFS('Attendance'!$A$5:$A$3919,A231,'Attendance'!$B$5:$B$3919,B231,'Attendance'!$D$5:$D$3919,"absent")</x:f>
        <x:v>1</x:v>
      </x:c>
      <x:c r="F231" s="5" t="n">
        <x:f>E231/D231</x:f>
        <x:v>0.06666666666666667</x:v>
      </x:c>
      <x:c r="G231" s="5" t="n">
        <x:f>IF(F231&gt;Rules!$B$7,1,0)</x:f>
        <x:v>0</x:v>
      </x:c>
    </x:row>
    <x:row r="232" ht="21" customHeight="1">
      <x:c r="A232" s="3" t="str">
        <x:v>2202010</x:v>
      </x:c>
      <x:c r="B232" s="3" t="str">
        <x:v>SEC035</x:v>
      </x:c>
      <x:c r="C232" s="3" t="str">
        <x:v>2024-1</x:v>
      </x:c>
      <x:c r="D232" s="5" t="n">
        <x:f>COUNTIFS('Attendance'!$A$5:$A$3919,A232,'Attendance'!$B$5:$B$3919,B232)</x:f>
        <x:v>15</x:v>
      </x:c>
      <x:c r="E232" s="5" t="n">
        <x:f>COUNTIFS('Attendance'!$A$5:$A$3919,A232,'Attendance'!$B$5:$B$3919,B232,'Attendance'!$D$5:$D$3919,"absent")</x:f>
        <x:v>4</x:v>
      </x:c>
      <x:c r="F232" s="5" t="n">
        <x:f>E232/D232</x:f>
        <x:v>0.26666666666666666</x:v>
      </x:c>
      <x:c r="G232" s="5" t="n">
        <x:f>IF(F232&gt;Rules!$B$7,1,0)</x:f>
        <x:v>1</x:v>
      </x:c>
    </x:row>
    <x:row r="233" ht="21" customHeight="1">
      <x:c r="A233" s="3" t="str">
        <x:v>2202011</x:v>
      </x:c>
      <x:c r="B233" s="3" t="str">
        <x:v>SEC036</x:v>
      </x:c>
      <x:c r="C233" s="3" t="str">
        <x:v>2024-1</x:v>
      </x:c>
      <x:c r="D233" s="5" t="n">
        <x:f>COUNTIFS('Attendance'!$A$5:$A$3919,A233,'Attendance'!$B$5:$B$3919,B233)</x:f>
        <x:v>15</x:v>
      </x:c>
      <x:c r="E233" s="5" t="n">
        <x:f>COUNTIFS('Attendance'!$A$5:$A$3919,A233,'Attendance'!$B$5:$B$3919,B233,'Attendance'!$D$5:$D$3919,"absent")</x:f>
        <x:v>0</x:v>
      </x:c>
      <x:c r="F233" s="5" t="n">
        <x:f>E233/D233</x:f>
        <x:v>0</x:v>
      </x:c>
      <x:c r="G233" s="5" t="n">
        <x:f>IF(F233&gt;Rules!$B$7,1,0)</x:f>
        <x:v>0</x:v>
      </x:c>
    </x:row>
    <x:row r="234" ht="21" customHeight="1">
      <x:c r="A234" s="3" t="str">
        <x:v>2202012</x:v>
      </x:c>
      <x:c r="B234" s="3" t="str">
        <x:v>SEC036</x:v>
      </x:c>
      <x:c r="C234" s="3" t="str">
        <x:v>2024-1</x:v>
      </x:c>
      <x:c r="D234" s="5" t="n">
        <x:f>COUNTIFS('Attendance'!$A$5:$A$3919,A234,'Attendance'!$B$5:$B$3919,B234)</x:f>
        <x:v>15</x:v>
      </x:c>
      <x:c r="E234" s="5" t="n">
        <x:f>COUNTIFS('Attendance'!$A$5:$A$3919,A234,'Attendance'!$B$5:$B$3919,B234,'Attendance'!$D$5:$D$3919,"absent")</x:f>
        <x:v>0</x:v>
      </x:c>
      <x:c r="F234" s="5" t="n">
        <x:f>E234/D234</x:f>
        <x:v>0</x:v>
      </x:c>
      <x:c r="G234" s="5" t="n">
        <x:f>IF(F234&gt;Rules!$B$7,1,0)</x:f>
        <x:v>0</x:v>
      </x:c>
    </x:row>
    <x:row r="235" ht="21" customHeight="1">
      <x:c r="A235" s="3" t="str">
        <x:v>2202013</x:v>
      </x:c>
      <x:c r="B235" s="3" t="str">
        <x:v>SEC036</x:v>
      </x:c>
      <x:c r="C235" s="3" t="str">
        <x:v>2024-1</x:v>
      </x:c>
      <x:c r="D235" s="5" t="n">
        <x:f>COUNTIFS('Attendance'!$A$5:$A$3919,A235,'Attendance'!$B$5:$B$3919,B235)</x:f>
        <x:v>15</x:v>
      </x:c>
      <x:c r="E235" s="5" t="n">
        <x:f>COUNTIFS('Attendance'!$A$5:$A$3919,A235,'Attendance'!$B$5:$B$3919,B235,'Attendance'!$D$5:$D$3919,"absent")</x:f>
        <x:v>0</x:v>
      </x:c>
      <x:c r="F235" s="5" t="n">
        <x:f>E235/D235</x:f>
        <x:v>0</x:v>
      </x:c>
      <x:c r="G235" s="5" t="n">
        <x:f>IF(F235&gt;Rules!$B$7,1,0)</x:f>
        <x:v>0</x:v>
      </x:c>
    </x:row>
    <x:row r="236" ht="21" customHeight="1">
      <x:c r="A236" s="3" t="str">
        <x:v>2202014</x:v>
      </x:c>
      <x:c r="B236" s="3" t="str">
        <x:v>SEC036</x:v>
      </x:c>
      <x:c r="C236" s="3" t="str">
        <x:v>2024-1</x:v>
      </x:c>
      <x:c r="D236" s="5" t="n">
        <x:f>COUNTIFS('Attendance'!$A$5:$A$3919,A236,'Attendance'!$B$5:$B$3919,B236)</x:f>
        <x:v>15</x:v>
      </x:c>
      <x:c r="E236" s="5" t="n">
        <x:f>COUNTIFS('Attendance'!$A$5:$A$3919,A236,'Attendance'!$B$5:$B$3919,B236,'Attendance'!$D$5:$D$3919,"absent")</x:f>
        <x:v>1</x:v>
      </x:c>
      <x:c r="F236" s="5" t="n">
        <x:f>E236/D236</x:f>
        <x:v>0.06666666666666667</x:v>
      </x:c>
      <x:c r="G236" s="5" t="n">
        <x:f>IF(F236&gt;Rules!$B$7,1,0)</x:f>
        <x:v>0</x:v>
      </x:c>
    </x:row>
    <x:row r="237" ht="21" customHeight="1">
      <x:c r="A237" s="3" t="str">
        <x:v>2202015</x:v>
      </x:c>
      <x:c r="B237" s="3" t="str">
        <x:v>SEC036</x:v>
      </x:c>
      <x:c r="C237" s="3" t="str">
        <x:v>2024-1</x:v>
      </x:c>
      <x:c r="D237" s="5" t="n">
        <x:f>COUNTIFS('Attendance'!$A$5:$A$3919,A237,'Attendance'!$B$5:$B$3919,B237)</x:f>
        <x:v>15</x:v>
      </x:c>
      <x:c r="E237" s="5" t="n">
        <x:f>COUNTIFS('Attendance'!$A$5:$A$3919,A237,'Attendance'!$B$5:$B$3919,B237,'Attendance'!$D$5:$D$3919,"absent")</x:f>
        <x:v>2</x:v>
      </x:c>
      <x:c r="F237" s="5" t="n">
        <x:f>E237/D237</x:f>
        <x:v>0.13333333333333333</x:v>
      </x:c>
      <x:c r="G237" s="5" t="n">
        <x:f>IF(F237&gt;Rules!$B$7,1,0)</x:f>
        <x:v>0</x:v>
      </x:c>
    </x:row>
    <x:row r="238" ht="21" customHeight="1">
      <x:c r="A238" s="3" t="str">
        <x:v>2202016</x:v>
      </x:c>
      <x:c r="B238" s="3" t="str">
        <x:v>SEC036</x:v>
      </x:c>
      <x:c r="C238" s="3" t="str">
        <x:v>2024-1</x:v>
      </x:c>
      <x:c r="D238" s="5" t="n">
        <x:f>COUNTIFS('Attendance'!$A$5:$A$3919,A238,'Attendance'!$B$5:$B$3919,B238)</x:f>
        <x:v>15</x:v>
      </x:c>
      <x:c r="E238" s="5" t="n">
        <x:f>COUNTIFS('Attendance'!$A$5:$A$3919,A238,'Attendance'!$B$5:$B$3919,B238,'Attendance'!$D$5:$D$3919,"absent")</x:f>
        <x:v>1</x:v>
      </x:c>
      <x:c r="F238" s="5" t="n">
        <x:f>E238/D238</x:f>
        <x:v>0.06666666666666667</x:v>
      </x:c>
      <x:c r="G238" s="5" t="n">
        <x:f>IF(F238&gt;Rules!$B$7,1,0)</x:f>
        <x:v>0</x:v>
      </x:c>
    </x:row>
    <x:row r="239" ht="21" customHeight="1">
      <x:c r="A239" s="3" t="str">
        <x:v>2202017</x:v>
      </x:c>
      <x:c r="B239" s="3" t="str">
        <x:v>SEC036</x:v>
      </x:c>
      <x:c r="C239" s="3" t="str">
        <x:v>2024-1</x:v>
      </x:c>
      <x:c r="D239" s="5" t="n">
        <x:f>COUNTIFS('Attendance'!$A$5:$A$3919,A239,'Attendance'!$B$5:$B$3919,B239)</x:f>
        <x:v>15</x:v>
      </x:c>
      <x:c r="E239" s="5" t="n">
        <x:f>COUNTIFS('Attendance'!$A$5:$A$3919,A239,'Attendance'!$B$5:$B$3919,B239,'Attendance'!$D$5:$D$3919,"absent")</x:f>
        <x:v>1</x:v>
      </x:c>
      <x:c r="F239" s="5" t="n">
        <x:f>E239/D239</x:f>
        <x:v>0.06666666666666667</x:v>
      </x:c>
      <x:c r="G239" s="5" t="n">
        <x:f>IF(F239&gt;Rules!$B$7,1,0)</x:f>
        <x:v>0</x:v>
      </x:c>
    </x:row>
    <x:row r="240" ht="21" customHeight="1">
      <x:c r="A240" s="3" t="str">
        <x:v>2202018</x:v>
      </x:c>
      <x:c r="B240" s="3" t="str">
        <x:v>SEC036</x:v>
      </x:c>
      <x:c r="C240" s="3" t="str">
        <x:v>2024-1</x:v>
      </x:c>
      <x:c r="D240" s="5" t="n">
        <x:f>COUNTIFS('Attendance'!$A$5:$A$3919,A240,'Attendance'!$B$5:$B$3919,B240)</x:f>
        <x:v>15</x:v>
      </x:c>
      <x:c r="E240" s="5" t="n">
        <x:f>COUNTIFS('Attendance'!$A$5:$A$3919,A240,'Attendance'!$B$5:$B$3919,B240,'Attendance'!$D$5:$D$3919,"absent")</x:f>
        <x:v>1</x:v>
      </x:c>
      <x:c r="F240" s="5" t="n">
        <x:f>E240/D240</x:f>
        <x:v>0.06666666666666667</x:v>
      </x:c>
      <x:c r="G240" s="5" t="n">
        <x:f>IF(F240&gt;Rules!$B$7,1,0)</x:f>
        <x:v>0</x:v>
      </x:c>
    </x:row>
    <x:row r="241" ht="21" customHeight="1">
      <x:c r="A241" s="3" t="str">
        <x:v>2202019</x:v>
      </x:c>
      <x:c r="B241" s="3" t="str">
        <x:v>SEC036</x:v>
      </x:c>
      <x:c r="C241" s="3" t="str">
        <x:v>2024-1</x:v>
      </x:c>
      <x:c r="D241" s="5" t="n">
        <x:f>COUNTIFS('Attendance'!$A$5:$A$3919,A241,'Attendance'!$B$5:$B$3919,B241)</x:f>
        <x:v>15</x:v>
      </x:c>
      <x:c r="E241" s="5" t="n">
        <x:f>COUNTIFS('Attendance'!$A$5:$A$3919,A241,'Attendance'!$B$5:$B$3919,B241,'Attendance'!$D$5:$D$3919,"absent")</x:f>
        <x:v>2</x:v>
      </x:c>
      <x:c r="F241" s="5" t="n">
        <x:f>E241/D241</x:f>
        <x:v>0.13333333333333333</x:v>
      </x:c>
      <x:c r="G241" s="5" t="n">
        <x:f>IF(F241&gt;Rules!$B$7,1,0)</x:f>
        <x:v>0</x:v>
      </x:c>
    </x:row>
    <x:row r="242" ht="21" customHeight="1">
      <x:c r="A242" s="3" t="str">
        <x:v>2202020</x:v>
      </x:c>
      <x:c r="B242" s="3" t="str">
        <x:v>SEC036</x:v>
      </x:c>
      <x:c r="C242" s="3" t="str">
        <x:v>2024-1</x:v>
      </x:c>
      <x:c r="D242" s="5" t="n">
        <x:f>COUNTIFS('Attendance'!$A$5:$A$3919,A242,'Attendance'!$B$5:$B$3919,B242)</x:f>
        <x:v>15</x:v>
      </x:c>
      <x:c r="E242" s="5" t="n">
        <x:f>COUNTIFS('Attendance'!$A$5:$A$3919,A242,'Attendance'!$B$5:$B$3919,B242,'Attendance'!$D$5:$D$3919,"absent")</x:f>
        <x:v>4</x:v>
      </x:c>
      <x:c r="F242" s="5" t="n">
        <x:f>E242/D242</x:f>
        <x:v>0.26666666666666666</x:v>
      </x:c>
      <x:c r="G242" s="5" t="n">
        <x:f>IF(F242&gt;Rules!$B$7,1,0)</x:f>
        <x:v>1</x:v>
      </x:c>
    </x:row>
    <x:row r="243" ht="21" customHeight="1">
      <x:c r="A243" s="3" t="str">
        <x:v>2201001</x:v>
      </x:c>
      <x:c r="B243" s="3" t="str">
        <x:v>SEC037</x:v>
      </x:c>
      <x:c r="C243" s="3" t="str">
        <x:v>2024-1</x:v>
      </x:c>
      <x:c r="D243" s="5" t="n">
        <x:f>COUNTIFS('Attendance'!$A$5:$A$3919,A243,'Attendance'!$B$5:$B$3919,B243)</x:f>
        <x:v>15</x:v>
      </x:c>
      <x:c r="E243" s="5" t="n">
        <x:f>COUNTIFS('Attendance'!$A$5:$A$3919,A243,'Attendance'!$B$5:$B$3919,B243,'Attendance'!$D$5:$D$3919,"absent")</x:f>
        <x:v>2</x:v>
      </x:c>
      <x:c r="F243" s="5" t="n">
        <x:f>E243/D243</x:f>
        <x:v>0.13333333333333333</x:v>
      </x:c>
      <x:c r="G243" s="5" t="n">
        <x:f>IF(F243&gt;Rules!$B$7,1,0)</x:f>
        <x:v>0</x:v>
      </x:c>
    </x:row>
    <x:row r="244" ht="21" customHeight="1">
      <x:c r="A244" s="3" t="str">
        <x:v>2201002</x:v>
      </x:c>
      <x:c r="B244" s="3" t="str">
        <x:v>SEC037</x:v>
      </x:c>
      <x:c r="C244" s="3" t="str">
        <x:v>2024-1</x:v>
      </x:c>
      <x:c r="D244" s="5" t="n">
        <x:f>COUNTIFS('Attendance'!$A$5:$A$3919,A244,'Attendance'!$B$5:$B$3919,B244)</x:f>
        <x:v>15</x:v>
      </x:c>
      <x:c r="E244" s="5" t="n">
        <x:f>COUNTIFS('Attendance'!$A$5:$A$3919,A244,'Attendance'!$B$5:$B$3919,B244,'Attendance'!$D$5:$D$3919,"absent")</x:f>
        <x:v>2</x:v>
      </x:c>
      <x:c r="F244" s="5" t="n">
        <x:f>E244/D244</x:f>
        <x:v>0.13333333333333333</x:v>
      </x:c>
      <x:c r="G244" s="5" t="n">
        <x:f>IF(F244&gt;Rules!$B$7,1,0)</x:f>
        <x:v>0</x:v>
      </x:c>
    </x:row>
    <x:row r="245" ht="21" customHeight="1">
      <x:c r="A245" s="3" t="str">
        <x:v>2201003</x:v>
      </x:c>
      <x:c r="B245" s="3" t="str">
        <x:v>SEC037</x:v>
      </x:c>
      <x:c r="C245" s="3" t="str">
        <x:v>2024-1</x:v>
      </x:c>
      <x:c r="D245" s="5" t="n">
        <x:f>COUNTIFS('Attendance'!$A$5:$A$3919,A245,'Attendance'!$B$5:$B$3919,B245)</x:f>
        <x:v>15</x:v>
      </x:c>
      <x:c r="E245" s="5" t="n">
        <x:f>COUNTIFS('Attendance'!$A$5:$A$3919,A245,'Attendance'!$B$5:$B$3919,B245,'Attendance'!$D$5:$D$3919,"absent")</x:f>
        <x:v>1</x:v>
      </x:c>
      <x:c r="F245" s="5" t="n">
        <x:f>E245/D245</x:f>
        <x:v>0.06666666666666667</x:v>
      </x:c>
      <x:c r="G245" s="5" t="n">
        <x:f>IF(F245&gt;Rules!$B$7,1,0)</x:f>
        <x:v>0</x:v>
      </x:c>
    </x:row>
    <x:row r="246" ht="21" customHeight="1">
      <x:c r="A246" s="3" t="str">
        <x:v>2201004</x:v>
      </x:c>
      <x:c r="B246" s="3" t="str">
        <x:v>SEC037</x:v>
      </x:c>
      <x:c r="C246" s="3" t="str">
        <x:v>2024-1</x:v>
      </x:c>
      <x:c r="D246" s="5" t="n">
        <x:f>COUNTIFS('Attendance'!$A$5:$A$3919,A246,'Attendance'!$B$5:$B$3919,B246)</x:f>
        <x:v>15</x:v>
      </x:c>
      <x:c r="E246" s="5" t="n">
        <x:f>COUNTIFS('Attendance'!$A$5:$A$3919,A246,'Attendance'!$B$5:$B$3919,B246,'Attendance'!$D$5:$D$3919,"absent")</x:f>
        <x:v>0</x:v>
      </x:c>
      <x:c r="F246" s="5" t="n">
        <x:f>E246/D246</x:f>
        <x:v>0</x:v>
      </x:c>
      <x:c r="G246" s="5" t="n">
        <x:f>IF(F246&gt;Rules!$B$7,1,0)</x:f>
        <x:v>0</x:v>
      </x:c>
    </x:row>
    <x:row r="247" ht="21" customHeight="1">
      <x:c r="A247" s="3" t="str">
        <x:v>2201005</x:v>
      </x:c>
      <x:c r="B247" s="3" t="str">
        <x:v>SEC037</x:v>
      </x:c>
      <x:c r="C247" s="3" t="str">
        <x:v>2024-1</x:v>
      </x:c>
      <x:c r="D247" s="5" t="n">
        <x:f>COUNTIFS('Attendance'!$A$5:$A$3919,A247,'Attendance'!$B$5:$B$3919,B247)</x:f>
        <x:v>15</x:v>
      </x:c>
      <x:c r="E247" s="5" t="n">
        <x:f>COUNTIFS('Attendance'!$A$5:$A$3919,A247,'Attendance'!$B$5:$B$3919,B247,'Attendance'!$D$5:$D$3919,"absent")</x:f>
        <x:v>5</x:v>
      </x:c>
      <x:c r="F247" s="5" t="n">
        <x:f>E247/D247</x:f>
        <x:v>0.3333333333333333</x:v>
      </x:c>
      <x:c r="G247" s="5" t="n">
        <x:f>IF(F247&gt;Rules!$B$7,1,0)</x:f>
        <x:v>1</x:v>
      </x:c>
    </x:row>
    <x:row r="248" ht="21" customHeight="1">
      <x:c r="A248" s="3" t="str">
        <x:v>2201006</x:v>
      </x:c>
      <x:c r="B248" s="3" t="str">
        <x:v>SEC037</x:v>
      </x:c>
      <x:c r="C248" s="3" t="str">
        <x:v>2024-1</x:v>
      </x:c>
      <x:c r="D248" s="5" t="n">
        <x:f>COUNTIFS('Attendance'!$A$5:$A$3919,A248,'Attendance'!$B$5:$B$3919,B248)</x:f>
        <x:v>15</x:v>
      </x:c>
      <x:c r="E248" s="5" t="n">
        <x:f>COUNTIFS('Attendance'!$A$5:$A$3919,A248,'Attendance'!$B$5:$B$3919,B248,'Attendance'!$D$5:$D$3919,"absent")</x:f>
        <x:v>0</x:v>
      </x:c>
      <x:c r="F248" s="5" t="n">
        <x:f>E248/D248</x:f>
        <x:v>0</x:v>
      </x:c>
      <x:c r="G248" s="5" t="n">
        <x:f>IF(F248&gt;Rules!$B$7,1,0)</x:f>
        <x:v>0</x:v>
      </x:c>
    </x:row>
    <x:row r="249" ht="21" customHeight="1">
      <x:c r="A249" s="3" t="str">
        <x:v>2201007</x:v>
      </x:c>
      <x:c r="B249" s="3" t="str">
        <x:v>SEC037</x:v>
      </x:c>
      <x:c r="C249" s="3" t="str">
        <x:v>2024-1</x:v>
      </x:c>
      <x:c r="D249" s="5" t="n">
        <x:f>COUNTIFS('Attendance'!$A$5:$A$3919,A249,'Attendance'!$B$5:$B$3919,B249)</x:f>
        <x:v>15</x:v>
      </x:c>
      <x:c r="E249" s="5" t="n">
        <x:f>COUNTIFS('Attendance'!$A$5:$A$3919,A249,'Attendance'!$B$5:$B$3919,B249,'Attendance'!$D$5:$D$3919,"absent")</x:f>
        <x:v>1</x:v>
      </x:c>
      <x:c r="F249" s="5" t="n">
        <x:f>E249/D249</x:f>
        <x:v>0.06666666666666667</x:v>
      </x:c>
      <x:c r="G249" s="5" t="n">
        <x:f>IF(F249&gt;Rules!$B$7,1,0)</x:f>
        <x:v>0</x:v>
      </x:c>
    </x:row>
    <x:row r="250" ht="21" customHeight="1">
      <x:c r="A250" s="3" t="str">
        <x:v>2201008</x:v>
      </x:c>
      <x:c r="B250" s="3" t="str">
        <x:v>SEC037</x:v>
      </x:c>
      <x:c r="C250" s="3" t="str">
        <x:v>2024-1</x:v>
      </x:c>
      <x:c r="D250" s="5" t="n">
        <x:f>COUNTIFS('Attendance'!$A$5:$A$3919,A250,'Attendance'!$B$5:$B$3919,B250)</x:f>
        <x:v>15</x:v>
      </x:c>
      <x:c r="E250" s="5" t="n">
        <x:f>COUNTIFS('Attendance'!$A$5:$A$3919,A250,'Attendance'!$B$5:$B$3919,B250,'Attendance'!$D$5:$D$3919,"absent")</x:f>
        <x:v>1</x:v>
      </x:c>
      <x:c r="F250" s="5" t="n">
        <x:f>E250/D250</x:f>
        <x:v>0.06666666666666667</x:v>
      </x:c>
      <x:c r="G250" s="5" t="n">
        <x:f>IF(F250&gt;Rules!$B$7,1,0)</x:f>
        <x:v>0</x:v>
      </x:c>
    </x:row>
    <x:row r="251" ht="21" customHeight="1">
      <x:c r="A251" s="3" t="str">
        <x:v>2201009</x:v>
      </x:c>
      <x:c r="B251" s="3" t="str">
        <x:v>SEC037</x:v>
      </x:c>
      <x:c r="C251" s="3" t="str">
        <x:v>2024-1</x:v>
      </x:c>
      <x:c r="D251" s="5" t="n">
        <x:f>COUNTIFS('Attendance'!$A$5:$A$3919,A251,'Attendance'!$B$5:$B$3919,B251)</x:f>
        <x:v>15</x:v>
      </x:c>
      <x:c r="E251" s="5" t="n">
        <x:f>COUNTIFS('Attendance'!$A$5:$A$3919,A251,'Attendance'!$B$5:$B$3919,B251,'Attendance'!$D$5:$D$3919,"absent")</x:f>
        <x:v>0</x:v>
      </x:c>
      <x:c r="F251" s="5" t="n">
        <x:f>E251/D251</x:f>
        <x:v>0</x:v>
      </x:c>
      <x:c r="G251" s="5" t="n">
        <x:f>IF(F251&gt;Rules!$B$7,1,0)</x:f>
        <x:v>0</x:v>
      </x:c>
    </x:row>
    <x:row r="252" ht="21" customHeight="1">
      <x:c r="A252" s="3" t="str">
        <x:v>2201010</x:v>
      </x:c>
      <x:c r="B252" s="3" t="str">
        <x:v>SEC037</x:v>
      </x:c>
      <x:c r="C252" s="3" t="str">
        <x:v>2024-1</x:v>
      </x:c>
      <x:c r="D252" s="5" t="n">
        <x:f>COUNTIFS('Attendance'!$A$5:$A$3919,A252,'Attendance'!$B$5:$B$3919,B252)</x:f>
        <x:v>15</x:v>
      </x:c>
      <x:c r="E252" s="5" t="n">
        <x:f>COUNTIFS('Attendance'!$A$5:$A$3919,A252,'Attendance'!$B$5:$B$3919,B252,'Attendance'!$D$5:$D$3919,"absent")</x:f>
        <x:v>2</x:v>
      </x:c>
      <x:c r="F252" s="5" t="n">
        <x:f>E252/D252</x:f>
        <x:v>0.13333333333333333</x:v>
      </x:c>
      <x:c r="G252" s="5" t="n">
        <x:f>IF(F252&gt;Rules!$B$7,1,0)</x:f>
        <x:v>0</x:v>
      </x:c>
    </x:row>
    <x:row r="253" ht="21" customHeight="1">
      <x:c r="A253" s="3" t="str">
        <x:v>2201011</x:v>
      </x:c>
      <x:c r="B253" s="3" t="str">
        <x:v>SEC038</x:v>
      </x:c>
      <x:c r="C253" s="3" t="str">
        <x:v>2024-1</x:v>
      </x:c>
      <x:c r="D253" s="5" t="n">
        <x:f>COUNTIFS('Attendance'!$A$5:$A$3919,A253,'Attendance'!$B$5:$B$3919,B253)</x:f>
        <x:v>15</x:v>
      </x:c>
      <x:c r="E253" s="5" t="n">
        <x:f>COUNTIFS('Attendance'!$A$5:$A$3919,A253,'Attendance'!$B$5:$B$3919,B253,'Attendance'!$D$5:$D$3919,"absent")</x:f>
        <x:v>0</x:v>
      </x:c>
      <x:c r="F253" s="5" t="n">
        <x:f>E253/D253</x:f>
        <x:v>0</x:v>
      </x:c>
      <x:c r="G253" s="5" t="n">
        <x:f>IF(F253&gt;Rules!$B$7,1,0)</x:f>
        <x:v>0</x:v>
      </x:c>
    </x:row>
    <x:row r="254" ht="21" customHeight="1">
      <x:c r="A254" s="3" t="str">
        <x:v>2201012</x:v>
      </x:c>
      <x:c r="B254" s="3" t="str">
        <x:v>SEC038</x:v>
      </x:c>
      <x:c r="C254" s="3" t="str">
        <x:v>2024-1</x:v>
      </x:c>
      <x:c r="D254" s="5" t="n">
        <x:f>COUNTIFS('Attendance'!$A$5:$A$3919,A254,'Attendance'!$B$5:$B$3919,B254)</x:f>
        <x:v>15</x:v>
      </x:c>
      <x:c r="E254" s="5" t="n">
        <x:f>COUNTIFS('Attendance'!$A$5:$A$3919,A254,'Attendance'!$B$5:$B$3919,B254,'Attendance'!$D$5:$D$3919,"absent")</x:f>
        <x:v>0</x:v>
      </x:c>
      <x:c r="F254" s="5" t="n">
        <x:f>E254/D254</x:f>
        <x:v>0</x:v>
      </x:c>
      <x:c r="G254" s="5" t="n">
        <x:f>IF(F254&gt;Rules!$B$7,1,0)</x:f>
        <x:v>0</x:v>
      </x:c>
    </x:row>
    <x:row r="255" ht="21" customHeight="1">
      <x:c r="A255" s="3" t="str">
        <x:v>2201013</x:v>
      </x:c>
      <x:c r="B255" s="3" t="str">
        <x:v>SEC038</x:v>
      </x:c>
      <x:c r="C255" s="3" t="str">
        <x:v>2024-1</x:v>
      </x:c>
      <x:c r="D255" s="5" t="n">
        <x:f>COUNTIFS('Attendance'!$A$5:$A$3919,A255,'Attendance'!$B$5:$B$3919,B255)</x:f>
        <x:v>15</x:v>
      </x:c>
      <x:c r="E255" s="5" t="n">
        <x:f>COUNTIFS('Attendance'!$A$5:$A$3919,A255,'Attendance'!$B$5:$B$3919,B255,'Attendance'!$D$5:$D$3919,"absent")</x:f>
        <x:v>1</x:v>
      </x:c>
      <x:c r="F255" s="5" t="n">
        <x:f>E255/D255</x:f>
        <x:v>0.06666666666666667</x:v>
      </x:c>
      <x:c r="G255" s="5" t="n">
        <x:f>IF(F255&gt;Rules!$B$7,1,0)</x:f>
        <x:v>0</x:v>
      </x:c>
    </x:row>
    <x:row r="256" ht="21" customHeight="1">
      <x:c r="A256" s="3" t="str">
        <x:v>2201014</x:v>
      </x:c>
      <x:c r="B256" s="3" t="str">
        <x:v>SEC038</x:v>
      </x:c>
      <x:c r="C256" s="3" t="str">
        <x:v>2024-1</x:v>
      </x:c>
      <x:c r="D256" s="5" t="n">
        <x:f>COUNTIFS('Attendance'!$A$5:$A$3919,A256,'Attendance'!$B$5:$B$3919,B256)</x:f>
        <x:v>15</x:v>
      </x:c>
      <x:c r="E256" s="5" t="n">
        <x:f>COUNTIFS('Attendance'!$A$5:$A$3919,A256,'Attendance'!$B$5:$B$3919,B256,'Attendance'!$D$5:$D$3919,"absent")</x:f>
        <x:v>1</x:v>
      </x:c>
      <x:c r="F256" s="5" t="n">
        <x:f>E256/D256</x:f>
        <x:v>0.06666666666666667</x:v>
      </x:c>
      <x:c r="G256" s="5" t="n">
        <x:f>IF(F256&gt;Rules!$B$7,1,0)</x:f>
        <x:v>0</x:v>
      </x:c>
    </x:row>
    <x:row r="257" ht="21" customHeight="1">
      <x:c r="A257" s="3" t="str">
        <x:v>2201015</x:v>
      </x:c>
      <x:c r="B257" s="3" t="str">
        <x:v>SEC038</x:v>
      </x:c>
      <x:c r="C257" s="3" t="str">
        <x:v>2024-1</x:v>
      </x:c>
      <x:c r="D257" s="5" t="n">
        <x:f>COUNTIFS('Attendance'!$A$5:$A$3919,A257,'Attendance'!$B$5:$B$3919,B257)</x:f>
        <x:v>15</x:v>
      </x:c>
      <x:c r="E257" s="5" t="n">
        <x:f>COUNTIFS('Attendance'!$A$5:$A$3919,A257,'Attendance'!$B$5:$B$3919,B257,'Attendance'!$D$5:$D$3919,"absent")</x:f>
        <x:v>4</x:v>
      </x:c>
      <x:c r="F257" s="5" t="n">
        <x:f>E257/D257</x:f>
        <x:v>0.26666666666666666</x:v>
      </x:c>
      <x:c r="G257" s="5" t="n">
        <x:f>IF(F257&gt;Rules!$B$7,1,0)</x:f>
        <x:v>1</x:v>
      </x:c>
    </x:row>
    <x:row r="258" ht="21" customHeight="1">
      <x:c r="A258" s="3" t="str">
        <x:v>2201016</x:v>
      </x:c>
      <x:c r="B258" s="3" t="str">
        <x:v>SEC038</x:v>
      </x:c>
      <x:c r="C258" s="3" t="str">
        <x:v>2024-1</x:v>
      </x:c>
      <x:c r="D258" s="5" t="n">
        <x:f>COUNTIFS('Attendance'!$A$5:$A$3919,A258,'Attendance'!$B$5:$B$3919,B258)</x:f>
        <x:v>15</x:v>
      </x:c>
      <x:c r="E258" s="5" t="n">
        <x:f>COUNTIFS('Attendance'!$A$5:$A$3919,A258,'Attendance'!$B$5:$B$3919,B258,'Attendance'!$D$5:$D$3919,"absent")</x:f>
        <x:v>0</x:v>
      </x:c>
      <x:c r="F258" s="5" t="n">
        <x:f>E258/D258</x:f>
        <x:v>0</x:v>
      </x:c>
      <x:c r="G258" s="5" t="n">
        <x:f>IF(F258&gt;Rules!$B$7,1,0)</x:f>
        <x:v>0</x:v>
      </x:c>
    </x:row>
    <x:row r="259" ht="21" customHeight="1">
      <x:c r="A259" s="3" t="str">
        <x:v>2201017</x:v>
      </x:c>
      <x:c r="B259" s="3" t="str">
        <x:v>SEC038</x:v>
      </x:c>
      <x:c r="C259" s="3" t="str">
        <x:v>2024-1</x:v>
      </x:c>
      <x:c r="D259" s="5" t="n">
        <x:f>COUNTIFS('Attendance'!$A$5:$A$3919,A259,'Attendance'!$B$5:$B$3919,B259)</x:f>
        <x:v>15</x:v>
      </x:c>
      <x:c r="E259" s="5" t="n">
        <x:f>COUNTIFS('Attendance'!$A$5:$A$3919,A259,'Attendance'!$B$5:$B$3919,B259,'Attendance'!$D$5:$D$3919,"absent")</x:f>
        <x:v>0</x:v>
      </x:c>
      <x:c r="F259" s="5" t="n">
        <x:f>E259/D259</x:f>
        <x:v>0</x:v>
      </x:c>
      <x:c r="G259" s="5" t="n">
        <x:f>IF(F259&gt;Rules!$B$7,1,0)</x:f>
        <x:v>0</x:v>
      </x:c>
    </x:row>
    <x:row r="260" ht="21" customHeight="1">
      <x:c r="A260" s="3" t="str">
        <x:v>2201018</x:v>
      </x:c>
      <x:c r="B260" s="3" t="str">
        <x:v>SEC038</x:v>
      </x:c>
      <x:c r="C260" s="3" t="str">
        <x:v>2024-1</x:v>
      </x:c>
      <x:c r="D260" s="5" t="n">
        <x:f>COUNTIFS('Attendance'!$A$5:$A$3919,A260,'Attendance'!$B$5:$B$3919,B260)</x:f>
        <x:v>15</x:v>
      </x:c>
      <x:c r="E260" s="5" t="n">
        <x:f>COUNTIFS('Attendance'!$A$5:$A$3919,A260,'Attendance'!$B$5:$B$3919,B260,'Attendance'!$D$5:$D$3919,"absent")</x:f>
        <x:v>2</x:v>
      </x:c>
      <x:c r="F260" s="5" t="n">
        <x:f>E260/D260</x:f>
        <x:v>0.13333333333333333</x:v>
      </x:c>
      <x:c r="G260" s="5" t="n">
        <x:f>IF(F260&gt;Rules!$B$7,1,0)</x:f>
        <x:v>0</x:v>
      </x:c>
    </x:row>
    <x:row r="261" ht="21" customHeight="1">
      <x:c r="A261" s="3" t="str">
        <x:v>2201019</x:v>
      </x:c>
      <x:c r="B261" s="3" t="str">
        <x:v>SEC038</x:v>
      </x:c>
      <x:c r="C261" s="3" t="str">
        <x:v>2024-1</x:v>
      </x:c>
      <x:c r="D261" s="5" t="n">
        <x:f>COUNTIFS('Attendance'!$A$5:$A$3919,A261,'Attendance'!$B$5:$B$3919,B261)</x:f>
        <x:v>15</x:v>
      </x:c>
      <x:c r="E261" s="5" t="n">
        <x:f>COUNTIFS('Attendance'!$A$5:$A$3919,A261,'Attendance'!$B$5:$B$3919,B261,'Attendance'!$D$5:$D$3919,"absent")</x:f>
        <x:v>0</x:v>
      </x:c>
      <x:c r="F261" s="5" t="n">
        <x:f>E261/D261</x:f>
        <x:v>0</x:v>
      </x:c>
      <x:c r="G261" s="5" t="n">
        <x:f>IF(F261&gt;Rules!$B$7,1,0)</x:f>
        <x:v>0</x:v>
      </x:c>
    </x:row>
    <x:row r="262" ht="21" customHeight="1">
      <x:c r="A262" s="3" t="str">
        <x:v>2201020</x:v>
      </x:c>
      <x:c r="B262" s="3" t="str">
        <x:v>SEC038</x:v>
      </x:c>
      <x:c r="C262" s="3" t="str">
        <x:v>2024-1</x:v>
      </x:c>
      <x:c r="D262" s="5" t="n">
        <x:f>COUNTIFS('Attendance'!$A$5:$A$3919,A262,'Attendance'!$B$5:$B$3919,B262)</x:f>
        <x:v>15</x:v>
      </x:c>
      <x:c r="E262" s="5" t="n">
        <x:f>COUNTIFS('Attendance'!$A$5:$A$3919,A262,'Attendance'!$B$5:$B$3919,B262,'Attendance'!$D$5:$D$3919,"absent")</x:f>
        <x:v>5</x:v>
      </x:c>
      <x:c r="F262" s="5" t="n">
        <x:f>E262/D262</x:f>
        <x:v>0.3333333333333333</x:v>
      </x:c>
      <x:c r="G262" s="5" t="n">
        <x:f>IF(F262&gt;Rules!$B$7,1,0)</x:f>
        <x:v>1</x:v>
      </x:c>
    </x:row>
    <x:row r="263" ht="21" customHeight="1">
      <x:c r="A263" s="3" t="str">
        <x:v>2202010</x:v>
      </x:c>
      <x:c r="B263" s="3" t="str">
        <x:v>SEC039</x:v>
      </x:c>
      <x:c r="C263" s="3" t="str">
        <x:v>2025-1</x:v>
      </x:c>
      <x:c r="D263" s="5" t="n">
        <x:f>COUNTIFS('Attendance'!$A$5:$A$3919,A263,'Attendance'!$B$5:$B$3919,B263)</x:f>
        <x:v>15</x:v>
      </x:c>
      <x:c r="E263" s="5" t="n">
        <x:f>COUNTIFS('Attendance'!$A$5:$A$3919,A263,'Attendance'!$B$5:$B$3919,B263,'Attendance'!$D$5:$D$3919,"absent")</x:f>
        <x:v>2</x:v>
      </x:c>
      <x:c r="F263" s="5" t="n">
        <x:f>E263/D263</x:f>
        <x:v>0.13333333333333333</x:v>
      </x:c>
      <x:c r="G263" s="5" t="n">
        <x:f>IF(F263&gt;Rules!$B$7,1,0)</x:f>
        <x:v>0</x:v>
      </x:c>
    </x:row>
    <x:row r="264" ht="21" customHeight="1">
      <x:c r="A264" s="3" t="str">
        <x:v>2202020</x:v>
      </x:c>
      <x:c r="B264" s="3" t="str">
        <x:v>SEC040</x:v>
      </x:c>
      <x:c r="C264" s="3" t="str">
        <x:v>2025-1</x:v>
      </x:c>
      <x:c r="D264" s="5" t="n">
        <x:f>COUNTIFS('Attendance'!$A$5:$A$3919,A264,'Attendance'!$B$5:$B$3919,B264)</x:f>
        <x:v>15</x:v>
      </x:c>
      <x:c r="E264" s="5" t="n">
        <x:f>COUNTIFS('Attendance'!$A$5:$A$3919,A264,'Attendance'!$B$5:$B$3919,B264,'Attendance'!$D$5:$D$3919,"absent")</x:f>
        <x:v>6</x:v>
      </x:c>
      <x:c r="F264" s="5" t="n">
        <x:f>E264/D264</x:f>
        <x:v>0.4</x:v>
      </x:c>
      <x:c r="G264" s="5" t="n">
        <x:f>IF(F264&gt;Rules!$B$7,1,0)</x:f>
        <x:v>1</x:v>
      </x:c>
    </x:row>
    <x:row r="265" ht="21" customHeight="1">
      <x:c r="A265" s="3" t="str">
        <x:v>2201010</x:v>
      </x:c>
      <x:c r="B265" s="3" t="str">
        <x:v>SEC041</x:v>
      </x:c>
      <x:c r="C265" s="3" t="str">
        <x:v>2025-1</x:v>
      </x:c>
      <x:c r="D265" s="5" t="n">
        <x:f>COUNTIFS('Attendance'!$A$5:$A$3919,A265,'Attendance'!$B$5:$B$3919,B265)</x:f>
        <x:v>15</x:v>
      </x:c>
      <x:c r="E265" s="5" t="n">
        <x:f>COUNTIFS('Attendance'!$A$5:$A$3919,A265,'Attendance'!$B$5:$B$3919,B265,'Attendance'!$D$5:$D$3919,"absent")</x:f>
        <x:v>5</x:v>
      </x:c>
      <x:c r="F265" s="5" t="n">
        <x:f>E265/D265</x:f>
        <x:v>0.3333333333333333</x:v>
      </x:c>
      <x:c r="G265" s="5" t="n">
        <x:f>IF(F265&gt;Rules!$B$7,1,0)</x:f>
        <x:v>1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1" t="str">
        <x:v>Risk</x:v>
      </x:c>
    </x:row>
    <x:row r="2">
      <x:c r="A2" t="str">
        <x:v>Independent calculation from the cited CSV inputs</x:v>
      </x:c>
    </x:row>
    <x:row r="3">
      <x:c r="A3" t="str">
        <x:v>CSV values start on row 5. Blue inputs, black calculations. Sources and hashes: reference-manifest.json.</x:v>
      </x:c>
    </x:row>
    <x:row r="4" ht="21" customHeight="1">
      <x:c r="A4" s="7" t="str">
        <x:v>student_id</x:v>
      </x:c>
      <x:c r="B4" s="7" t="str">
        <x:v>class_id</x:v>
      </x:c>
      <x:c r="C4" s="7" t="str">
        <x:v>faculty</x:v>
      </x:c>
      <x:c r="D4" s="7" t="str">
        <x:v>semester</x:v>
      </x:c>
      <x:c r="E4" s="7" t="str">
        <x:v>gpa</x:v>
      </x:c>
      <x:c r="F4" s="7" t="str">
        <x:v>banned_sections</x:v>
      </x:c>
      <x:c r="G4" s="7" t="str">
        <x:v>conduct</x:v>
      </x:c>
      <x:c r="H4" s="7" t="str">
        <x:v>at_risk</x:v>
      </x:c>
    </x:row>
    <x:row r="5" ht="21" customHeight="1">
      <x:c r="A5" s="3" t="str">
        <x:v>2201001</x:v>
      </x:c>
      <x:c r="B5" s="3" t="str">
        <x:v>IT01</x:v>
      </x:c>
      <x:c r="C5" s="3" t="str">
        <x:v>Information Technology</x:v>
      </x:c>
      <x:c r="D5" s="3" t="str">
        <x:v>2024-1</x:v>
      </x:c>
      <x:c r="E5" s="5" t="n">
        <x:f>ROUND(SUMIFS('Grades'!$L$5:$L$271,'Grades'!$A$5:$A$271,A5,'Grades'!$C$5:$C$271,D5,'Grades'!$F$5:$F$271,1)/SUMIFS('Grades'!$K$5:$K$271,'Grades'!$A$5:$A$271,A5,'Grades'!$C$5:$C$271,D5,'Grades'!$F$5:$F$271,1),2)</x:f>
        <x:v>3.25</x:v>
      </x:c>
      <x:c r="F5" s="5" t="n">
        <x:f>COUNTIFS('AttendanceGroups'!$A$5:$A$265,A5,'AttendanceGroups'!$C$5:$C$265,D5,'AttendanceGroups'!$G$5:$G$265,1)</x:f>
        <x:v>0</x:v>
      </x:c>
      <x:c r="G5" s="5" t="n">
        <x:f>AVERAGEIFS('Conduct'!$C$5:$C$124,'Conduct'!$A$5:$A$124,A5,'Conduct'!$B$5:$B$124,D5)</x:f>
        <x:v>92</x:v>
      </x:c>
      <x:c r="H5" s="5" t="n">
        <x:f>IF(OR(E5&lt;Rules!$B$8,F5&gt;0,G5&lt;Rules!$B$9),1,0)</x:f>
        <x:v>0</x:v>
      </x:c>
    </x:row>
    <x:row r="6" ht="21" customHeight="1">
      <x:c r="A6" s="3" t="str">
        <x:v>2201002</x:v>
      </x:c>
      <x:c r="B6" s="3" t="str">
        <x:v>IT01</x:v>
      </x:c>
      <x:c r="C6" s="3" t="str">
        <x:v>Information Technology</x:v>
      </x:c>
      <x:c r="D6" s="3" t="str">
        <x:v>2024-1</x:v>
      </x:c>
      <x:c r="E6" s="5" t="n">
        <x:f>ROUND(SUMIFS('Grades'!$L$5:$L$271,'Grades'!$A$5:$A$271,A6,'Grades'!$C$5:$C$271,D6,'Grades'!$F$5:$F$271,1)/SUMIFS('Grades'!$K$5:$K$271,'Grades'!$A$5:$A$271,A6,'Grades'!$C$5:$C$271,D6,'Grades'!$F$5:$F$271,1),2)</x:f>
        <x:v>3</x:v>
      </x:c>
      <x:c r="F6" s="5" t="n">
        <x:f>COUNTIFS('AttendanceGroups'!$A$5:$A$265,A6,'AttendanceGroups'!$C$5:$C$265,D6,'AttendanceGroups'!$G$5:$G$265,1)</x:f>
        <x:v>0</x:v>
      </x:c>
      <x:c r="G6" s="5" t="n">
        <x:f>AVERAGEIFS('Conduct'!$C$5:$C$124,'Conduct'!$A$5:$A$124,A6,'Conduct'!$B$5:$B$124,D6)</x:f>
        <x:v>79</x:v>
      </x:c>
      <x:c r="H6" s="5" t="n">
        <x:f>IF(OR(E6&lt;Rules!$B$8,F6&gt;0,G6&lt;Rules!$B$9),1,0)</x:f>
        <x:v>0</x:v>
      </x:c>
    </x:row>
    <x:row r="7" ht="21" customHeight="1">
      <x:c r="A7" s="3" t="str">
        <x:v>2201003</x:v>
      </x:c>
      <x:c r="B7" s="3" t="str">
        <x:v>IT01</x:v>
      </x:c>
      <x:c r="C7" s="3" t="str">
        <x:v>Information Technology</x:v>
      </x:c>
      <x:c r="D7" s="3" t="str">
        <x:v>2024-1</x:v>
      </x:c>
      <x:c r="E7" s="5" t="n">
        <x:f>ROUND(SUMIFS('Grades'!$L$5:$L$271,'Grades'!$A$5:$A$271,A7,'Grades'!$C$5:$C$271,D7,'Grades'!$F$5:$F$271,1)/SUMIFS('Grades'!$K$5:$K$271,'Grades'!$A$5:$A$271,A7,'Grades'!$C$5:$C$271,D7,'Grades'!$F$5:$F$271,1),2)</x:f>
        <x:v>4</x:v>
      </x:c>
      <x:c r="F7" s="5" t="n">
        <x:f>COUNTIFS('AttendanceGroups'!$A$5:$A$265,A7,'AttendanceGroups'!$C$5:$C$265,D7,'AttendanceGroups'!$G$5:$G$265,1)</x:f>
        <x:v>0</x:v>
      </x:c>
      <x:c r="G7" s="5" t="n">
        <x:f>AVERAGEIFS('Conduct'!$C$5:$C$124,'Conduct'!$A$5:$A$124,A7,'Conduct'!$B$5:$B$124,D7)</x:f>
        <x:v>70</x:v>
      </x:c>
      <x:c r="H7" s="5" t="n">
        <x:f>IF(OR(E7&lt;Rules!$B$8,F7&gt;0,G7&lt;Rules!$B$9),1,0)</x:f>
        <x:v>0</x:v>
      </x:c>
    </x:row>
    <x:row r="8" ht="21" customHeight="1">
      <x:c r="A8" s="3" t="str">
        <x:v>2201004</x:v>
      </x:c>
      <x:c r="B8" s="3" t="str">
        <x:v>IT01</x:v>
      </x:c>
      <x:c r="C8" s="3" t="str">
        <x:v>Information Technology</x:v>
      </x:c>
      <x:c r="D8" s="3" t="str">
        <x:v>2024-1</x:v>
      </x:c>
      <x:c r="E8" s="5" t="n">
        <x:f>ROUND(SUMIFS('Grades'!$L$5:$L$271,'Grades'!$A$5:$A$271,A8,'Grades'!$C$5:$C$271,D8,'Grades'!$F$5:$F$271,1)/SUMIFS('Grades'!$K$5:$K$271,'Grades'!$A$5:$A$271,A8,'Grades'!$C$5:$C$271,D8,'Grades'!$F$5:$F$271,1),2)</x:f>
        <x:v>4</x:v>
      </x:c>
      <x:c r="F8" s="5" t="n">
        <x:f>COUNTIFS('AttendanceGroups'!$A$5:$A$265,A8,'AttendanceGroups'!$C$5:$C$265,D8,'AttendanceGroups'!$G$5:$G$265,1)</x:f>
        <x:v>0</x:v>
      </x:c>
      <x:c r="G8" s="5" t="n">
        <x:f>AVERAGEIFS('Conduct'!$C$5:$C$124,'Conduct'!$A$5:$A$124,A8,'Conduct'!$B$5:$B$124,D8)</x:f>
        <x:v>78</x:v>
      </x:c>
      <x:c r="H8" s="5" t="n">
        <x:f>IF(OR(E8&lt;Rules!$B$8,F8&gt;0,G8&lt;Rules!$B$9),1,0)</x:f>
        <x:v>0</x:v>
      </x:c>
    </x:row>
    <x:row r="9" ht="21" customHeight="1">
      <x:c r="A9" s="3" t="str">
        <x:v>2201005</x:v>
      </x:c>
      <x:c r="B9" s="3" t="str">
        <x:v>IT01</x:v>
      </x:c>
      <x:c r="C9" s="3" t="str">
        <x:v>Information Technology</x:v>
      </x:c>
      <x:c r="D9" s="3" t="str">
        <x:v>2024-1</x:v>
      </x:c>
      <x:c r="E9" s="5" t="n">
        <x:f>ROUND(SUMIFS('Grades'!$L$5:$L$271,'Grades'!$A$5:$A$271,A9,'Grades'!$C$5:$C$271,D9,'Grades'!$F$5:$F$271,1)/SUMIFS('Grades'!$K$5:$K$271,'Grades'!$A$5:$A$271,A9,'Grades'!$C$5:$C$271,D9,'Grades'!$F$5:$F$271,1),2)</x:f>
        <x:v>0.63</x:v>
      </x:c>
      <x:c r="F9" s="5" t="n">
        <x:f>COUNTIFS('AttendanceGroups'!$A$5:$A$265,A9,'AttendanceGroups'!$C$5:$C$265,D9,'AttendanceGroups'!$G$5:$G$265,1)</x:f>
        <x:v>3</x:v>
      </x:c>
      <x:c r="G9" s="5" t="n">
        <x:f>AVERAGEIFS('Conduct'!$C$5:$C$124,'Conduct'!$A$5:$A$124,A9,'Conduct'!$B$5:$B$124,D9)</x:f>
        <x:v>50</x:v>
      </x:c>
      <x:c r="H9" s="5" t="n">
        <x:f>IF(OR(E9&lt;Rules!$B$8,F9&gt;0,G9&lt;Rules!$B$9),1,0)</x:f>
        <x:v>1</x:v>
      </x:c>
    </x:row>
    <x:row r="10" ht="21" customHeight="1">
      <x:c r="A10" s="3" t="str">
        <x:v>2201006</x:v>
      </x:c>
      <x:c r="B10" s="3" t="str">
        <x:v>IT01</x:v>
      </x:c>
      <x:c r="C10" s="3" t="str">
        <x:v>Information Technology</x:v>
      </x:c>
      <x:c r="D10" s="3" t="str">
        <x:v>2024-1</x:v>
      </x:c>
      <x:c r="E10" s="5" t="n">
        <x:f>ROUND(SUMIFS('Grades'!$L$5:$L$271,'Grades'!$A$5:$A$271,A10,'Grades'!$C$5:$C$271,D10,'Grades'!$F$5:$F$271,1)/SUMIFS('Grades'!$K$5:$K$271,'Grades'!$A$5:$A$271,A10,'Grades'!$C$5:$C$271,D10,'Grades'!$F$5:$F$271,1),2)</x:f>
        <x:v>3.38</x:v>
      </x:c>
      <x:c r="F10" s="5" t="n">
        <x:f>COUNTIFS('AttendanceGroups'!$A$5:$A$265,A10,'AttendanceGroups'!$C$5:$C$265,D10,'AttendanceGroups'!$G$5:$G$265,1)</x:f>
        <x:v>0</x:v>
      </x:c>
      <x:c r="G10" s="5" t="n">
        <x:f>AVERAGEIFS('Conduct'!$C$5:$C$124,'Conduct'!$A$5:$A$124,A10,'Conduct'!$B$5:$B$124,D10)</x:f>
        <x:v>68</x:v>
      </x:c>
      <x:c r="H10" s="5" t="n">
        <x:f>IF(OR(E10&lt;Rules!$B$8,F10&gt;0,G10&lt;Rules!$B$9),1,0)</x:f>
        <x:v>0</x:v>
      </x:c>
    </x:row>
    <x:row r="11" ht="21" customHeight="1">
      <x:c r="A11" s="3" t="str">
        <x:v>2201007</x:v>
      </x:c>
      <x:c r="B11" s="3" t="str">
        <x:v>IT01</x:v>
      </x:c>
      <x:c r="C11" s="3" t="str">
        <x:v>Information Technology</x:v>
      </x:c>
      <x:c r="D11" s="3" t="str">
        <x:v>2024-1</x:v>
      </x:c>
      <x:c r="E11" s="5" t="n">
        <x:f>ROUND(SUMIFS('Grades'!$L$5:$L$271,'Grades'!$A$5:$A$271,A11,'Grades'!$C$5:$C$271,D11,'Grades'!$F$5:$F$271,1)/SUMIFS('Grades'!$K$5:$K$271,'Grades'!$A$5:$A$271,A11,'Grades'!$C$5:$C$271,D11,'Grades'!$F$5:$F$271,1),2)</x:f>
        <x:v>3</x:v>
      </x:c>
      <x:c r="F11" s="5" t="n">
        <x:f>COUNTIFS('AttendanceGroups'!$A$5:$A$265,A11,'AttendanceGroups'!$C$5:$C$265,D11,'AttendanceGroups'!$G$5:$G$265,1)</x:f>
        <x:v>0</x:v>
      </x:c>
      <x:c r="G11" s="5" t="n">
        <x:f>AVERAGEIFS('Conduct'!$C$5:$C$124,'Conduct'!$A$5:$A$124,A11,'Conduct'!$B$5:$B$124,D11)</x:f>
        <x:v>87</x:v>
      </x:c>
      <x:c r="H11" s="5" t="n">
        <x:f>IF(OR(E11&lt;Rules!$B$8,F11&gt;0,G11&lt;Rules!$B$9),1,0)</x:f>
        <x:v>0</x:v>
      </x:c>
    </x:row>
    <x:row r="12" ht="21" customHeight="1">
      <x:c r="A12" s="3" t="str">
        <x:v>2201008</x:v>
      </x:c>
      <x:c r="B12" s="3" t="str">
        <x:v>IT01</x:v>
      </x:c>
      <x:c r="C12" s="3" t="str">
        <x:v>Information Technology</x:v>
      </x:c>
      <x:c r="D12" s="3" t="str">
        <x:v>2024-1</x:v>
      </x:c>
      <x:c r="E12" s="5" t="n">
        <x:f>ROUND(SUMIFS('Grades'!$L$5:$L$271,'Grades'!$A$5:$A$271,A12,'Grades'!$C$5:$C$271,D12,'Grades'!$F$5:$F$271,1)/SUMIFS('Grades'!$K$5:$K$271,'Grades'!$A$5:$A$271,A12,'Grades'!$C$5:$C$271,D12,'Grades'!$F$5:$F$271,1),2)</x:f>
        <x:v>3.63</x:v>
      </x:c>
      <x:c r="F12" s="5" t="n">
        <x:f>COUNTIFS('AttendanceGroups'!$A$5:$A$265,A12,'AttendanceGroups'!$C$5:$C$265,D12,'AttendanceGroups'!$G$5:$G$265,1)</x:f>
        <x:v>0</x:v>
      </x:c>
      <x:c r="G12" s="5" t="n">
        <x:f>AVERAGEIFS('Conduct'!$C$5:$C$124,'Conduct'!$A$5:$A$124,A12,'Conduct'!$B$5:$B$124,D12)</x:f>
        <x:v>88</x:v>
      </x:c>
      <x:c r="H12" s="5" t="n">
        <x:f>IF(OR(E12&lt;Rules!$B$8,F12&gt;0,G12&lt;Rules!$B$9),1,0)</x:f>
        <x:v>0</x:v>
      </x:c>
    </x:row>
    <x:row r="13" ht="21" customHeight="1">
      <x:c r="A13" s="3" t="str">
        <x:v>2201009</x:v>
      </x:c>
      <x:c r="B13" s="3" t="str">
        <x:v>IT01</x:v>
      </x:c>
      <x:c r="C13" s="3" t="str">
        <x:v>Information Technology</x:v>
      </x:c>
      <x:c r="D13" s="3" t="str">
        <x:v>2024-1</x:v>
      </x:c>
      <x:c r="E13" s="5" t="n">
        <x:f>ROUND(SUMIFS('Grades'!$L$5:$L$271,'Grades'!$A$5:$A$271,A13,'Grades'!$C$5:$C$271,D13,'Grades'!$F$5:$F$271,1)/SUMIFS('Grades'!$K$5:$K$271,'Grades'!$A$5:$A$271,A13,'Grades'!$C$5:$C$271,D13,'Grades'!$F$5:$F$271,1),2)</x:f>
        <x:v>3</x:v>
      </x:c>
      <x:c r="F13" s="5" t="n">
        <x:f>COUNTIFS('AttendanceGroups'!$A$5:$A$265,A13,'AttendanceGroups'!$C$5:$C$265,D13,'AttendanceGroups'!$G$5:$G$265,1)</x:f>
        <x:v>0</x:v>
      </x:c>
      <x:c r="G13" s="5" t="n">
        <x:f>AVERAGEIFS('Conduct'!$C$5:$C$124,'Conduct'!$A$5:$A$124,A13,'Conduct'!$B$5:$B$124,D13)</x:f>
        <x:v>93</x:v>
      </x:c>
      <x:c r="H13" s="5" t="n">
        <x:f>IF(OR(E13&lt;Rules!$B$8,F13&gt;0,G13&lt;Rules!$B$9),1,0)</x:f>
        <x:v>0</x:v>
      </x:c>
    </x:row>
    <x:row r="14" ht="21" customHeight="1">
      <x:c r="A14" s="3" t="str">
        <x:v>2201010</x:v>
      </x:c>
      <x:c r="B14" s="3" t="str">
        <x:v>IT01</x:v>
      </x:c>
      <x:c r="C14" s="3" t="str">
        <x:v>Information Technology</x:v>
      </x:c>
      <x:c r="D14" s="3" t="str">
        <x:v>2024-1</x:v>
      </x:c>
      <x:c r="E14" s="5" t="n">
        <x:f>ROUND(SUMIFS('Grades'!$L$5:$L$271,'Grades'!$A$5:$A$271,A14,'Grades'!$C$5:$C$271,D14,'Grades'!$F$5:$F$271,1)/SUMIFS('Grades'!$K$5:$K$271,'Grades'!$A$5:$A$271,A14,'Grades'!$C$5:$C$271,D14,'Grades'!$F$5:$F$271,1),2)</x:f>
        <x:v>0.38</x:v>
      </x:c>
      <x:c r="F14" s="5" t="n">
        <x:f>COUNTIFS('AttendanceGroups'!$A$5:$A$265,A14,'AttendanceGroups'!$C$5:$C$265,D14,'AttendanceGroups'!$G$5:$G$265,1)</x:f>
        <x:v>1</x:v>
      </x:c>
      <x:c r="G14" s="5" t="n">
        <x:f>AVERAGEIFS('Conduct'!$C$5:$C$124,'Conduct'!$A$5:$A$124,A14,'Conduct'!$B$5:$B$124,D14)</x:f>
        <x:v>60</x:v>
      </x:c>
      <x:c r="H14" s="5" t="n">
        <x:f>IF(OR(E14&lt;Rules!$B$8,F14&gt;0,G14&lt;Rules!$B$9),1,0)</x:f>
        <x:v>1</x:v>
      </x:c>
    </x:row>
    <x:row r="15" ht="21" customHeight="1">
      <x:c r="A15" s="3" t="str">
        <x:v>2201011</x:v>
      </x:c>
      <x:c r="B15" s="3" t="str">
        <x:v>IT02</x:v>
      </x:c>
      <x:c r="C15" s="3" t="str">
        <x:v>Information Technology</x:v>
      </x:c>
      <x:c r="D15" s="3" t="str">
        <x:v>2024-1</x:v>
      </x:c>
      <x:c r="E15" s="5" t="n">
        <x:f>ROUND(SUMIFS('Grades'!$L$5:$L$271,'Grades'!$A$5:$A$271,A15,'Grades'!$C$5:$C$271,D15,'Grades'!$F$5:$F$271,1)/SUMIFS('Grades'!$K$5:$K$271,'Grades'!$A$5:$A$271,A15,'Grades'!$C$5:$C$271,D15,'Grades'!$F$5:$F$271,1),2)</x:f>
        <x:v>3</x:v>
      </x:c>
      <x:c r="F15" s="5" t="n">
        <x:f>COUNTIFS('AttendanceGroups'!$A$5:$A$265,A15,'AttendanceGroups'!$C$5:$C$265,D15,'AttendanceGroups'!$G$5:$G$265,1)</x:f>
        <x:v>0</x:v>
      </x:c>
      <x:c r="G15" s="5" t="n">
        <x:f>AVERAGEIFS('Conduct'!$C$5:$C$124,'Conduct'!$A$5:$A$124,A15,'Conduct'!$B$5:$B$124,D15)</x:f>
        <x:v>84</x:v>
      </x:c>
      <x:c r="H15" s="5" t="n">
        <x:f>IF(OR(E15&lt;Rules!$B$8,F15&gt;0,G15&lt;Rules!$B$9),1,0)</x:f>
        <x:v>0</x:v>
      </x:c>
    </x:row>
    <x:row r="16" ht="21" customHeight="1">
      <x:c r="A16" s="3" t="str">
        <x:v>2201012</x:v>
      </x:c>
      <x:c r="B16" s="3" t="str">
        <x:v>IT02</x:v>
      </x:c>
      <x:c r="C16" s="3" t="str">
        <x:v>Information Technology</x:v>
      </x:c>
      <x:c r="D16" s="3" t="str">
        <x:v>2024-1</x:v>
      </x:c>
      <x:c r="E16" s="5" t="n">
        <x:f>ROUND(SUMIFS('Grades'!$L$5:$L$271,'Grades'!$A$5:$A$271,A16,'Grades'!$C$5:$C$271,D16,'Grades'!$F$5:$F$271,1)/SUMIFS('Grades'!$K$5:$K$271,'Grades'!$A$5:$A$271,A16,'Grades'!$C$5:$C$271,D16,'Grades'!$F$5:$F$271,1),2)</x:f>
        <x:v>2</x:v>
      </x:c>
      <x:c r="F16" s="5" t="n">
        <x:f>COUNTIFS('AttendanceGroups'!$A$5:$A$265,A16,'AttendanceGroups'!$C$5:$C$265,D16,'AttendanceGroups'!$G$5:$G$265,1)</x:f>
        <x:v>0</x:v>
      </x:c>
      <x:c r="G16" s="5" t="n">
        <x:f>AVERAGEIFS('Conduct'!$C$5:$C$124,'Conduct'!$A$5:$A$124,A16,'Conduct'!$B$5:$B$124,D16)</x:f>
        <x:v>89</x:v>
      </x:c>
      <x:c r="H16" s="5" t="n">
        <x:f>IF(OR(E16&lt;Rules!$B$8,F16&gt;0,G16&lt;Rules!$B$9),1,0)</x:f>
        <x:v>0</x:v>
      </x:c>
    </x:row>
    <x:row r="17" ht="21" customHeight="1">
      <x:c r="A17" s="3" t="str">
        <x:v>2201013</x:v>
      </x:c>
      <x:c r="B17" s="3" t="str">
        <x:v>IT02</x:v>
      </x:c>
      <x:c r="C17" s="3" t="str">
        <x:v>Information Technology</x:v>
      </x:c>
      <x:c r="D17" s="3" t="str">
        <x:v>2024-1</x:v>
      </x:c>
      <x:c r="E17" s="5" t="n">
        <x:f>ROUND(SUMIFS('Grades'!$L$5:$L$271,'Grades'!$A$5:$A$271,A17,'Grades'!$C$5:$C$271,D17,'Grades'!$F$5:$F$271,1)/SUMIFS('Grades'!$K$5:$K$271,'Grades'!$A$5:$A$271,A17,'Grades'!$C$5:$C$271,D17,'Grades'!$F$5:$F$271,1),2)</x:f>
        <x:v>2</x:v>
      </x:c>
      <x:c r="F17" s="5" t="n">
        <x:f>COUNTIFS('AttendanceGroups'!$A$5:$A$265,A17,'AttendanceGroups'!$C$5:$C$265,D17,'AttendanceGroups'!$G$5:$G$265,1)</x:f>
        <x:v>0</x:v>
      </x:c>
      <x:c r="G17" s="5" t="n">
        <x:f>AVERAGEIFS('Conduct'!$C$5:$C$124,'Conduct'!$A$5:$A$124,A17,'Conduct'!$B$5:$B$124,D17)</x:f>
        <x:v>88</x:v>
      </x:c>
      <x:c r="H17" s="5" t="n">
        <x:f>IF(OR(E17&lt;Rules!$B$8,F17&gt;0,G17&lt;Rules!$B$9),1,0)</x:f>
        <x:v>0</x:v>
      </x:c>
    </x:row>
    <x:row r="18" ht="21" customHeight="1">
      <x:c r="A18" s="3" t="str">
        <x:v>2201014</x:v>
      </x:c>
      <x:c r="B18" s="3" t="str">
        <x:v>IT02</x:v>
      </x:c>
      <x:c r="C18" s="3" t="str">
        <x:v>Information Technology</x:v>
      </x:c>
      <x:c r="D18" s="3" t="str">
        <x:v>2024-1</x:v>
      </x:c>
      <x:c r="E18" s="5" t="n">
        <x:f>ROUND(SUMIFS('Grades'!$L$5:$L$271,'Grades'!$A$5:$A$271,A18,'Grades'!$C$5:$C$271,D18,'Grades'!$F$5:$F$271,1)/SUMIFS('Grades'!$K$5:$K$271,'Grades'!$A$5:$A$271,A18,'Grades'!$C$5:$C$271,D18,'Grades'!$F$5:$F$271,1),2)</x:f>
        <x:v>2.38</x:v>
      </x:c>
      <x:c r="F18" s="5" t="n">
        <x:f>COUNTIFS('AttendanceGroups'!$A$5:$A$265,A18,'AttendanceGroups'!$C$5:$C$265,D18,'AttendanceGroups'!$G$5:$G$265,1)</x:f>
        <x:v>0</x:v>
      </x:c>
      <x:c r="G18" s="5" t="n">
        <x:f>AVERAGEIFS('Conduct'!$C$5:$C$124,'Conduct'!$A$5:$A$124,A18,'Conduct'!$B$5:$B$124,D18)</x:f>
        <x:v>69</x:v>
      </x:c>
      <x:c r="H18" s="5" t="n">
        <x:f>IF(OR(E18&lt;Rules!$B$8,F18&gt;0,G18&lt;Rules!$B$9),1,0)</x:f>
        <x:v>0</x:v>
      </x:c>
    </x:row>
    <x:row r="19" ht="21" customHeight="1">
      <x:c r="A19" s="3" t="str">
        <x:v>2201015</x:v>
      </x:c>
      <x:c r="B19" s="3" t="str">
        <x:v>IT02</x:v>
      </x:c>
      <x:c r="C19" s="3" t="str">
        <x:v>Information Technology</x:v>
      </x:c>
      <x:c r="D19" s="3" t="str">
        <x:v>2024-1</x:v>
      </x:c>
      <x:c r="E19" s="5" t="n">
        <x:f>ROUND(SUMIFS('Grades'!$L$5:$L$271,'Grades'!$A$5:$A$271,A19,'Grades'!$C$5:$C$271,D19,'Grades'!$F$5:$F$271,1)/SUMIFS('Grades'!$K$5:$K$271,'Grades'!$A$5:$A$271,A19,'Grades'!$C$5:$C$271,D19,'Grades'!$F$5:$F$271,1),2)</x:f>
        <x:v>1</x:v>
      </x:c>
      <x:c r="F19" s="5" t="n">
        <x:f>COUNTIFS('AttendanceGroups'!$A$5:$A$265,A19,'AttendanceGroups'!$C$5:$C$265,D19,'AttendanceGroups'!$G$5:$G$265,1)</x:f>
        <x:v>2</x:v>
      </x:c>
      <x:c r="G19" s="5" t="n">
        <x:f>AVERAGEIFS('Conduct'!$C$5:$C$124,'Conduct'!$A$5:$A$124,A19,'Conduct'!$B$5:$B$124,D19)</x:f>
        <x:v>49</x:v>
      </x:c>
      <x:c r="H19" s="5" t="n">
        <x:f>IF(OR(E19&lt;Rules!$B$8,F19&gt;0,G19&lt;Rules!$B$9),1,0)</x:f>
        <x:v>1</x:v>
      </x:c>
    </x:row>
    <x:row r="20" ht="21" customHeight="1">
      <x:c r="A20" s="3" t="str">
        <x:v>2201016</x:v>
      </x:c>
      <x:c r="B20" s="3" t="str">
        <x:v>IT02</x:v>
      </x:c>
      <x:c r="C20" s="3" t="str">
        <x:v>Information Technology</x:v>
      </x:c>
      <x:c r="D20" s="3" t="str">
        <x:v>2024-1</x:v>
      </x:c>
      <x:c r="E20" s="5" t="n">
        <x:f>ROUND(SUMIFS('Grades'!$L$5:$L$271,'Grades'!$A$5:$A$271,A20,'Grades'!$C$5:$C$271,D20,'Grades'!$F$5:$F$271,1)/SUMIFS('Grades'!$K$5:$K$271,'Grades'!$A$5:$A$271,A20,'Grades'!$C$5:$C$271,D20,'Grades'!$F$5:$F$271,1),2)</x:f>
        <x:v>4</x:v>
      </x:c>
      <x:c r="F20" s="5" t="n">
        <x:f>COUNTIFS('AttendanceGroups'!$A$5:$A$265,A20,'AttendanceGroups'!$C$5:$C$265,D20,'AttendanceGroups'!$G$5:$G$265,1)</x:f>
        <x:v>0</x:v>
      </x:c>
      <x:c r="G20" s="5" t="n">
        <x:f>AVERAGEIFS('Conduct'!$C$5:$C$124,'Conduct'!$A$5:$A$124,A20,'Conduct'!$B$5:$B$124,D20)</x:f>
        <x:v>71</x:v>
      </x:c>
      <x:c r="H20" s="5" t="n">
        <x:f>IF(OR(E20&lt;Rules!$B$8,F20&gt;0,G20&lt;Rules!$B$9),1,0)</x:f>
        <x:v>0</x:v>
      </x:c>
    </x:row>
    <x:row r="21" ht="21" customHeight="1">
      <x:c r="A21" s="3" t="str">
        <x:v>2201017</x:v>
      </x:c>
      <x:c r="B21" s="3" t="str">
        <x:v>IT02</x:v>
      </x:c>
      <x:c r="C21" s="3" t="str">
        <x:v>Information Technology</x:v>
      </x:c>
      <x:c r="D21" s="3" t="str">
        <x:v>2024-1</x:v>
      </x:c>
      <x:c r="E21" s="5" t="n">
        <x:f>ROUND(SUMIFS('Grades'!$L$5:$L$271,'Grades'!$A$5:$A$271,A21,'Grades'!$C$5:$C$271,D21,'Grades'!$F$5:$F$271,1)/SUMIFS('Grades'!$K$5:$K$271,'Grades'!$A$5:$A$271,A21,'Grades'!$C$5:$C$271,D21,'Grades'!$F$5:$F$271,1),2)</x:f>
        <x:v>3.63</x:v>
      </x:c>
      <x:c r="F21" s="5" t="n">
        <x:f>COUNTIFS('AttendanceGroups'!$A$5:$A$265,A21,'AttendanceGroups'!$C$5:$C$265,D21,'AttendanceGroups'!$G$5:$G$265,1)</x:f>
        <x:v>0</x:v>
      </x:c>
      <x:c r="G21" s="5" t="n">
        <x:f>AVERAGEIFS('Conduct'!$C$5:$C$124,'Conduct'!$A$5:$A$124,A21,'Conduct'!$B$5:$B$124,D21)</x:f>
        <x:v>82</x:v>
      </x:c>
      <x:c r="H21" s="5" t="n">
        <x:f>IF(OR(E21&lt;Rules!$B$8,F21&gt;0,G21&lt;Rules!$B$9),1,0)</x:f>
        <x:v>0</x:v>
      </x:c>
    </x:row>
    <x:row r="22" ht="21" customHeight="1">
      <x:c r="A22" s="3" t="str">
        <x:v>2201018</x:v>
      </x:c>
      <x:c r="B22" s="3" t="str">
        <x:v>IT02</x:v>
      </x:c>
      <x:c r="C22" s="3" t="str">
        <x:v>Information Technology</x:v>
      </x:c>
      <x:c r="D22" s="3" t="str">
        <x:v>2024-1</x:v>
      </x:c>
      <x:c r="E22" s="5" t="n">
        <x:f>ROUND(SUMIFS('Grades'!$L$5:$L$271,'Grades'!$A$5:$A$271,A22,'Grades'!$C$5:$C$271,D22,'Grades'!$F$5:$F$271,1)/SUMIFS('Grades'!$K$5:$K$271,'Grades'!$A$5:$A$271,A22,'Grades'!$C$5:$C$271,D22,'Grades'!$F$5:$F$271,1),2)</x:f>
        <x:v>3.38</x:v>
      </x:c>
      <x:c r="F22" s="5" t="n">
        <x:f>COUNTIFS('AttendanceGroups'!$A$5:$A$265,A22,'AttendanceGroups'!$C$5:$C$265,D22,'AttendanceGroups'!$G$5:$G$265,1)</x:f>
        <x:v>0</x:v>
      </x:c>
      <x:c r="G22" s="5" t="n">
        <x:f>AVERAGEIFS('Conduct'!$C$5:$C$124,'Conduct'!$A$5:$A$124,A22,'Conduct'!$B$5:$B$124,D22)</x:f>
        <x:v>91</x:v>
      </x:c>
      <x:c r="H22" s="5" t="n">
        <x:f>IF(OR(E22&lt;Rules!$B$8,F22&gt;0,G22&lt;Rules!$B$9),1,0)</x:f>
        <x:v>0</x:v>
      </x:c>
    </x:row>
    <x:row r="23" ht="21" customHeight="1">
      <x:c r="A23" s="3" t="str">
        <x:v>2201019</x:v>
      </x:c>
      <x:c r="B23" s="3" t="str">
        <x:v>IT02</x:v>
      </x:c>
      <x:c r="C23" s="3" t="str">
        <x:v>Information Technology</x:v>
      </x:c>
      <x:c r="D23" s="3" t="str">
        <x:v>2024-1</x:v>
      </x:c>
      <x:c r="E23" s="5" t="n">
        <x:f>ROUND(SUMIFS('Grades'!$L$5:$L$271,'Grades'!$A$5:$A$271,A23,'Grades'!$C$5:$C$271,D23,'Grades'!$F$5:$F$271,1)/SUMIFS('Grades'!$K$5:$K$271,'Grades'!$A$5:$A$271,A23,'Grades'!$C$5:$C$271,D23,'Grades'!$F$5:$F$271,1),2)</x:f>
        <x:v>4</x:v>
      </x:c>
      <x:c r="F23" s="5" t="n">
        <x:f>COUNTIFS('AttendanceGroups'!$A$5:$A$265,A23,'AttendanceGroups'!$C$5:$C$265,D23,'AttendanceGroups'!$G$5:$G$265,1)</x:f>
        <x:v>0</x:v>
      </x:c>
      <x:c r="G23" s="5" t="n">
        <x:f>AVERAGEIFS('Conduct'!$C$5:$C$124,'Conduct'!$A$5:$A$124,A23,'Conduct'!$B$5:$B$124,D23)</x:f>
        <x:v>95</x:v>
      </x:c>
      <x:c r="H23" s="5" t="n">
        <x:f>IF(OR(E23&lt;Rules!$B$8,F23&gt;0,G23&lt;Rules!$B$9),1,0)</x:f>
        <x:v>0</x:v>
      </x:c>
    </x:row>
    <x:row r="24" ht="21" customHeight="1">
      <x:c r="A24" s="3" t="str">
        <x:v>2201020</x:v>
      </x:c>
      <x:c r="B24" s="3" t="str">
        <x:v>IT02</x:v>
      </x:c>
      <x:c r="C24" s="3" t="str">
        <x:v>Information Technology</x:v>
      </x:c>
      <x:c r="D24" s="3" t="str">
        <x:v>2024-1</x:v>
      </x:c>
      <x:c r="E24" s="5" t="n">
        <x:f>ROUND(SUMIFS('Grades'!$L$5:$L$271,'Grades'!$A$5:$A$271,A24,'Grades'!$C$5:$C$271,D24,'Grades'!$F$5:$F$271,1)/SUMIFS('Grades'!$K$5:$K$271,'Grades'!$A$5:$A$271,A24,'Grades'!$C$5:$C$271,D24,'Grades'!$F$5:$F$271,1),2)</x:f>
        <x:v>0.75</x:v>
      </x:c>
      <x:c r="F24" s="5" t="n">
        <x:f>COUNTIFS('AttendanceGroups'!$A$5:$A$265,A24,'AttendanceGroups'!$C$5:$C$265,D24,'AttendanceGroups'!$G$5:$G$265,1)</x:f>
        <x:v>2</x:v>
      </x:c>
      <x:c r="G24" s="5" t="n">
        <x:f>AVERAGEIFS('Conduct'!$C$5:$C$124,'Conduct'!$A$5:$A$124,A24,'Conduct'!$B$5:$B$124,D24)</x:f>
        <x:v>46</x:v>
      </x:c>
      <x:c r="H24" s="5" t="n">
        <x:f>IF(OR(E24&lt;Rules!$B$8,F24&gt;0,G24&lt;Rules!$B$9),1,0)</x:f>
        <x:v>1</x:v>
      </x:c>
    </x:row>
    <x:row r="25" ht="21" customHeight="1">
      <x:c r="A25" s="3" t="str">
        <x:v>2202001</x:v>
      </x:c>
      <x:c r="B25" s="3" t="str">
        <x:v>BA01</x:v>
      </x:c>
      <x:c r="C25" s="3" t="str">
        <x:v>Business Administration</x:v>
      </x:c>
      <x:c r="D25" s="3" t="str">
        <x:v>2024-1</x:v>
      </x:c>
      <x:c r="E25" s="5" t="n">
        <x:f>ROUND(SUMIFS('Grades'!$L$5:$L$271,'Grades'!$A$5:$A$271,A25,'Grades'!$C$5:$C$271,D25,'Grades'!$F$5:$F$271,1)/SUMIFS('Grades'!$K$5:$K$271,'Grades'!$A$5:$A$271,A25,'Grades'!$C$5:$C$271,D25,'Grades'!$F$5:$F$271,1),2)</x:f>
        <x:v>2.63</x:v>
      </x:c>
      <x:c r="F25" s="5" t="n">
        <x:f>COUNTIFS('AttendanceGroups'!$A$5:$A$265,A25,'AttendanceGroups'!$C$5:$C$265,D25,'AttendanceGroups'!$G$5:$G$265,1)</x:f>
        <x:v>0</x:v>
      </x:c>
      <x:c r="G25" s="5" t="n">
        <x:f>AVERAGEIFS('Conduct'!$C$5:$C$124,'Conduct'!$A$5:$A$124,A25,'Conduct'!$B$5:$B$124,D25)</x:f>
        <x:v>69</x:v>
      </x:c>
      <x:c r="H25" s="5" t="n">
        <x:f>IF(OR(E25&lt;Rules!$B$8,F25&gt;0,G25&lt;Rules!$B$9),1,0)</x:f>
        <x:v>0</x:v>
      </x:c>
    </x:row>
    <x:row r="26" ht="21" customHeight="1">
      <x:c r="A26" s="3" t="str">
        <x:v>2202002</x:v>
      </x:c>
      <x:c r="B26" s="3" t="str">
        <x:v>BA01</x:v>
      </x:c>
      <x:c r="C26" s="3" t="str">
        <x:v>Business Administration</x:v>
      </x:c>
      <x:c r="D26" s="3" t="str">
        <x:v>2024-1</x:v>
      </x:c>
      <x:c r="E26" s="5" t="n">
        <x:f>ROUND(SUMIFS('Grades'!$L$5:$L$271,'Grades'!$A$5:$A$271,A26,'Grades'!$C$5:$C$271,D26,'Grades'!$F$5:$F$271,1)/SUMIFS('Grades'!$K$5:$K$271,'Grades'!$A$5:$A$271,A26,'Grades'!$C$5:$C$271,D26,'Grades'!$F$5:$F$271,1),2)</x:f>
        <x:v>4</x:v>
      </x:c>
      <x:c r="F26" s="5" t="n">
        <x:f>COUNTIFS('AttendanceGroups'!$A$5:$A$265,A26,'AttendanceGroups'!$C$5:$C$265,D26,'AttendanceGroups'!$G$5:$G$265,1)</x:f>
        <x:v>0</x:v>
      </x:c>
      <x:c r="G26" s="5" t="n">
        <x:f>AVERAGEIFS('Conduct'!$C$5:$C$124,'Conduct'!$A$5:$A$124,A26,'Conduct'!$B$5:$B$124,D26)</x:f>
        <x:v>87</x:v>
      </x:c>
      <x:c r="H26" s="5" t="n">
        <x:f>IF(OR(E26&lt;Rules!$B$8,F26&gt;0,G26&lt;Rules!$B$9),1,0)</x:f>
        <x:v>0</x:v>
      </x:c>
    </x:row>
    <x:row r="27" ht="21" customHeight="1">
      <x:c r="A27" s="3" t="str">
        <x:v>2202003</x:v>
      </x:c>
      <x:c r="B27" s="3" t="str">
        <x:v>BA01</x:v>
      </x:c>
      <x:c r="C27" s="3" t="str">
        <x:v>Business Administration</x:v>
      </x:c>
      <x:c r="D27" s="3" t="str">
        <x:v>2024-1</x:v>
      </x:c>
      <x:c r="E27" s="5" t="n">
        <x:f>ROUND(SUMIFS('Grades'!$L$5:$L$271,'Grades'!$A$5:$A$271,A27,'Grades'!$C$5:$C$271,D27,'Grades'!$F$5:$F$271,1)/SUMIFS('Grades'!$K$5:$K$271,'Grades'!$A$5:$A$271,A27,'Grades'!$C$5:$C$271,D27,'Grades'!$F$5:$F$271,1),2)</x:f>
        <x:v>2.63</x:v>
      </x:c>
      <x:c r="F27" s="5" t="n">
        <x:f>COUNTIFS('AttendanceGroups'!$A$5:$A$265,A27,'AttendanceGroups'!$C$5:$C$265,D27,'AttendanceGroups'!$G$5:$G$265,1)</x:f>
        <x:v>0</x:v>
      </x:c>
      <x:c r="G27" s="5" t="n">
        <x:f>AVERAGEIFS('Conduct'!$C$5:$C$124,'Conduct'!$A$5:$A$124,A27,'Conduct'!$B$5:$B$124,D27)</x:f>
        <x:v>76</x:v>
      </x:c>
      <x:c r="H27" s="5" t="n">
        <x:f>IF(OR(E27&lt;Rules!$B$8,F27&gt;0,G27&lt;Rules!$B$9),1,0)</x:f>
        <x:v>0</x:v>
      </x:c>
    </x:row>
    <x:row r="28" ht="21" customHeight="1">
      <x:c r="A28" s="3" t="str">
        <x:v>2202004</x:v>
      </x:c>
      <x:c r="B28" s="3" t="str">
        <x:v>BA01</x:v>
      </x:c>
      <x:c r="C28" s="3" t="str">
        <x:v>Business Administration</x:v>
      </x:c>
      <x:c r="D28" s="3" t="str">
        <x:v>2024-1</x:v>
      </x:c>
      <x:c r="E28" s="5" t="n">
        <x:f>ROUND(SUMIFS('Grades'!$L$5:$L$271,'Grades'!$A$5:$A$271,A28,'Grades'!$C$5:$C$271,D28,'Grades'!$F$5:$F$271,1)/SUMIFS('Grades'!$K$5:$K$271,'Grades'!$A$5:$A$271,A28,'Grades'!$C$5:$C$271,D28,'Grades'!$F$5:$F$271,1),2)</x:f>
        <x:v>2</x:v>
      </x:c>
      <x:c r="F28" s="5" t="n">
        <x:f>COUNTIFS('AttendanceGroups'!$A$5:$A$265,A28,'AttendanceGroups'!$C$5:$C$265,D28,'AttendanceGroups'!$G$5:$G$265,1)</x:f>
        <x:v>0</x:v>
      </x:c>
      <x:c r="G28" s="5" t="n">
        <x:f>AVERAGEIFS('Conduct'!$C$5:$C$124,'Conduct'!$A$5:$A$124,A28,'Conduct'!$B$5:$B$124,D28)</x:f>
        <x:v>92</x:v>
      </x:c>
      <x:c r="H28" s="5" t="n">
        <x:f>IF(OR(E28&lt;Rules!$B$8,F28&gt;0,G28&lt;Rules!$B$9),1,0)</x:f>
        <x:v>0</x:v>
      </x:c>
    </x:row>
    <x:row r="29" ht="21" customHeight="1">
      <x:c r="A29" s="3" t="str">
        <x:v>2202005</x:v>
      </x:c>
      <x:c r="B29" s="3" t="str">
        <x:v>BA01</x:v>
      </x:c>
      <x:c r="C29" s="3" t="str">
        <x:v>Business Administration</x:v>
      </x:c>
      <x:c r="D29" s="3" t="str">
        <x:v>2024-1</x:v>
      </x:c>
      <x:c r="E29" s="5" t="n">
        <x:f>ROUND(SUMIFS('Grades'!$L$5:$L$271,'Grades'!$A$5:$A$271,A29,'Grades'!$C$5:$C$271,D29,'Grades'!$F$5:$F$271,1)/SUMIFS('Grades'!$K$5:$K$271,'Grades'!$A$5:$A$271,A29,'Grades'!$C$5:$C$271,D29,'Grades'!$F$5:$F$271,1),2)</x:f>
        <x:v>0.63</x:v>
      </x:c>
      <x:c r="F29" s="5" t="n">
        <x:f>COUNTIFS('AttendanceGroups'!$A$5:$A$265,A29,'AttendanceGroups'!$C$5:$C$265,D29,'AttendanceGroups'!$G$5:$G$265,1)</x:f>
        <x:v>3</x:v>
      </x:c>
      <x:c r="G29" s="5" t="n">
        <x:f>AVERAGEIFS('Conduct'!$C$5:$C$124,'Conduct'!$A$5:$A$124,A29,'Conduct'!$B$5:$B$124,D29)</x:f>
        <x:v>43</x:v>
      </x:c>
      <x:c r="H29" s="5" t="n">
        <x:f>IF(OR(E29&lt;Rules!$B$8,F29&gt;0,G29&lt;Rules!$B$9),1,0)</x:f>
        <x:v>1</x:v>
      </x:c>
    </x:row>
    <x:row r="30" ht="21" customHeight="1">
      <x:c r="A30" s="3" t="str">
        <x:v>2202006</x:v>
      </x:c>
      <x:c r="B30" s="3" t="str">
        <x:v>BA01</x:v>
      </x:c>
      <x:c r="C30" s="3" t="str">
        <x:v>Business Administration</x:v>
      </x:c>
      <x:c r="D30" s="3" t="str">
        <x:v>2024-1</x:v>
      </x:c>
      <x:c r="E30" s="5" t="n">
        <x:f>ROUND(SUMIFS('Grades'!$L$5:$L$271,'Grades'!$A$5:$A$271,A30,'Grades'!$C$5:$C$271,D30,'Grades'!$F$5:$F$271,1)/SUMIFS('Grades'!$K$5:$K$271,'Grades'!$A$5:$A$271,A30,'Grades'!$C$5:$C$271,D30,'Grades'!$F$5:$F$271,1),2)</x:f>
        <x:v>4</x:v>
      </x:c>
      <x:c r="F30" s="5" t="n">
        <x:f>COUNTIFS('AttendanceGroups'!$A$5:$A$265,A30,'AttendanceGroups'!$C$5:$C$265,D30,'AttendanceGroups'!$G$5:$G$265,1)</x:f>
        <x:v>0</x:v>
      </x:c>
      <x:c r="G30" s="5" t="n">
        <x:f>AVERAGEIFS('Conduct'!$C$5:$C$124,'Conduct'!$A$5:$A$124,A30,'Conduct'!$B$5:$B$124,D30)</x:f>
        <x:v>92</x:v>
      </x:c>
      <x:c r="H30" s="5" t="n">
        <x:f>IF(OR(E30&lt;Rules!$B$8,F30&gt;0,G30&lt;Rules!$B$9),1,0)</x:f>
        <x:v>0</x:v>
      </x:c>
    </x:row>
    <x:row r="31" ht="21" customHeight="1">
      <x:c r="A31" s="3" t="str">
        <x:v>2202007</x:v>
      </x:c>
      <x:c r="B31" s="3" t="str">
        <x:v>BA01</x:v>
      </x:c>
      <x:c r="C31" s="3" t="str">
        <x:v>Business Administration</x:v>
      </x:c>
      <x:c r="D31" s="3" t="str">
        <x:v>2024-1</x:v>
      </x:c>
      <x:c r="E31" s="5" t="n">
        <x:f>ROUND(SUMIFS('Grades'!$L$5:$L$271,'Grades'!$A$5:$A$271,A31,'Grades'!$C$5:$C$271,D31,'Grades'!$F$5:$F$271,1)/SUMIFS('Grades'!$K$5:$K$271,'Grades'!$A$5:$A$271,A31,'Grades'!$C$5:$C$271,D31,'Grades'!$F$5:$F$271,1),2)</x:f>
        <x:v>2</x:v>
      </x:c>
      <x:c r="F31" s="5" t="n">
        <x:f>COUNTIFS('AttendanceGroups'!$A$5:$A$265,A31,'AttendanceGroups'!$C$5:$C$265,D31,'AttendanceGroups'!$G$5:$G$265,1)</x:f>
        <x:v>0</x:v>
      </x:c>
      <x:c r="G31" s="5" t="n">
        <x:f>AVERAGEIFS('Conduct'!$C$5:$C$124,'Conduct'!$A$5:$A$124,A31,'Conduct'!$B$5:$B$124,D31)</x:f>
        <x:v>78</x:v>
      </x:c>
      <x:c r="H31" s="5" t="n">
        <x:f>IF(OR(E31&lt;Rules!$B$8,F31&gt;0,G31&lt;Rules!$B$9),1,0)</x:f>
        <x:v>0</x:v>
      </x:c>
    </x:row>
    <x:row r="32" ht="21" customHeight="1">
      <x:c r="A32" s="3" t="str">
        <x:v>2202008</x:v>
      </x:c>
      <x:c r="B32" s="3" t="str">
        <x:v>BA01</x:v>
      </x:c>
      <x:c r="C32" s="3" t="str">
        <x:v>Business Administration</x:v>
      </x:c>
      <x:c r="D32" s="3" t="str">
        <x:v>2024-1</x:v>
      </x:c>
      <x:c r="E32" s="5" t="n">
        <x:f>ROUND(SUMIFS('Grades'!$L$5:$L$271,'Grades'!$A$5:$A$271,A32,'Grades'!$C$5:$C$271,D32,'Grades'!$F$5:$F$271,1)/SUMIFS('Grades'!$K$5:$K$271,'Grades'!$A$5:$A$271,A32,'Grades'!$C$5:$C$271,D32,'Grades'!$F$5:$F$271,1),2)</x:f>
        <x:v>3</x:v>
      </x:c>
      <x:c r="F32" s="5" t="n">
        <x:f>COUNTIFS('AttendanceGroups'!$A$5:$A$265,A32,'AttendanceGroups'!$C$5:$C$265,D32,'AttendanceGroups'!$G$5:$G$265,1)</x:f>
        <x:v>0</x:v>
      </x:c>
      <x:c r="G32" s="5" t="n">
        <x:f>AVERAGEIFS('Conduct'!$C$5:$C$124,'Conduct'!$A$5:$A$124,A32,'Conduct'!$B$5:$B$124,D32)</x:f>
        <x:v>75</x:v>
      </x:c>
      <x:c r="H32" s="5" t="n">
        <x:f>IF(OR(E32&lt;Rules!$B$8,F32&gt;0,G32&lt;Rules!$B$9),1,0)</x:f>
        <x:v>0</x:v>
      </x:c>
    </x:row>
    <x:row r="33" ht="21" customHeight="1">
      <x:c r="A33" s="3" t="str">
        <x:v>2202009</x:v>
      </x:c>
      <x:c r="B33" s="3" t="str">
        <x:v>BA01</x:v>
      </x:c>
      <x:c r="C33" s="3" t="str">
        <x:v>Business Administration</x:v>
      </x:c>
      <x:c r="D33" s="3" t="str">
        <x:v>2024-1</x:v>
      </x:c>
      <x:c r="E33" s="5" t="n">
        <x:f>ROUND(SUMIFS('Grades'!$L$5:$L$271,'Grades'!$A$5:$A$271,A33,'Grades'!$C$5:$C$271,D33,'Grades'!$F$5:$F$271,1)/SUMIFS('Grades'!$K$5:$K$271,'Grades'!$A$5:$A$271,A33,'Grades'!$C$5:$C$271,D33,'Grades'!$F$5:$F$271,1),2)</x:f>
        <x:v>2.25</x:v>
      </x:c>
      <x:c r="F33" s="5" t="n">
        <x:f>COUNTIFS('AttendanceGroups'!$A$5:$A$265,A33,'AttendanceGroups'!$C$5:$C$265,D33,'AttendanceGroups'!$G$5:$G$265,1)</x:f>
        <x:v>0</x:v>
      </x:c>
      <x:c r="G33" s="5" t="n">
        <x:f>AVERAGEIFS('Conduct'!$C$5:$C$124,'Conduct'!$A$5:$A$124,A33,'Conduct'!$B$5:$B$124,D33)</x:f>
        <x:v>92</x:v>
      </x:c>
      <x:c r="H33" s="5" t="n">
        <x:f>IF(OR(E33&lt;Rules!$B$8,F33&gt;0,G33&lt;Rules!$B$9),1,0)</x:f>
        <x:v>0</x:v>
      </x:c>
    </x:row>
    <x:row r="34" ht="21" customHeight="1">
      <x:c r="A34" s="3" t="str">
        <x:v>2202010</x:v>
      </x:c>
      <x:c r="B34" s="3" t="str">
        <x:v>BA01</x:v>
      </x:c>
      <x:c r="C34" s="3" t="str">
        <x:v>Business Administration</x:v>
      </x:c>
      <x:c r="D34" s="3" t="str">
        <x:v>2024-1</x:v>
      </x:c>
      <x:c r="E34" s="5" t="n">
        <x:f>ROUND(SUMIFS('Grades'!$L$5:$L$271,'Grades'!$A$5:$A$271,A34,'Grades'!$C$5:$C$271,D34,'Grades'!$F$5:$F$271,1)/SUMIFS('Grades'!$K$5:$K$271,'Grades'!$A$5:$A$271,A34,'Grades'!$C$5:$C$271,D34,'Grades'!$F$5:$F$271,1),2)</x:f>
        <x:v>0</x:v>
      </x:c>
      <x:c r="F34" s="5" t="n">
        <x:f>COUNTIFS('AttendanceGroups'!$A$5:$A$265,A34,'AttendanceGroups'!$C$5:$C$265,D34,'AttendanceGroups'!$G$5:$G$265,1)</x:f>
        <x:v>2</x:v>
      </x:c>
      <x:c r="G34" s="5" t="n">
        <x:f>AVERAGEIFS('Conduct'!$C$5:$C$124,'Conduct'!$A$5:$A$124,A34,'Conduct'!$B$5:$B$124,D34)</x:f>
        <x:v>62</x:v>
      </x:c>
      <x:c r="H34" s="5" t="n">
        <x:f>IF(OR(E34&lt;Rules!$B$8,F34&gt;0,G34&lt;Rules!$B$9),1,0)</x:f>
        <x:v>1</x:v>
      </x:c>
    </x:row>
    <x:row r="35" ht="21" customHeight="1">
      <x:c r="A35" s="3" t="str">
        <x:v>2202011</x:v>
      </x:c>
      <x:c r="B35" s="3" t="str">
        <x:v>BA02</x:v>
      </x:c>
      <x:c r="C35" s="3" t="str">
        <x:v>Business Administration</x:v>
      </x:c>
      <x:c r="D35" s="3" t="str">
        <x:v>2024-1</x:v>
      </x:c>
      <x:c r="E35" s="5" t="n">
        <x:f>ROUND(SUMIFS('Grades'!$L$5:$L$271,'Grades'!$A$5:$A$271,A35,'Grades'!$C$5:$C$271,D35,'Grades'!$F$5:$F$271,1)/SUMIFS('Grades'!$K$5:$K$271,'Grades'!$A$5:$A$271,A35,'Grades'!$C$5:$C$271,D35,'Grades'!$F$5:$F$271,1),2)</x:f>
        <x:v>3.38</x:v>
      </x:c>
      <x:c r="F35" s="5" t="n">
        <x:f>COUNTIFS('AttendanceGroups'!$A$5:$A$265,A35,'AttendanceGroups'!$C$5:$C$265,D35,'AttendanceGroups'!$G$5:$G$265,1)</x:f>
        <x:v>0</x:v>
      </x:c>
      <x:c r="G35" s="5" t="n">
        <x:f>AVERAGEIFS('Conduct'!$C$5:$C$124,'Conduct'!$A$5:$A$124,A35,'Conduct'!$B$5:$B$124,D35)</x:f>
        <x:v>86</x:v>
      </x:c>
      <x:c r="H35" s="5" t="n">
        <x:f>IF(OR(E35&lt;Rules!$B$8,F35&gt;0,G35&lt;Rules!$B$9),1,0)</x:f>
        <x:v>0</x:v>
      </x:c>
    </x:row>
    <x:row r="36" ht="21" customHeight="1">
      <x:c r="A36" s="3" t="str">
        <x:v>2202012</x:v>
      </x:c>
      <x:c r="B36" s="3" t="str">
        <x:v>BA02</x:v>
      </x:c>
      <x:c r="C36" s="3" t="str">
        <x:v>Business Administration</x:v>
      </x:c>
      <x:c r="D36" s="3" t="str">
        <x:v>2024-1</x:v>
      </x:c>
      <x:c r="E36" s="5" t="n">
        <x:f>ROUND(SUMIFS('Grades'!$L$5:$L$271,'Grades'!$A$5:$A$271,A36,'Grades'!$C$5:$C$271,D36,'Grades'!$F$5:$F$271,1)/SUMIFS('Grades'!$K$5:$K$271,'Grades'!$A$5:$A$271,A36,'Grades'!$C$5:$C$271,D36,'Grades'!$F$5:$F$271,1),2)</x:f>
        <x:v>2.63</x:v>
      </x:c>
      <x:c r="F36" s="5" t="n">
        <x:f>COUNTIFS('AttendanceGroups'!$A$5:$A$265,A36,'AttendanceGroups'!$C$5:$C$265,D36,'AttendanceGroups'!$G$5:$G$265,1)</x:f>
        <x:v>0</x:v>
      </x:c>
      <x:c r="G36" s="5" t="n">
        <x:f>AVERAGEIFS('Conduct'!$C$5:$C$124,'Conduct'!$A$5:$A$124,A36,'Conduct'!$B$5:$B$124,D36)</x:f>
        <x:v>73</x:v>
      </x:c>
      <x:c r="H36" s="5" t="n">
        <x:f>IF(OR(E36&lt;Rules!$B$8,F36&gt;0,G36&lt;Rules!$B$9),1,0)</x:f>
        <x:v>0</x:v>
      </x:c>
    </x:row>
    <x:row r="37" ht="21" customHeight="1">
      <x:c r="A37" s="3" t="str">
        <x:v>2202013</x:v>
      </x:c>
      <x:c r="B37" s="3" t="str">
        <x:v>BA02</x:v>
      </x:c>
      <x:c r="C37" s="3" t="str">
        <x:v>Business Administration</x:v>
      </x:c>
      <x:c r="D37" s="3" t="str">
        <x:v>2024-1</x:v>
      </x:c>
      <x:c r="E37" s="5" t="n">
        <x:f>ROUND(SUMIFS('Grades'!$L$5:$L$271,'Grades'!$A$5:$A$271,A37,'Grades'!$C$5:$C$271,D37,'Grades'!$F$5:$F$271,1)/SUMIFS('Grades'!$K$5:$K$271,'Grades'!$A$5:$A$271,A37,'Grades'!$C$5:$C$271,D37,'Grades'!$F$5:$F$271,1),2)</x:f>
        <x:v>2.38</x:v>
      </x:c>
      <x:c r="F37" s="5" t="n">
        <x:f>COUNTIFS('AttendanceGroups'!$A$5:$A$265,A37,'AttendanceGroups'!$C$5:$C$265,D37,'AttendanceGroups'!$G$5:$G$265,1)</x:f>
        <x:v>0</x:v>
      </x:c>
      <x:c r="G37" s="5" t="n">
        <x:f>AVERAGEIFS('Conduct'!$C$5:$C$124,'Conduct'!$A$5:$A$124,A37,'Conduct'!$B$5:$B$124,D37)</x:f>
        <x:v>82</x:v>
      </x:c>
      <x:c r="H37" s="5" t="n">
        <x:f>IF(OR(E37&lt;Rules!$B$8,F37&gt;0,G37&lt;Rules!$B$9),1,0)</x:f>
        <x:v>0</x:v>
      </x:c>
    </x:row>
    <x:row r="38" ht="21" customHeight="1">
      <x:c r="A38" s="3" t="str">
        <x:v>2202014</x:v>
      </x:c>
      <x:c r="B38" s="3" t="str">
        <x:v>BA02</x:v>
      </x:c>
      <x:c r="C38" s="3" t="str">
        <x:v>Business Administration</x:v>
      </x:c>
      <x:c r="D38" s="3" t="str">
        <x:v>2024-1</x:v>
      </x:c>
      <x:c r="E38" s="5" t="n">
        <x:f>ROUND(SUMIFS('Grades'!$L$5:$L$271,'Grades'!$A$5:$A$271,A38,'Grades'!$C$5:$C$271,D38,'Grades'!$F$5:$F$271,1)/SUMIFS('Grades'!$K$5:$K$271,'Grades'!$A$5:$A$271,A38,'Grades'!$C$5:$C$271,D38,'Grades'!$F$5:$F$271,1),2)</x:f>
        <x:v>3</x:v>
      </x:c>
      <x:c r="F38" s="5" t="n">
        <x:f>COUNTIFS('AttendanceGroups'!$A$5:$A$265,A38,'AttendanceGroups'!$C$5:$C$265,D38,'AttendanceGroups'!$G$5:$G$265,1)</x:f>
        <x:v>0</x:v>
      </x:c>
      <x:c r="G38" s="5" t="n">
        <x:f>AVERAGEIFS('Conduct'!$C$5:$C$124,'Conduct'!$A$5:$A$124,A38,'Conduct'!$B$5:$B$124,D38)</x:f>
        <x:v>69</x:v>
      </x:c>
      <x:c r="H38" s="5" t="n">
        <x:f>IF(OR(E38&lt;Rules!$B$8,F38&gt;0,G38&lt;Rules!$B$9),1,0)</x:f>
        <x:v>0</x:v>
      </x:c>
    </x:row>
    <x:row r="39" ht="21" customHeight="1">
      <x:c r="A39" s="3" t="str">
        <x:v>2202015</x:v>
      </x:c>
      <x:c r="B39" s="3" t="str">
        <x:v>BA02</x:v>
      </x:c>
      <x:c r="C39" s="3" t="str">
        <x:v>Business Administration</x:v>
      </x:c>
      <x:c r="D39" s="3" t="str">
        <x:v>2024-1</x:v>
      </x:c>
      <x:c r="E39" s="5" t="n">
        <x:f>ROUND(SUMIFS('Grades'!$L$5:$L$271,'Grades'!$A$5:$A$271,A39,'Grades'!$C$5:$C$271,D39,'Grades'!$F$5:$F$271,1)/SUMIFS('Grades'!$K$5:$K$271,'Grades'!$A$5:$A$271,A39,'Grades'!$C$5:$C$271,D39,'Grades'!$F$5:$F$271,1),2)</x:f>
        <x:v>0.38</x:v>
      </x:c>
      <x:c r="F39" s="5" t="n">
        <x:f>COUNTIFS('AttendanceGroups'!$A$5:$A$265,A39,'AttendanceGroups'!$C$5:$C$265,D39,'AttendanceGroups'!$G$5:$G$265,1)</x:f>
        <x:v>1</x:v>
      </x:c>
      <x:c r="G39" s="5" t="n">
        <x:f>AVERAGEIFS('Conduct'!$C$5:$C$124,'Conduct'!$A$5:$A$124,A39,'Conduct'!$B$5:$B$124,D39)</x:f>
        <x:v>60</x:v>
      </x:c>
      <x:c r="H39" s="5" t="n">
        <x:f>IF(OR(E39&lt;Rules!$B$8,F39&gt;0,G39&lt;Rules!$B$9),1,0)</x:f>
        <x:v>1</x:v>
      </x:c>
    </x:row>
    <x:row r="40" ht="21" customHeight="1">
      <x:c r="A40" s="3" t="str">
        <x:v>2202016</x:v>
      </x:c>
      <x:c r="B40" s="3" t="str">
        <x:v>BA02</x:v>
      </x:c>
      <x:c r="C40" s="3" t="str">
        <x:v>Business Administration</x:v>
      </x:c>
      <x:c r="D40" s="3" t="str">
        <x:v>2024-1</x:v>
      </x:c>
      <x:c r="E40" s="5" t="n">
        <x:f>ROUND(SUMIFS('Grades'!$L$5:$L$271,'Grades'!$A$5:$A$271,A40,'Grades'!$C$5:$C$271,D40,'Grades'!$F$5:$F$271,1)/SUMIFS('Grades'!$K$5:$K$271,'Grades'!$A$5:$A$271,A40,'Grades'!$C$5:$C$271,D40,'Grades'!$F$5:$F$271,1),2)</x:f>
        <x:v>3.38</x:v>
      </x:c>
      <x:c r="F40" s="5" t="n">
        <x:f>COUNTIFS('AttendanceGroups'!$A$5:$A$265,A40,'AttendanceGroups'!$C$5:$C$265,D40,'AttendanceGroups'!$G$5:$G$265,1)</x:f>
        <x:v>0</x:v>
      </x:c>
      <x:c r="G40" s="5" t="n">
        <x:f>AVERAGEIFS('Conduct'!$C$5:$C$124,'Conduct'!$A$5:$A$124,A40,'Conduct'!$B$5:$B$124,D40)</x:f>
        <x:v>70</x:v>
      </x:c>
      <x:c r="H40" s="5" t="n">
        <x:f>IF(OR(E40&lt;Rules!$B$8,F40&gt;0,G40&lt;Rules!$B$9),1,0)</x:f>
        <x:v>0</x:v>
      </x:c>
    </x:row>
    <x:row r="41" ht="21" customHeight="1">
      <x:c r="A41" s="3" t="str">
        <x:v>2202017</x:v>
      </x:c>
      <x:c r="B41" s="3" t="str">
        <x:v>BA02</x:v>
      </x:c>
      <x:c r="C41" s="3" t="str">
        <x:v>Business Administration</x:v>
      </x:c>
      <x:c r="D41" s="3" t="str">
        <x:v>2024-1</x:v>
      </x:c>
      <x:c r="E41" s="5" t="n">
        <x:f>ROUND(SUMIFS('Grades'!$L$5:$L$271,'Grades'!$A$5:$A$271,A41,'Grades'!$C$5:$C$271,D41,'Grades'!$F$5:$F$271,1)/SUMIFS('Grades'!$K$5:$K$271,'Grades'!$A$5:$A$271,A41,'Grades'!$C$5:$C$271,D41,'Grades'!$F$5:$F$271,1),2)</x:f>
        <x:v>3</x:v>
      </x:c>
      <x:c r="F41" s="5" t="n">
        <x:f>COUNTIFS('AttendanceGroups'!$A$5:$A$265,A41,'AttendanceGroups'!$C$5:$C$265,D41,'AttendanceGroups'!$G$5:$G$265,1)</x:f>
        <x:v>0</x:v>
      </x:c>
      <x:c r="G41" s="5" t="n">
        <x:f>AVERAGEIFS('Conduct'!$C$5:$C$124,'Conduct'!$A$5:$A$124,A41,'Conduct'!$B$5:$B$124,D41)</x:f>
        <x:v>85</x:v>
      </x:c>
      <x:c r="H41" s="5" t="n">
        <x:f>IF(OR(E41&lt;Rules!$B$8,F41&gt;0,G41&lt;Rules!$B$9),1,0)</x:f>
        <x:v>0</x:v>
      </x:c>
    </x:row>
    <x:row r="42" ht="21" customHeight="1">
      <x:c r="A42" s="3" t="str">
        <x:v>2202018</x:v>
      </x:c>
      <x:c r="B42" s="3" t="str">
        <x:v>BA02</x:v>
      </x:c>
      <x:c r="C42" s="3" t="str">
        <x:v>Business Administration</x:v>
      </x:c>
      <x:c r="D42" s="3" t="str">
        <x:v>2024-1</x:v>
      </x:c>
      <x:c r="E42" s="5" t="n">
        <x:f>ROUND(SUMIFS('Grades'!$L$5:$L$271,'Grades'!$A$5:$A$271,A42,'Grades'!$C$5:$C$271,D42,'Grades'!$F$5:$F$271,1)/SUMIFS('Grades'!$K$5:$K$271,'Grades'!$A$5:$A$271,A42,'Grades'!$C$5:$C$271,D42,'Grades'!$F$5:$F$271,1),2)</x:f>
        <x:v>2.75</x:v>
      </x:c>
      <x:c r="F42" s="5" t="n">
        <x:f>COUNTIFS('AttendanceGroups'!$A$5:$A$265,A42,'AttendanceGroups'!$C$5:$C$265,D42,'AttendanceGroups'!$G$5:$G$265,1)</x:f>
        <x:v>0</x:v>
      </x:c>
      <x:c r="G42" s="5" t="n">
        <x:f>AVERAGEIFS('Conduct'!$C$5:$C$124,'Conduct'!$A$5:$A$124,A42,'Conduct'!$B$5:$B$124,D42)</x:f>
        <x:v>94</x:v>
      </x:c>
      <x:c r="H42" s="5" t="n">
        <x:f>IF(OR(E42&lt;Rules!$B$8,F42&gt;0,G42&lt;Rules!$B$9),1,0)</x:f>
        <x:v>0</x:v>
      </x:c>
    </x:row>
    <x:row r="43" ht="21" customHeight="1">
      <x:c r="A43" s="3" t="str">
        <x:v>2202019</x:v>
      </x:c>
      <x:c r="B43" s="3" t="str">
        <x:v>BA02</x:v>
      </x:c>
      <x:c r="C43" s="3" t="str">
        <x:v>Business Administration</x:v>
      </x:c>
      <x:c r="D43" s="3" t="str">
        <x:v>2024-1</x:v>
      </x:c>
      <x:c r="E43" s="5" t="n">
        <x:f>ROUND(SUMIFS('Grades'!$L$5:$L$271,'Grades'!$A$5:$A$271,A43,'Grades'!$C$5:$C$271,D43,'Grades'!$F$5:$F$271,1)/SUMIFS('Grades'!$K$5:$K$271,'Grades'!$A$5:$A$271,A43,'Grades'!$C$5:$C$271,D43,'Grades'!$F$5:$F$271,1),2)</x:f>
        <x:v>3</x:v>
      </x:c>
      <x:c r="F43" s="5" t="n">
        <x:f>COUNTIFS('AttendanceGroups'!$A$5:$A$265,A43,'AttendanceGroups'!$C$5:$C$265,D43,'AttendanceGroups'!$G$5:$G$265,1)</x:f>
        <x:v>0</x:v>
      </x:c>
      <x:c r="G43" s="5" t="n">
        <x:f>AVERAGEIFS('Conduct'!$C$5:$C$124,'Conduct'!$A$5:$A$124,A43,'Conduct'!$B$5:$B$124,D43)</x:f>
        <x:v>90</x:v>
      </x:c>
      <x:c r="H43" s="5" t="n">
        <x:f>IF(OR(E43&lt;Rules!$B$8,F43&gt;0,G43&lt;Rules!$B$9),1,0)</x:f>
        <x:v>0</x:v>
      </x:c>
    </x:row>
    <x:row r="44" ht="21" customHeight="1">
      <x:c r="A44" s="3" t="str">
        <x:v>2202020</x:v>
      </x:c>
      <x:c r="B44" s="3" t="str">
        <x:v>BA02</x:v>
      </x:c>
      <x:c r="C44" s="3" t="str">
        <x:v>Business Administration</x:v>
      </x:c>
      <x:c r="D44" s="3" t="str">
        <x:v>2024-1</x:v>
      </x:c>
      <x:c r="E44" s="5" t="n">
        <x:f>ROUND(SUMIFS('Grades'!$L$5:$L$271,'Grades'!$A$5:$A$271,A44,'Grades'!$C$5:$C$271,D44,'Grades'!$F$5:$F$271,1)/SUMIFS('Grades'!$K$5:$K$271,'Grades'!$A$5:$A$271,A44,'Grades'!$C$5:$C$271,D44,'Grades'!$F$5:$F$271,1),2)</x:f>
        <x:v>0.25</x:v>
      </x:c>
      <x:c r="F44" s="5" t="n">
        <x:f>COUNTIFS('AttendanceGroups'!$A$5:$A$265,A44,'AttendanceGroups'!$C$5:$C$265,D44,'AttendanceGroups'!$G$5:$G$265,1)</x:f>
        <x:v>2</x:v>
      </x:c>
      <x:c r="G44" s="5" t="n">
        <x:f>AVERAGEIFS('Conduct'!$C$5:$C$124,'Conduct'!$A$5:$A$124,A44,'Conduct'!$B$5:$B$124,D44)</x:f>
        <x:v>48</x:v>
      </x:c>
      <x:c r="H44" s="5" t="n">
        <x:f>IF(OR(E44&lt;Rules!$B$8,F44&gt;0,G44&lt;Rules!$B$9),1,0)</x:f>
        <x:v>1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>
      <x:c r="A1" s="1" t="str">
        <x:v>PayCalculation</x:v>
      </x:c>
    </x:row>
    <x:row r="2">
      <x:c r="A2" t="str">
        <x:v>Independent calculation from the cited CSV inputs</x:v>
      </x:c>
    </x:row>
    <x:row r="3">
      <x:c r="A3" t="str">
        <x:v>CSV values start on row 5. Blue inputs, black calculations. Sources and hashes: reference-manifest.json.</x:v>
      </x:c>
    </x:row>
    <x:row r="4" ht="21" customHeight="1">
      <x:c r="A4" s="7" t="str">
        <x:v>teacher_id</x:v>
      </x:c>
      <x:c r="B4" s="7" t="str">
        <x:v>month</x:v>
      </x:c>
      <x:c r="C4" s="7" t="str">
        <x:v>semester</x:v>
      </x:c>
      <x:c r="D4" s="7" t="str">
        <x:v>weekly_periods</x:v>
      </x:c>
      <x:c r="E4" s="7" t="str">
        <x:v>monthly_periods</x:v>
      </x:c>
      <x:c r="F4" s="7" t="str">
        <x:v>rate</x:v>
      </x:c>
      <x:c r="G4" s="7" t="str">
        <x:v>base</x:v>
      </x:c>
      <x:c r="H4" s="7" t="str">
        <x:v>bonus</x:v>
      </x:c>
      <x:c r="I4" s="7" t="str">
        <x:v>deductions</x:v>
      </x:c>
      <x:c r="J4" s="7" t="str">
        <x:v>overtime_periods</x:v>
      </x:c>
      <x:c r="K4" s="7" t="str">
        <x:v>overtime_bonus</x:v>
      </x:c>
      <x:c r="L4" s="7" t="str">
        <x:v>net</x:v>
      </x:c>
    </x:row>
    <x:row r="5" ht="21" customHeight="1">
      <x:c r="A5" s="3" t="str">
        <x:v>T001</x:v>
      </x:c>
      <x:c r="B5" s="3" t="str">
        <x:v>2024-10</x:v>
      </x:c>
      <x:c r="C5" s="3" t="str">
        <x:v>2024-1</x:v>
      </x:c>
      <x:c r="D5" s="5" t="n">
        <x:f>SUMIFS('F_Sections'!$I$5:$I$45,'F_Sections'!$E$5:$E$45,A5,'F_Sections'!$C$5:$C$45,C5)</x:f>
        <x:v>3</x:v>
      </x:c>
      <x:c r="E5" s="5" t="n">
        <x:f>D5*Rules!$B$10</x:f>
        <x:v>12</x:v>
      </x:c>
      <x:c r="F5" s="5" t="n">
        <x:f>Rules!B23</x:f>
        <x:v>120000</x:v>
      </x:c>
      <x:c r="G5" s="5" t="n">
        <x:f>Payroll!C6</x:f>
        <x:v>18000000</x:v>
      </x:c>
      <x:c r="H5" s="5" t="n">
        <x:f>Payroll!D6</x:f>
        <x:v>2500000</x:v>
      </x:c>
      <x:c r="I5" s="5" t="n">
        <x:f>Payroll!E6</x:f>
        <x:v>1890000</x:v>
      </x:c>
      <x:c r="J5" s="5" t="n">
        <x:f>MAX(0,E5-Rules!$B$11)</x:f>
        <x:v>0</x:v>
      </x:c>
      <x:c r="K5" s="5" t="n">
        <x:f>ROUND(J5*F5*Rules!$B$12,0)</x:f>
        <x:v>0</x:v>
      </x:c>
      <x:c r="L5" s="5" t="n">
        <x:f>G5+E5*F5+K5+H5-I5</x:f>
        <x:v>20050000</x:v>
      </x:c>
    </x:row>
    <x:row r="6" ht="21" customHeight="1">
      <x:c r="A6" s="3" t="str">
        <x:v>T002</x:v>
      </x:c>
      <x:c r="B6" s="3" t="str">
        <x:v>2024-10</x:v>
      </x:c>
      <x:c r="C6" s="3" t="str">
        <x:v>2024-1</x:v>
      </x:c>
      <x:c r="D6" s="5" t="n">
        <x:f>SUMIFS('F_Sections'!$I$5:$I$45,'F_Sections'!$E$5:$E$45,A6,'F_Sections'!$C$5:$C$45,C6)</x:f>
        <x:v>3</x:v>
      </x:c>
      <x:c r="E6" s="5" t="n">
        <x:f>D6*Rules!$B$10</x:f>
        <x:v>12</x:v>
      </x:c>
      <x:c r="F6" s="5" t="n">
        <x:f>Rules!B23</x:f>
        <x:v>120000</x:v>
      </x:c>
      <x:c r="G6" s="5" t="n">
        <x:f>Payroll!C10</x:f>
        <x:v>16500000</x:v>
      </x:c>
      <x:c r="H6" s="5" t="n">
        <x:f>Payroll!D10</x:f>
        <x:v>2000000</x:v>
      </x:c>
      <x:c r="I6" s="5" t="n">
        <x:f>Payroll!E10</x:f>
        <x:v>1732500</x:v>
      </x:c>
      <x:c r="J6" s="5" t="n">
        <x:f>MAX(0,E6-Rules!$B$11)</x:f>
        <x:v>0</x:v>
      </x:c>
      <x:c r="K6" s="5" t="n">
        <x:f>ROUND(J6*F6*Rules!$B$12,0)</x:f>
        <x:v>0</x:v>
      </x:c>
      <x:c r="L6" s="5" t="n">
        <x:f>G6+E6*F6+K6+H6-I6</x:f>
        <x:v>18207500</x:v>
      </x:c>
    </x:row>
  </x:sheetData>
  <x:pageMargins left="0.7" right="0.7" top="0.75" bottom="0.75" header="0.3" footer="0.3"/>
</x:worksheet>
</file>